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7A568292217D81/Documents/"/>
    </mc:Choice>
  </mc:AlternateContent>
  <xr:revisionPtr revIDLastSave="42" documentId="8_{C7D466BB-92E3-470C-844C-3F88604C9080}" xr6:coauthVersionLast="47" xr6:coauthVersionMax="47" xr10:uidLastSave="{4C56683B-3565-49E1-8D8F-9D9247161E38}"/>
  <bookViews>
    <workbookView xWindow="-108" yWindow="-108" windowWidth="23256" windowHeight="12456" activeTab="1" xr2:uid="{4A764215-DB6D-4256-8A73-2DE19318A3BB}"/>
  </bookViews>
  <sheets>
    <sheet name="Region" sheetId="3" r:id="rId1"/>
    <sheet name="Dashboard" sheetId="9" r:id="rId2"/>
    <sheet name="category sales" sheetId="4" r:id="rId3"/>
    <sheet name="sales by year" sheetId="5" r:id="rId4"/>
    <sheet name="Sheet6" sheetId="7" r:id="rId5"/>
    <sheet name="payment mode" sheetId="8" r:id="rId6"/>
    <sheet name="Raw_Data" sheetId="2" r:id="rId7"/>
  </sheets>
  <definedNames>
    <definedName name="ExternalData_1" localSheetId="6" hidden="1">'Raw_Data'!$A$1:$V$2501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9" l="1"/>
  <c r="F9" i="9"/>
  <c r="B6" i="9"/>
  <c r="B9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42B749-CB02-437D-8B57-CB5A76B87D51}" keepAlive="1" name="Query - Raw_Data" description="Connection to the 'Raw_Data' query in the workbook." type="5" refreshedVersion="8" background="1" saveData="1">
    <dbPr connection="Provider=Microsoft.Mashup.OleDb.1;Data Source=$Workbook$;Location=Raw_Data;Extended Properties=&quot;&quot;" command="SELECT * FROM [Raw_Data]"/>
  </connection>
</connections>
</file>

<file path=xl/sharedStrings.xml><?xml version="1.0" encoding="utf-8"?>
<sst xmlns="http://schemas.openxmlformats.org/spreadsheetml/2006/main" count="30082" uniqueCount="3543">
  <si>
    <t>Order_ID</t>
  </si>
  <si>
    <t>Order_Date</t>
  </si>
  <si>
    <t>Customer_ID</t>
  </si>
  <si>
    <t>Customer_Name</t>
  </si>
  <si>
    <t>Region</t>
  </si>
  <si>
    <t>State</t>
  </si>
  <si>
    <t>City</t>
  </si>
  <si>
    <t>Category</t>
  </si>
  <si>
    <t>Sub_Category</t>
  </si>
  <si>
    <t>Product</t>
  </si>
  <si>
    <t>Quantity</t>
  </si>
  <si>
    <t>Unit_Price</t>
  </si>
  <si>
    <t>Discount</t>
  </si>
  <si>
    <t>Sales</t>
  </si>
  <si>
    <t>Cost</t>
  </si>
  <si>
    <t>Profit</t>
  </si>
  <si>
    <t>Payment_Mode</t>
  </si>
  <si>
    <t>Profit_Margin</t>
  </si>
  <si>
    <t>Year</t>
  </si>
  <si>
    <t>Month</t>
  </si>
  <si>
    <t>Month_Number</t>
  </si>
  <si>
    <t>Quarter</t>
  </si>
  <si>
    <t>ORD101849</t>
  </si>
  <si>
    <t>CUST1628</t>
  </si>
  <si>
    <t>Aditya Das</t>
  </si>
  <si>
    <t>West</t>
  </si>
  <si>
    <t>Maharashtra</t>
  </si>
  <si>
    <t>Pune</t>
  </si>
  <si>
    <t>Electronics</t>
  </si>
  <si>
    <t>Computers</t>
  </si>
  <si>
    <t>Laptop</t>
  </si>
  <si>
    <t>UPI</t>
  </si>
  <si>
    <t>Jan</t>
  </si>
  <si>
    <t>Q1</t>
  </si>
  <si>
    <t>ORD100137</t>
  </si>
  <si>
    <t>CUST1486</t>
  </si>
  <si>
    <t>Nikhil Rao</t>
  </si>
  <si>
    <t>Mumbai</t>
  </si>
  <si>
    <t>ORD100407</t>
  </si>
  <si>
    <t>CUST1130</t>
  </si>
  <si>
    <t>Varun Sharma</t>
  </si>
  <si>
    <t>North</t>
  </si>
  <si>
    <t>Delhi</t>
  </si>
  <si>
    <t>Office Supplies</t>
  </si>
  <si>
    <t>Stationery</t>
  </si>
  <si>
    <t>Premium Pens</t>
  </si>
  <si>
    <t>Debit Card</t>
  </si>
  <si>
    <t>ORD102108</t>
  </si>
  <si>
    <t>CUST1272</t>
  </si>
  <si>
    <t>Nikhil Verma</t>
  </si>
  <si>
    <t>New Delhi</t>
  </si>
  <si>
    <t>Storage</t>
  </si>
  <si>
    <t>Storage Box</t>
  </si>
  <si>
    <t>Credit Card</t>
  </si>
  <si>
    <t>ORD102245</t>
  </si>
  <si>
    <t>CUST1489</t>
  </si>
  <si>
    <t>Neha Gupta</t>
  </si>
  <si>
    <t>Monitor</t>
  </si>
  <si>
    <t>ORD102358</t>
  </si>
  <si>
    <t>CUST1572</t>
  </si>
  <si>
    <t>Rahul Reddy</t>
  </si>
  <si>
    <t>South</t>
  </si>
  <si>
    <t>Karnataka</t>
  </si>
  <si>
    <t>Mangaluru</t>
  </si>
  <si>
    <t>Furniture</t>
  </si>
  <si>
    <t>Living Room</t>
  </si>
  <si>
    <t>Bookshelf</t>
  </si>
  <si>
    <t>Net Banking</t>
  </si>
  <si>
    <t>ORD102060</t>
  </si>
  <si>
    <t>CUST1157</t>
  </si>
  <si>
    <t>Ishaan Mehta</t>
  </si>
  <si>
    <t>Tamil Nadu</t>
  </si>
  <si>
    <t>Chennai</t>
  </si>
  <si>
    <t>Accessories</t>
  </si>
  <si>
    <t>Mechanical Keyboard</t>
  </si>
  <si>
    <t>ORD101758</t>
  </si>
  <si>
    <t>CUST1368</t>
  </si>
  <si>
    <t>Diya Nair</t>
  </si>
  <si>
    <t>Telangana</t>
  </si>
  <si>
    <t>Nizamabad</t>
  </si>
  <si>
    <t>Wireless Mouse</t>
  </si>
  <si>
    <t>ORD100416</t>
  </si>
  <si>
    <t>CUST1107</t>
  </si>
  <si>
    <t>Warangal</t>
  </si>
  <si>
    <t>Home Appliances</t>
  </si>
  <si>
    <t>Kitchen</t>
  </si>
  <si>
    <t>Electric Kettle</t>
  </si>
  <si>
    <t>ORD100188</t>
  </si>
  <si>
    <t>CUST1443</t>
  </si>
  <si>
    <t>Meera Kumar</t>
  </si>
  <si>
    <t>Bengaluru</t>
  </si>
  <si>
    <t>Audio</t>
  </si>
  <si>
    <t>Portable Speaker</t>
  </si>
  <si>
    <t>ORD100988</t>
  </si>
  <si>
    <t>CUST1352</t>
  </si>
  <si>
    <t>Meera Naidu</t>
  </si>
  <si>
    <t>File Organizer</t>
  </si>
  <si>
    <t>ORD100425</t>
  </si>
  <si>
    <t>CUST1232</t>
  </si>
  <si>
    <t>Meera Rao</t>
  </si>
  <si>
    <t>Salem</t>
  </si>
  <si>
    <t>ORD101349</t>
  </si>
  <si>
    <t>CUST1444</t>
  </si>
  <si>
    <t>Sanjana Sharma</t>
  </si>
  <si>
    <t>Karimnagar</t>
  </si>
  <si>
    <t>ORD102221</t>
  </si>
  <si>
    <t>CUST1076</t>
  </si>
  <si>
    <t>Arjun Patel</t>
  </si>
  <si>
    <t>Office</t>
  </si>
  <si>
    <t>Study Desk</t>
  </si>
  <si>
    <t>ORD100823</t>
  </si>
  <si>
    <t>CUST1164</t>
  </si>
  <si>
    <t>Vikram Mehta</t>
  </si>
  <si>
    <t>Cash</t>
  </si>
  <si>
    <t>ORD102205</t>
  </si>
  <si>
    <t>CUST1456</t>
  </si>
  <si>
    <t>Pooja Naidu</t>
  </si>
  <si>
    <t>ORD100191</t>
  </si>
  <si>
    <t>CUST1584</t>
  </si>
  <si>
    <t>Vikram Das</t>
  </si>
  <si>
    <t>East</t>
  </si>
  <si>
    <t>West Bengal</t>
  </si>
  <si>
    <t>Kolkata</t>
  </si>
  <si>
    <t>ORD102030</t>
  </si>
  <si>
    <t>CUST1647</t>
  </si>
  <si>
    <t>Kiran Patel</t>
  </si>
  <si>
    <t>Bluetooth Headphones</t>
  </si>
  <si>
    <t>ORD100845</t>
  </si>
  <si>
    <t>CUST1291</t>
  </si>
  <si>
    <t>Kavya Joshi</t>
  </si>
  <si>
    <t>Durgapur</t>
  </si>
  <si>
    <t>ORD100050</t>
  </si>
  <si>
    <t>CUST1004</t>
  </si>
  <si>
    <t>Diya Sharma</t>
  </si>
  <si>
    <t>Hubballi</t>
  </si>
  <si>
    <t>ORD101894</t>
  </si>
  <si>
    <t>CUST1256</t>
  </si>
  <si>
    <t>Vikram Reddy</t>
  </si>
  <si>
    <t>Cleaning</t>
  </si>
  <si>
    <t>Air Purifier</t>
  </si>
  <si>
    <t>ORD100889</t>
  </si>
  <si>
    <t>CUST1414</t>
  </si>
  <si>
    <t>Meera Nair</t>
  </si>
  <si>
    <t>ORD101186</t>
  </si>
  <si>
    <t>CUST1467</t>
  </si>
  <si>
    <t>Mixer Grinder</t>
  </si>
  <si>
    <t>ORD102489</t>
  </si>
  <si>
    <t>CUST1344</t>
  </si>
  <si>
    <t>Vikram Iyer</t>
  </si>
  <si>
    <t>ORD100144</t>
  </si>
  <si>
    <t>CUST1138</t>
  </si>
  <si>
    <t>Neha Nair</t>
  </si>
  <si>
    <t>ORD100585</t>
  </si>
  <si>
    <t>CUST1373</t>
  </si>
  <si>
    <t>Aditya Joshi</t>
  </si>
  <si>
    <t>Office Chair</t>
  </si>
  <si>
    <t>ORD100951</t>
  </si>
  <si>
    <t>CUST1451</t>
  </si>
  <si>
    <t>Aditya Singh</t>
  </si>
  <si>
    <t>ORD102191</t>
  </si>
  <si>
    <t>CUST1339</t>
  </si>
  <si>
    <t>Nikhil Patel</t>
  </si>
  <si>
    <t>ORD101603</t>
  </si>
  <si>
    <t>CUST1169</t>
  </si>
  <si>
    <t>Aisha Malhotra</t>
  </si>
  <si>
    <t>ORD101538</t>
  </si>
  <si>
    <t>CUST1430</t>
  </si>
  <si>
    <t>Sanjana Kumar</t>
  </si>
  <si>
    <t>ORD100948</t>
  </si>
  <si>
    <t>CUST1383</t>
  </si>
  <si>
    <t>Aarav Naidu</t>
  </si>
  <si>
    <t>Nashik</t>
  </si>
  <si>
    <t>ORD100104</t>
  </si>
  <si>
    <t>CUST1392</t>
  </si>
  <si>
    <t>Neha Malhotra</t>
  </si>
  <si>
    <t>ORD102433</t>
  </si>
  <si>
    <t>CUST1299</t>
  </si>
  <si>
    <t>ORD102029</t>
  </si>
  <si>
    <t>CUST1608</t>
  </si>
  <si>
    <t>Nikhil Mehta</t>
  </si>
  <si>
    <t>ORD100972</t>
  </si>
  <si>
    <t>CUST1369</t>
  </si>
  <si>
    <t>Vikram Rao</t>
  </si>
  <si>
    <t>ORD100388</t>
  </si>
  <si>
    <t>CUST1629</t>
  </si>
  <si>
    <t>Priya Mehta</t>
  </si>
  <si>
    <t>ORD101106</t>
  </si>
  <si>
    <t>CUST1510</t>
  </si>
  <si>
    <t>Aisha Das</t>
  </si>
  <si>
    <t>ORD100765</t>
  </si>
  <si>
    <t>CUST1438</t>
  </si>
  <si>
    <t>Varun Reddy</t>
  </si>
  <si>
    <t>ORD101352</t>
  </si>
  <si>
    <t>CUST1479</t>
  </si>
  <si>
    <t>Sanjana Reddy</t>
  </si>
  <si>
    <t>ORD100980</t>
  </si>
  <si>
    <t>CUST1370</t>
  </si>
  <si>
    <t>Meera Joshi</t>
  </si>
  <si>
    <t>ORD101567</t>
  </si>
  <si>
    <t>CUST1622</t>
  </si>
  <si>
    <t>Rahul Gupta</t>
  </si>
  <si>
    <t>Madurai</t>
  </si>
  <si>
    <t>ORD101900</t>
  </si>
  <si>
    <t>Aditya Patel</t>
  </si>
  <si>
    <t>ORD101949</t>
  </si>
  <si>
    <t>CUST1221</t>
  </si>
  <si>
    <t>Aisha Naidu</t>
  </si>
  <si>
    <t>ORD102376</t>
  </si>
  <si>
    <t>CUST1379</t>
  </si>
  <si>
    <t>Sneha Verma</t>
  </si>
  <si>
    <t>ORD102344</t>
  </si>
  <si>
    <t>CUST1568</t>
  </si>
  <si>
    <t>Nikhil Joshi</t>
  </si>
  <si>
    <t>ORD100882</t>
  </si>
  <si>
    <t>CUST1585</t>
  </si>
  <si>
    <t>Meera Mehta</t>
  </si>
  <si>
    <t>Hyderabad</t>
  </si>
  <si>
    <t>ORD100420</t>
  </si>
  <si>
    <t>CUST1314</t>
  </si>
  <si>
    <t>Neha Joshi</t>
  </si>
  <si>
    <t>Vacuum Cleaner</t>
  </si>
  <si>
    <t>ORD101764</t>
  </si>
  <si>
    <t>CUST1096</t>
  </si>
  <si>
    <t>Vikram Kumar</t>
  </si>
  <si>
    <t>Siliguri</t>
  </si>
  <si>
    <t>ORD100832</t>
  </si>
  <si>
    <t>CUST1461</t>
  </si>
  <si>
    <t>Arjun Iyer</t>
  </si>
  <si>
    <t>Mysuru</t>
  </si>
  <si>
    <t>ORD101450</t>
  </si>
  <si>
    <t>CUST1068</t>
  </si>
  <si>
    <t>Pooja Rao</t>
  </si>
  <si>
    <t>Coffee Table</t>
  </si>
  <si>
    <t>ORD101805</t>
  </si>
  <si>
    <t>CUST1038</t>
  </si>
  <si>
    <t>Ishaan Reddy</t>
  </si>
  <si>
    <t>ORD102208</t>
  </si>
  <si>
    <t>CUST1343</t>
  </si>
  <si>
    <t>Rohan Patel</t>
  </si>
  <si>
    <t>ORD100795</t>
  </si>
  <si>
    <t>CUST1548</t>
  </si>
  <si>
    <t>Arjun Rao</t>
  </si>
  <si>
    <t>ORD101539</t>
  </si>
  <si>
    <t>CUST1599</t>
  </si>
  <si>
    <t>Aisha Nair</t>
  </si>
  <si>
    <t>ORD100866</t>
  </si>
  <si>
    <t>CUST1180</t>
  </si>
  <si>
    <t>Rahul Iyer</t>
  </si>
  <si>
    <t>Notebook Pack</t>
  </si>
  <si>
    <t>ORD102068</t>
  </si>
  <si>
    <t>CUST1345</t>
  </si>
  <si>
    <t>ORD100755</t>
  </si>
  <si>
    <t>CUST1606</t>
  </si>
  <si>
    <t>Diya Reddy</t>
  </si>
  <si>
    <t>ORD100511</t>
  </si>
  <si>
    <t>CUST1012</t>
  </si>
  <si>
    <t>Ananya Das</t>
  </si>
  <si>
    <t>ORD100534</t>
  </si>
  <si>
    <t>CUST1434</t>
  </si>
  <si>
    <t>Rohan Joshi</t>
  </si>
  <si>
    <t>Nagpur</t>
  </si>
  <si>
    <t>ORD101904</t>
  </si>
  <si>
    <t>CUST1481</t>
  </si>
  <si>
    <t>ORD100491</t>
  </si>
  <si>
    <t>CUST1131</t>
  </si>
  <si>
    <t>Kiran Singh</t>
  </si>
  <si>
    <t>ORD100014</t>
  </si>
  <si>
    <t>CUST1494</t>
  </si>
  <si>
    <t>Sneha Das</t>
  </si>
  <si>
    <t>ORD101221</t>
  </si>
  <si>
    <t>Neha Rao</t>
  </si>
  <si>
    <t>ORD100128</t>
  </si>
  <si>
    <t>CUST1485</t>
  </si>
  <si>
    <t>Aisha Mehta</t>
  </si>
  <si>
    <t>ORD101125</t>
  </si>
  <si>
    <t>CUST1406</t>
  </si>
  <si>
    <t>Meera Patel</t>
  </si>
  <si>
    <t>ORD100983</t>
  </si>
  <si>
    <t>Diya Verma</t>
  </si>
  <si>
    <t>ORD101880</t>
  </si>
  <si>
    <t>CUST1571</t>
  </si>
  <si>
    <t>ORD101063</t>
  </si>
  <si>
    <t>CUST1061</t>
  </si>
  <si>
    <t>Sanjana Singh</t>
  </si>
  <si>
    <t>ORD101625</t>
  </si>
  <si>
    <t>Arjun Das</t>
  </si>
  <si>
    <t>ORD100022</t>
  </si>
  <si>
    <t>CUST1502</t>
  </si>
  <si>
    <t>ORD100611</t>
  </si>
  <si>
    <t>CUST1136</t>
  </si>
  <si>
    <t>ORD101283</t>
  </si>
  <si>
    <t>CUST1239</t>
  </si>
  <si>
    <t>Sneha Malhotra</t>
  </si>
  <si>
    <t>ORD102466</t>
  </si>
  <si>
    <t>CUST1222</t>
  </si>
  <si>
    <t>Vikram Nair</t>
  </si>
  <si>
    <t>ORD100632</t>
  </si>
  <si>
    <t>CUST1206</t>
  </si>
  <si>
    <t>Neha Kumar</t>
  </si>
  <si>
    <t>ORD100447</t>
  </si>
  <si>
    <t>CUST1320</t>
  </si>
  <si>
    <t>Pooja Iyer</t>
  </si>
  <si>
    <t>ORD101756</t>
  </si>
  <si>
    <t>CUST1156</t>
  </si>
  <si>
    <t>Aarav Reddy</t>
  </si>
  <si>
    <t>ORD100788</t>
  </si>
  <si>
    <t>CUST1182</t>
  </si>
  <si>
    <t>Kiran Rao</t>
  </si>
  <si>
    <t>ORD101664</t>
  </si>
  <si>
    <t>CUST1115</t>
  </si>
  <si>
    <t>Varun Iyer</t>
  </si>
  <si>
    <t>ORD101934</t>
  </si>
  <si>
    <t>CUST1300</t>
  </si>
  <si>
    <t>Priya Nair</t>
  </si>
  <si>
    <t>ORD102258</t>
  </si>
  <si>
    <t>CUST1610</t>
  </si>
  <si>
    <t>Aisha Verma</t>
  </si>
  <si>
    <t>Coimbatore</t>
  </si>
  <si>
    <t>ORD100389</t>
  </si>
  <si>
    <t>CUST1056</t>
  </si>
  <si>
    <t>ORD102274</t>
  </si>
  <si>
    <t>CUST1594</t>
  </si>
  <si>
    <t>ORD100851</t>
  </si>
  <si>
    <t>CUST1063</t>
  </si>
  <si>
    <t>ORD101518</t>
  </si>
  <si>
    <t>CUST1158</t>
  </si>
  <si>
    <t>Aarav Das</t>
  </si>
  <si>
    <t>ORD102234</t>
  </si>
  <si>
    <t>CUST1047</t>
  </si>
  <si>
    <t>ORD101714</t>
  </si>
  <si>
    <t>CUST1433</t>
  </si>
  <si>
    <t>Ishaan Kumar</t>
  </si>
  <si>
    <t>ORD101102</t>
  </si>
  <si>
    <t>CUST1496</t>
  </si>
  <si>
    <t>Aarav Patel</t>
  </si>
  <si>
    <t>ORD101858</t>
  </si>
  <si>
    <t>CUST1464</t>
  </si>
  <si>
    <t>ORD101659</t>
  </si>
  <si>
    <t>CUST1335</t>
  </si>
  <si>
    <t>Vikram Malhotra</t>
  </si>
  <si>
    <t>ORD102496</t>
  </si>
  <si>
    <t>CUST1021</t>
  </si>
  <si>
    <t>Ishaan Iyer</t>
  </si>
  <si>
    <t>ORD101023</t>
  </si>
  <si>
    <t>CUST1437</t>
  </si>
  <si>
    <t>ORD101536</t>
  </si>
  <si>
    <t>CUST1250</t>
  </si>
  <si>
    <t>ORD100295</t>
  </si>
  <si>
    <t>CUST1550</t>
  </si>
  <si>
    <t>Arjun Naidu</t>
  </si>
  <si>
    <t>ORD100936</t>
  </si>
  <si>
    <t>CUST1039</t>
  </si>
  <si>
    <t>ORD100395</t>
  </si>
  <si>
    <t>CUST1195</t>
  </si>
  <si>
    <t>Priya Naidu</t>
  </si>
  <si>
    <t>ORD101779</t>
  </si>
  <si>
    <t>CUST1200</t>
  </si>
  <si>
    <t>Rohan Singh</t>
  </si>
  <si>
    <t>ORD102458</t>
  </si>
  <si>
    <t>CUST1388</t>
  </si>
  <si>
    <t>Neha Patel</t>
  </si>
  <si>
    <t>ORD101740</t>
  </si>
  <si>
    <t>CUST1578</t>
  </si>
  <si>
    <t>Arjun Verma</t>
  </si>
  <si>
    <t>ORD100398</t>
  </si>
  <si>
    <t>CUST1187</t>
  </si>
  <si>
    <t>Ananya Joshi</t>
  </si>
  <si>
    <t>ORD102193</t>
  </si>
  <si>
    <t>CUST1037</t>
  </si>
  <si>
    <t>Neha Mehta</t>
  </si>
  <si>
    <t>ORD101656</t>
  </si>
  <si>
    <t>Pooja Gupta</t>
  </si>
  <si>
    <t>ORD101549</t>
  </si>
  <si>
    <t>CUST1052</t>
  </si>
  <si>
    <t>Kavya Reddy</t>
  </si>
  <si>
    <t>ORD100771</t>
  </si>
  <si>
    <t>ORD100739</t>
  </si>
  <si>
    <t>CUST1275</t>
  </si>
  <si>
    <t>ORD100324</t>
  </si>
  <si>
    <t>CUST1471</t>
  </si>
  <si>
    <t>Vikram Joshi</t>
  </si>
  <si>
    <t>ORD102076</t>
  </si>
  <si>
    <t>Kiran Kumar</t>
  </si>
  <si>
    <t>ORD101912</t>
  </si>
  <si>
    <t>CUST1530</t>
  </si>
  <si>
    <t>Varun Kumar</t>
  </si>
  <si>
    <t>ORD100891</t>
  </si>
  <si>
    <t>CUST1085</t>
  </si>
  <si>
    <t>ORD100626</t>
  </si>
  <si>
    <t>CUST1265</t>
  </si>
  <si>
    <t>Pooja Singh</t>
  </si>
  <si>
    <t>ORD101839</t>
  </si>
  <si>
    <t>CUST1323</t>
  </si>
  <si>
    <t>Rahul Naidu</t>
  </si>
  <si>
    <t>ORD100214</t>
  </si>
  <si>
    <t>CUST1495</t>
  </si>
  <si>
    <t>ORD101973</t>
  </si>
  <si>
    <t>CUST1609</t>
  </si>
  <si>
    <t>Rohan Naidu</t>
  </si>
  <si>
    <t>ORD100435</t>
  </si>
  <si>
    <t>CUST1645</t>
  </si>
  <si>
    <t>ORD100263</t>
  </si>
  <si>
    <t>CUST1520</t>
  </si>
  <si>
    <t>Varun Nair</t>
  </si>
  <si>
    <t>ORD102346</t>
  </si>
  <si>
    <t>CUST1230</t>
  </si>
  <si>
    <t>Sanjana Rao</t>
  </si>
  <si>
    <t>ORD102363</t>
  </si>
  <si>
    <t>CUST1025</t>
  </si>
  <si>
    <t>ORD100229</t>
  </si>
  <si>
    <t>CUST1091</t>
  </si>
  <si>
    <t>Nikhil Naidu</t>
  </si>
  <si>
    <t>Feb</t>
  </si>
  <si>
    <t>ORD100473</t>
  </si>
  <si>
    <t>CUST1627</t>
  </si>
  <si>
    <t>Arjun Singh</t>
  </si>
  <si>
    <t>ORD101852</t>
  </si>
  <si>
    <t>CUST1322</t>
  </si>
  <si>
    <t>Aditya Naidu</t>
  </si>
  <si>
    <t>ORD102423</t>
  </si>
  <si>
    <t>ORD100268</t>
  </si>
  <si>
    <t>CUST1024</t>
  </si>
  <si>
    <t>ORD101153</t>
  </si>
  <si>
    <t>CUST1614</t>
  </si>
  <si>
    <t>Arjun Kumar</t>
  </si>
  <si>
    <t>ORD102361</t>
  </si>
  <si>
    <t>CUST1289</t>
  </si>
  <si>
    <t>ORD101199</t>
  </si>
  <si>
    <t>CUST1350</t>
  </si>
  <si>
    <t>ORD100048</t>
  </si>
  <si>
    <t>Meera Singh</t>
  </si>
  <si>
    <t>ORD101699</t>
  </si>
  <si>
    <t>CUST1603</t>
  </si>
  <si>
    <t>ORD101702</t>
  </si>
  <si>
    <t>CUST1499</t>
  </si>
  <si>
    <t>ORD100228</t>
  </si>
  <si>
    <t>CUST1067</t>
  </si>
  <si>
    <t>Sanjana Verma</t>
  </si>
  <si>
    <t>ORD100107</t>
  </si>
  <si>
    <t>CUST1575</t>
  </si>
  <si>
    <t>Ananya Patel</t>
  </si>
  <si>
    <t>ORD101080</t>
  </si>
  <si>
    <t>ORD101941</t>
  </si>
  <si>
    <t>CUST1133</t>
  </si>
  <si>
    <t>Kiran Verma</t>
  </si>
  <si>
    <t>ORD101098</t>
  </si>
  <si>
    <t>Rohan Sharma</t>
  </si>
  <si>
    <t>ORD101078</t>
  </si>
  <si>
    <t>CUST1212</t>
  </si>
  <si>
    <t>Sanjana Joshi</t>
  </si>
  <si>
    <t>ORD100365</t>
  </si>
  <si>
    <t>Aisha Patel</t>
  </si>
  <si>
    <t>ORD100535</t>
  </si>
  <si>
    <t>CUST1341</t>
  </si>
  <si>
    <t>Kavya Das</t>
  </si>
  <si>
    <t>ORD101137</t>
  </si>
  <si>
    <t>CUST1385</t>
  </si>
  <si>
    <t>Kavya Gupta</t>
  </si>
  <si>
    <t>ORD100256</t>
  </si>
  <si>
    <t>CUST1099</t>
  </si>
  <si>
    <t>ORD100117</t>
  </si>
  <si>
    <t>CUST1415</t>
  </si>
  <si>
    <t>Pooja Joshi</t>
  </si>
  <si>
    <t>ORD102434</t>
  </si>
  <si>
    <t>CUST1624</t>
  </si>
  <si>
    <t>Diya Singh</t>
  </si>
  <si>
    <t>ORD101325</t>
  </si>
  <si>
    <t>CUST1466</t>
  </si>
  <si>
    <t>Neha Das</t>
  </si>
  <si>
    <t>ORD100448</t>
  </si>
  <si>
    <t>CUST1103</t>
  </si>
  <si>
    <t>Sneha Iyer</t>
  </si>
  <si>
    <t>ORD102365</t>
  </si>
  <si>
    <t>CUST1173</t>
  </si>
  <si>
    <t>Arjun Joshi</t>
  </si>
  <si>
    <t>ORD102071</t>
  </si>
  <si>
    <t>CUST1426</t>
  </si>
  <si>
    <t>Ishaan Singh</t>
  </si>
  <si>
    <t>ORD101951</t>
  </si>
  <si>
    <t>CUST1163</t>
  </si>
  <si>
    <t>ORD100513</t>
  </si>
  <si>
    <t>CUST1455</t>
  </si>
  <si>
    <t>ORD101455</t>
  </si>
  <si>
    <t>CUST1149</t>
  </si>
  <si>
    <t>ORD101601</t>
  </si>
  <si>
    <t>CUST1390</t>
  </si>
  <si>
    <t>ORD102397</t>
  </si>
  <si>
    <t>CUST1102</t>
  </si>
  <si>
    <t>ORD102409</t>
  </si>
  <si>
    <t>CUST1555</t>
  </si>
  <si>
    <t>Nikhil Malhotra</t>
  </si>
  <si>
    <t>ORD101822</t>
  </si>
  <si>
    <t>CUST1066</t>
  </si>
  <si>
    <t>ORD100915</t>
  </si>
  <si>
    <t>Rohan Gupta</t>
  </si>
  <si>
    <t>ORD101076</t>
  </si>
  <si>
    <t>CUST1440</t>
  </si>
  <si>
    <t>Vikram Sharma</t>
  </si>
  <si>
    <t>ORD100603</t>
  </si>
  <si>
    <t>ORD102277</t>
  </si>
  <si>
    <t>CUST1583</t>
  </si>
  <si>
    <t>ORD101277</t>
  </si>
  <si>
    <t>CUST1088</t>
  </si>
  <si>
    <t>ORD100326</t>
  </si>
  <si>
    <t>CUST1547</t>
  </si>
  <si>
    <t>ORD102247</t>
  </si>
  <si>
    <t>CUST1036</t>
  </si>
  <si>
    <t>Sneha Nair</t>
  </si>
  <si>
    <t>ORD100403</t>
  </si>
  <si>
    <t>CUST1072</t>
  </si>
  <si>
    <t>Rohan Rao</t>
  </si>
  <si>
    <t>ORD102088</t>
  </si>
  <si>
    <t>CUST1413</t>
  </si>
  <si>
    <t>ORD101781</t>
  </si>
  <si>
    <t>CUST1439</t>
  </si>
  <si>
    <t>ORD101038</t>
  </si>
  <si>
    <t>Arjun Gupta</t>
  </si>
  <si>
    <t>ORD101203</t>
  </si>
  <si>
    <t>CUST1539</t>
  </si>
  <si>
    <t>Kiran Mehta</t>
  </si>
  <si>
    <t>ORD100663</t>
  </si>
  <si>
    <t>CUST1098</t>
  </si>
  <si>
    <t>ORD102182</t>
  </si>
  <si>
    <t>CUST1533</t>
  </si>
  <si>
    <t>Aarav Iyer</t>
  </si>
  <si>
    <t>ORD102301</t>
  </si>
  <si>
    <t>CUST1297</t>
  </si>
  <si>
    <t>Aarav Malhotra</t>
  </si>
  <si>
    <t>ORD102158</t>
  </si>
  <si>
    <t>Aarav Mehta</t>
  </si>
  <si>
    <t>ORD101012</t>
  </si>
  <si>
    <t>CUST1267</t>
  </si>
  <si>
    <t>Sanjana Naidu</t>
  </si>
  <si>
    <t>ORD100781</t>
  </si>
  <si>
    <t>CUST1319</t>
  </si>
  <si>
    <t>Ananya Nair</t>
  </si>
  <si>
    <t>ORD101794</t>
  </si>
  <si>
    <t>CUST1526</t>
  </si>
  <si>
    <t>ORD102383</t>
  </si>
  <si>
    <t>CUST1176</t>
  </si>
  <si>
    <t>Diya Iyer</t>
  </si>
  <si>
    <t>ORD102143</t>
  </si>
  <si>
    <t>Ishaan Gupta</t>
  </si>
  <si>
    <t>ORD101339</t>
  </si>
  <si>
    <t>Kavya Singh</t>
  </si>
  <si>
    <t>ORD100706</t>
  </si>
  <si>
    <t>CUST1560</t>
  </si>
  <si>
    <t>Priya Joshi</t>
  </si>
  <si>
    <t>ORD102048</t>
  </si>
  <si>
    <t>CUST1398</t>
  </si>
  <si>
    <t>Diya Patel</t>
  </si>
  <si>
    <t>ORD101065</t>
  </si>
  <si>
    <t>CUST1308</t>
  </si>
  <si>
    <t>ORD100462</t>
  </si>
  <si>
    <t>CUST1135</t>
  </si>
  <si>
    <t>ORD101540</t>
  </si>
  <si>
    <t>CUST1086</t>
  </si>
  <si>
    <t>ORD102196</t>
  </si>
  <si>
    <t>ORD102002</t>
  </si>
  <si>
    <t>CUST1541</t>
  </si>
  <si>
    <t>ORD101439</t>
  </si>
  <si>
    <t>CUST1420</t>
  </si>
  <si>
    <t>Aditya Kumar</t>
  </si>
  <si>
    <t>ORD100499</t>
  </si>
  <si>
    <t>CUST1407</t>
  </si>
  <si>
    <t>Meera Iyer</t>
  </si>
  <si>
    <t>ORD101491</t>
  </si>
  <si>
    <t>CUST1334</t>
  </si>
  <si>
    <t>Varun Rao</t>
  </si>
  <si>
    <t>ORD101385</t>
  </si>
  <si>
    <t>CUST1478</t>
  </si>
  <si>
    <t>Priya Patel</t>
  </si>
  <si>
    <t>ORD102377</t>
  </si>
  <si>
    <t>ORD101840</t>
  </si>
  <si>
    <t>CUST1160</t>
  </si>
  <si>
    <t>Aarav Gupta</t>
  </si>
  <si>
    <t>ORD101913</t>
  </si>
  <si>
    <t>CUST1337</t>
  </si>
  <si>
    <t>ORD102407</t>
  </si>
  <si>
    <t>CUST1159</t>
  </si>
  <si>
    <t>Pooja Reddy</t>
  </si>
  <si>
    <t>ORD100497</t>
  </si>
  <si>
    <t>Rahul Verma</t>
  </si>
  <si>
    <t>ORD100792</t>
  </si>
  <si>
    <t>CUST1376</t>
  </si>
  <si>
    <t>ORD101459</t>
  </si>
  <si>
    <t>CUST1468</t>
  </si>
  <si>
    <t>Neha Iyer</t>
  </si>
  <si>
    <t>ORD100559</t>
  </si>
  <si>
    <t>CUST1597</t>
  </si>
  <si>
    <t>ORD101315</t>
  </si>
  <si>
    <t>CUST1219</t>
  </si>
  <si>
    <t>ORD101423</t>
  </si>
  <si>
    <t>CUST1170</t>
  </si>
  <si>
    <t>Priya Rao</t>
  </si>
  <si>
    <t>ORD101860</t>
  </si>
  <si>
    <t>CUST1015</t>
  </si>
  <si>
    <t>ORD100624</t>
  </si>
  <si>
    <t>CUST1399</t>
  </si>
  <si>
    <t>Pooja Das</t>
  </si>
  <si>
    <t>ORD102388</t>
  </si>
  <si>
    <t>Vikram Singh</t>
  </si>
  <si>
    <t>ORD101256</t>
  </si>
  <si>
    <t>CUST1493</t>
  </si>
  <si>
    <t>Rohan Malhotra</t>
  </si>
  <si>
    <t>ORD102070</t>
  </si>
  <si>
    <t>Neha Naidu</t>
  </si>
  <si>
    <t>ORD100074</t>
  </si>
  <si>
    <t>CUST1516</t>
  </si>
  <si>
    <t>Aditya Reddy</t>
  </si>
  <si>
    <t>ORD101474</t>
  </si>
  <si>
    <t>ORD101028</t>
  </si>
  <si>
    <t>CUST1179</t>
  </si>
  <si>
    <t>ORD101268</t>
  </si>
  <si>
    <t>CUST1218</t>
  </si>
  <si>
    <t>Pooja Nair</t>
  </si>
  <si>
    <t>ORD100590</t>
  </si>
  <si>
    <t>ORD101687</t>
  </si>
  <si>
    <t>CUST1351</t>
  </si>
  <si>
    <t>ORD102421</t>
  </si>
  <si>
    <t>CUST1535</t>
  </si>
  <si>
    <t>ORD101585</t>
  </si>
  <si>
    <t>ORD101874</t>
  </si>
  <si>
    <t>Varun Das</t>
  </si>
  <si>
    <t>ORD100410</t>
  </si>
  <si>
    <t>CUST1545</t>
  </si>
  <si>
    <t>Varun Naidu</t>
  </si>
  <si>
    <t>ORD101122</t>
  </si>
  <si>
    <t>ORD102148</t>
  </si>
  <si>
    <t>CUST1198</t>
  </si>
  <si>
    <t>Neha Verma</t>
  </si>
  <si>
    <t>ORD101692</t>
  </si>
  <si>
    <t>ORD101669</t>
  </si>
  <si>
    <t>CUST1104</t>
  </si>
  <si>
    <t>ORD101150</t>
  </si>
  <si>
    <t>CUST1470</t>
  </si>
  <si>
    <t>Mar</t>
  </si>
  <si>
    <t>ORD100602</t>
  </si>
  <si>
    <t>Aarav Nair</t>
  </si>
  <si>
    <t>ORD101407</t>
  </si>
  <si>
    <t>CUST1064</t>
  </si>
  <si>
    <t>Ananya Kumar</t>
  </si>
  <si>
    <t>ORD102470</t>
  </si>
  <si>
    <t>CUST1095</t>
  </si>
  <si>
    <t>Diya Joshi</t>
  </si>
  <si>
    <t>ORD101685</t>
  </si>
  <si>
    <t>CUST1122</t>
  </si>
  <si>
    <t>ORD101774</t>
  </si>
  <si>
    <t>CUST1367</t>
  </si>
  <si>
    <t>Meera Das</t>
  </si>
  <si>
    <t>ORD100769</t>
  </si>
  <si>
    <t>CUST1326</t>
  </si>
  <si>
    <t>Rohan Verma</t>
  </si>
  <si>
    <t>ORD101237</t>
  </si>
  <si>
    <t>CUST1144</t>
  </si>
  <si>
    <t>ORD102176</t>
  </si>
  <si>
    <t>CUST1596</t>
  </si>
  <si>
    <t>Neha Singh</t>
  </si>
  <si>
    <t>ORD101734</t>
  </si>
  <si>
    <t>ORD100316</t>
  </si>
  <si>
    <t>ORD102110</t>
  </si>
  <si>
    <t>CUST1055</t>
  </si>
  <si>
    <t>ORD101378</t>
  </si>
  <si>
    <t>CUST1400</t>
  </si>
  <si>
    <t>ORD102204</t>
  </si>
  <si>
    <t>ORD100235</t>
  </si>
  <si>
    <t>CUST1491</t>
  </si>
  <si>
    <t>Pooja Kumar</t>
  </si>
  <si>
    <t>ORD102064</t>
  </si>
  <si>
    <t>CUST1117</t>
  </si>
  <si>
    <t>Nikhil Singh</t>
  </si>
  <si>
    <t>ORD100728</t>
  </si>
  <si>
    <t>CUST1474</t>
  </si>
  <si>
    <t>ORD100824</t>
  </si>
  <si>
    <t>CUST1587</t>
  </si>
  <si>
    <t>Vikram Naidu</t>
  </si>
  <si>
    <t>ORD101324</t>
  </si>
  <si>
    <t>CUST1508</t>
  </si>
  <si>
    <t>Rahul Patel</t>
  </si>
  <si>
    <t>ORD102046</t>
  </si>
  <si>
    <t>Kiran Malhotra</t>
  </si>
  <si>
    <t>ORD101026</t>
  </si>
  <si>
    <t>CUST1346</t>
  </si>
  <si>
    <t>Aisha Sharma</t>
  </si>
  <si>
    <t>ORD101514</t>
  </si>
  <si>
    <t>Kiran Das</t>
  </si>
  <si>
    <t>ORD100618</t>
  </si>
  <si>
    <t>CUST1312</t>
  </si>
  <si>
    <t>Meera Sharma</t>
  </si>
  <si>
    <t>ORD100408</t>
  </si>
  <si>
    <t>ORD102279</t>
  </si>
  <si>
    <t>ORD101771</t>
  </si>
  <si>
    <t>CUST1137</t>
  </si>
  <si>
    <t>ORD100377</t>
  </si>
  <si>
    <t>CUST1529</t>
  </si>
  <si>
    <t>Varun Mehta</t>
  </si>
  <si>
    <t>ORD101075</t>
  </si>
  <si>
    <t>CUST1268</t>
  </si>
  <si>
    <t>Meera Reddy</t>
  </si>
  <si>
    <t>ORD101184</t>
  </si>
  <si>
    <t>CUST1315</t>
  </si>
  <si>
    <t>Aisha Joshi</t>
  </si>
  <si>
    <t>ORD101683</t>
  </si>
  <si>
    <t>CUST1380</t>
  </si>
  <si>
    <t>Kavya Rao</t>
  </si>
  <si>
    <t>ORD100471</t>
  </si>
  <si>
    <t>CUST1174</t>
  </si>
  <si>
    <t>Priya Malhotra</t>
  </si>
  <si>
    <t>ORD100362</t>
  </si>
  <si>
    <t>CUST1565</t>
  </si>
  <si>
    <t>ORD101612</t>
  </si>
  <si>
    <t>CUST1040</t>
  </si>
  <si>
    <t>Arjun Nair</t>
  </si>
  <si>
    <t>ORD100725</t>
  </si>
  <si>
    <t>CUST1100</t>
  </si>
  <si>
    <t>ORD101370</t>
  </si>
  <si>
    <t>CUST1264</t>
  </si>
  <si>
    <t>ORD100760</t>
  </si>
  <si>
    <t>ORD100103</t>
  </si>
  <si>
    <t>CUST1643</t>
  </si>
  <si>
    <t>ORD101081</t>
  </si>
  <si>
    <t>CUST1313</t>
  </si>
  <si>
    <t>ORD102140</t>
  </si>
  <si>
    <t>CUST1362</t>
  </si>
  <si>
    <t>ORD101693</t>
  </si>
  <si>
    <t>CUST1635</t>
  </si>
  <si>
    <t>Rahul Joshi</t>
  </si>
  <si>
    <t>ORD102141</t>
  </si>
  <si>
    <t>CUST1101</t>
  </si>
  <si>
    <t>ORD102369</t>
  </si>
  <si>
    <t>CUST1490</t>
  </si>
  <si>
    <t>Kiran Sharma</t>
  </si>
  <si>
    <t>ORD100615</t>
  </si>
  <si>
    <t>ORD102339</t>
  </si>
  <si>
    <t>CUST1353</t>
  </si>
  <si>
    <t>Aditya Mehta</t>
  </si>
  <si>
    <t>ORD102493</t>
  </si>
  <si>
    <t>Sneha Naidu</t>
  </si>
  <si>
    <t>ORD101452</t>
  </si>
  <si>
    <t>CUST1404</t>
  </si>
  <si>
    <t>Sanjana Gupta</t>
  </si>
  <si>
    <t>ORD102290</t>
  </si>
  <si>
    <t>CUST1298</t>
  </si>
  <si>
    <t>ORD101507</t>
  </si>
  <si>
    <t>ORD101971</t>
  </si>
  <si>
    <t>ORD100206</t>
  </si>
  <si>
    <t>CUST1310</t>
  </si>
  <si>
    <t>Ananya Gupta</t>
  </si>
  <si>
    <t>ORD102462</t>
  </si>
  <si>
    <t>CUST1410</t>
  </si>
  <si>
    <t>ORD100998</t>
  </si>
  <si>
    <t>CUST1013</t>
  </si>
  <si>
    <t>Nikhil Kumar</t>
  </si>
  <si>
    <t>ORD102348</t>
  </si>
  <si>
    <t>CUST1620</t>
  </si>
  <si>
    <t>ORD102006</t>
  </si>
  <si>
    <t>CUST1251</t>
  </si>
  <si>
    <t>ORD101182</t>
  </si>
  <si>
    <t>CUST1216</t>
  </si>
  <si>
    <t>Meera Verma</t>
  </si>
  <si>
    <t>ORD100543</t>
  </si>
  <si>
    <t>CUST1469</t>
  </si>
  <si>
    <t>Sneha Joshi</t>
  </si>
  <si>
    <t>ORD102154</t>
  </si>
  <si>
    <t>CUST1396</t>
  </si>
  <si>
    <t>ORD100688</t>
  </si>
  <si>
    <t>ORD101620</t>
  </si>
  <si>
    <t>CUST1246</t>
  </si>
  <si>
    <t>ORD102444</t>
  </si>
  <si>
    <t>CUST1171</t>
  </si>
  <si>
    <t>Kiran Joshi</t>
  </si>
  <si>
    <t>ORD101644</t>
  </si>
  <si>
    <t>CUST1192</t>
  </si>
  <si>
    <t>Rahul Sharma</t>
  </si>
  <si>
    <t>ORD100450</t>
  </si>
  <si>
    <t>Neha Sharma</t>
  </si>
  <si>
    <t>ORD102023</t>
  </si>
  <si>
    <t>ORD100432</t>
  </si>
  <si>
    <t>CUST1375</t>
  </si>
  <si>
    <t>ORD100617</t>
  </si>
  <si>
    <t>Rahul Nair</t>
  </si>
  <si>
    <t>ORD100285</t>
  </si>
  <si>
    <t>Ananya Reddy</t>
  </si>
  <si>
    <t>ORD100987</t>
  </si>
  <si>
    <t>CUST1203</t>
  </si>
  <si>
    <t>ORD100332</t>
  </si>
  <si>
    <t>CUST1601</t>
  </si>
  <si>
    <t>ORD100029</t>
  </si>
  <si>
    <t>CUST1498</t>
  </si>
  <si>
    <t>Aditya Nair</t>
  </si>
  <si>
    <t>ORD100019</t>
  </si>
  <si>
    <t>CUST1611</t>
  </si>
  <si>
    <t>ORD102233</t>
  </si>
  <si>
    <t>ORD101411</t>
  </si>
  <si>
    <t>Kavya Verma</t>
  </si>
  <si>
    <t>ORD101446</t>
  </si>
  <si>
    <t>ORD101786</t>
  </si>
  <si>
    <t>CUST1366</t>
  </si>
  <si>
    <t>Ishaan Patel</t>
  </si>
  <si>
    <t>ORD100737</t>
  </si>
  <si>
    <t>CUST1429</t>
  </si>
  <si>
    <t>ORD102495</t>
  </si>
  <si>
    <t>ORD101797</t>
  </si>
  <si>
    <t>CUST1033</t>
  </si>
  <si>
    <t>ORD101887</t>
  </si>
  <si>
    <t>CUST1193</t>
  </si>
  <si>
    <t>Rahul Mehta</t>
  </si>
  <si>
    <t>ORD101725</t>
  </si>
  <si>
    <t>CUST1356</t>
  </si>
  <si>
    <t>Aditya Rao</t>
  </si>
  <si>
    <t>ORD100087</t>
  </si>
  <si>
    <t>CUST1636</t>
  </si>
  <si>
    <t>ORD100551</t>
  </si>
  <si>
    <t>Aarav Rao</t>
  </si>
  <si>
    <t>ORD100381</t>
  </si>
  <si>
    <t>CUST1292</t>
  </si>
  <si>
    <t>ORD100356</t>
  </si>
  <si>
    <t>CUST1371</t>
  </si>
  <si>
    <t>ORD102131</t>
  </si>
  <si>
    <t>CUST1234</t>
  </si>
  <si>
    <t>Varun Gupta</t>
  </si>
  <si>
    <t>ORD101533</t>
  </si>
  <si>
    <t>Ishaan Nair</t>
  </si>
  <si>
    <t>ORD100698</t>
  </si>
  <si>
    <t>CUST1646</t>
  </si>
  <si>
    <t>ORD102437</t>
  </si>
  <si>
    <t>CUST1011</t>
  </si>
  <si>
    <t>ORD102111</t>
  </si>
  <si>
    <t>ORD100078</t>
  </si>
  <si>
    <t>ORD100131</t>
  </si>
  <si>
    <t>CUST1018</t>
  </si>
  <si>
    <t>ORD101770</t>
  </si>
  <si>
    <t>ORD100158</t>
  </si>
  <si>
    <t>ORD102265</t>
  </si>
  <si>
    <t>CUST1281</t>
  </si>
  <si>
    <t>ORD101582</t>
  </si>
  <si>
    <t>CUST1263</t>
  </si>
  <si>
    <t>ORD101901</t>
  </si>
  <si>
    <t>CUST1418</t>
  </si>
  <si>
    <t>ORD100899</t>
  </si>
  <si>
    <t>CUST1317</t>
  </si>
  <si>
    <t>Priya Reddy</t>
  </si>
  <si>
    <t>ORD100479</t>
  </si>
  <si>
    <t>CUST1574</t>
  </si>
  <si>
    <t>Diya Mehta</t>
  </si>
  <si>
    <t>ORD101614</t>
  </si>
  <si>
    <t>CUST1417</t>
  </si>
  <si>
    <t>Varun Patel</t>
  </si>
  <si>
    <t>ORD101334</t>
  </si>
  <si>
    <t>Vikram Verma</t>
  </si>
  <si>
    <t>ORD102347</t>
  </si>
  <si>
    <t>Arjun Sharma</t>
  </si>
  <si>
    <t>ORD101319</t>
  </si>
  <si>
    <t>CUST1632</t>
  </si>
  <si>
    <t>ORD100339</t>
  </si>
  <si>
    <t>ORD101151</t>
  </si>
  <si>
    <t>CUST1492</t>
  </si>
  <si>
    <t>ORD100199</t>
  </si>
  <si>
    <t>CUST1558</t>
  </si>
  <si>
    <t>ORD101172</t>
  </si>
  <si>
    <t>ORD101866</t>
  </si>
  <si>
    <t>CUST1457</t>
  </si>
  <si>
    <t>ORD101546</t>
  </si>
  <si>
    <t>ORD102218</t>
  </si>
  <si>
    <t>ORD101116</t>
  </si>
  <si>
    <t>ORD100671</t>
  </si>
  <si>
    <t>CUST1029</t>
  </si>
  <si>
    <t>ORD100803</t>
  </si>
  <si>
    <t>CUST1301</t>
  </si>
  <si>
    <t>ORD100890</t>
  </si>
  <si>
    <t>CUST1079</t>
  </si>
  <si>
    <t>ORD100283</t>
  </si>
  <si>
    <t>CUST1305</t>
  </si>
  <si>
    <t>ORD100234</t>
  </si>
  <si>
    <t>CUST1168</t>
  </si>
  <si>
    <t>ORD101467</t>
  </si>
  <si>
    <t>Ananya Singh</t>
  </si>
  <si>
    <t>Apr</t>
  </si>
  <si>
    <t>Q2</t>
  </si>
  <si>
    <t>ORD101878</t>
  </si>
  <si>
    <t>ORD100664</t>
  </si>
  <si>
    <t>CUST1519</t>
  </si>
  <si>
    <t>ORD102001</t>
  </si>
  <si>
    <t>CUST1617</t>
  </si>
  <si>
    <t>Pooja Mehta</t>
  </si>
  <si>
    <t>ORD101395</t>
  </si>
  <si>
    <t>CUST1306</t>
  </si>
  <si>
    <t>ORD101695</t>
  </si>
  <si>
    <t>Sanjana Mehta</t>
  </si>
  <si>
    <t>ORD100181</t>
  </si>
  <si>
    <t>ORD100645</t>
  </si>
  <si>
    <t>ORD100374</t>
  </si>
  <si>
    <t>CUST1564</t>
  </si>
  <si>
    <t>ORD102315</t>
  </si>
  <si>
    <t>Diya Das</t>
  </si>
  <si>
    <t>ORD100994</t>
  </si>
  <si>
    <t>CUST1283</t>
  </si>
  <si>
    <t>ORD101501</t>
  </si>
  <si>
    <t>CUST1082</t>
  </si>
  <si>
    <t>ORD101610</t>
  </si>
  <si>
    <t>CUST1019</t>
  </si>
  <si>
    <t>Rahul Das</t>
  </si>
  <si>
    <t>ORD100243</t>
  </si>
  <si>
    <t>CUST1030</t>
  </si>
  <si>
    <t>ORD101187</t>
  </si>
  <si>
    <t>CUST1582</t>
  </si>
  <si>
    <t>Nikhil Das</t>
  </si>
  <si>
    <t>ORD100382</t>
  </si>
  <si>
    <t>CUST1075</t>
  </si>
  <si>
    <t>ORD101708</t>
  </si>
  <si>
    <t>CUST1395</t>
  </si>
  <si>
    <t>Kavya Iyer</t>
  </si>
  <si>
    <t>ORD101255</t>
  </si>
  <si>
    <t>CUST1619</t>
  </si>
  <si>
    <t>ORD101850</t>
  </si>
  <si>
    <t>CUST1559</t>
  </si>
  <si>
    <t>ORD101234</t>
  </si>
  <si>
    <t>CUST1084</t>
  </si>
  <si>
    <t>ORD101761</t>
  </si>
  <si>
    <t>ORD100870</t>
  </si>
  <si>
    <t>CUST1141</t>
  </si>
  <si>
    <t>ORD100753</t>
  </si>
  <si>
    <t>CUST1014</t>
  </si>
  <si>
    <t>ORD101308</t>
  </si>
  <si>
    <t>CUST1324</t>
  </si>
  <si>
    <t>Rohan Kumar</t>
  </si>
  <si>
    <t>ORD101568</t>
  </si>
  <si>
    <t>CUST1384</t>
  </si>
  <si>
    <t>ORD100308</t>
  </si>
  <si>
    <t>Kavya Kumar</t>
  </si>
  <si>
    <t>ORD100704</t>
  </si>
  <si>
    <t>ORD101416</t>
  </si>
  <si>
    <t>Rahul Singh</t>
  </si>
  <si>
    <t>ORD102065</t>
  </si>
  <si>
    <t>CUST1254</t>
  </si>
  <si>
    <t>Priya Gupta</t>
  </si>
  <si>
    <t>ORD102251</t>
  </si>
  <si>
    <t>CUST1401</t>
  </si>
  <si>
    <t>ORD100571</t>
  </si>
  <si>
    <t>CUST1241</t>
  </si>
  <si>
    <t>Kiran Reddy</t>
  </si>
  <si>
    <t>ORD101905</t>
  </si>
  <si>
    <t>ORD101129</t>
  </si>
  <si>
    <t>CUST1615</t>
  </si>
  <si>
    <t>Sneha Patel</t>
  </si>
  <si>
    <t>ORD101041</t>
  </si>
  <si>
    <t>CUST1445</t>
  </si>
  <si>
    <t>ORD102375</t>
  </si>
  <si>
    <t>CUST1223</t>
  </si>
  <si>
    <t>Nikhil Nair</t>
  </si>
  <si>
    <t>ORD100463</t>
  </si>
  <si>
    <t>CUST1458</t>
  </si>
  <si>
    <t>ORD101448</t>
  </si>
  <si>
    <t>CUST1245</t>
  </si>
  <si>
    <t>Aisha Singh</t>
  </si>
  <si>
    <t>ORD100934</t>
  </si>
  <si>
    <t>CUST1140</t>
  </si>
  <si>
    <t>Pooja Patel</t>
  </si>
  <si>
    <t>ORD101510</t>
  </si>
  <si>
    <t>ORD101011</t>
  </si>
  <si>
    <t>ORD101293</t>
  </si>
  <si>
    <t>ORD100421</t>
  </si>
  <si>
    <t>CUST1092</t>
  </si>
  <si>
    <t>Nikhil Gupta</t>
  </si>
  <si>
    <t>ORD100386</t>
  </si>
  <si>
    <t>CUST1211</t>
  </si>
  <si>
    <t>Aisha Reddy</t>
  </si>
  <si>
    <t>ORD101570</t>
  </si>
  <si>
    <t>CUST1041</t>
  </si>
  <si>
    <t>Nikhil Sharma</t>
  </si>
  <si>
    <t>ORD101434</t>
  </si>
  <si>
    <t>CUST1009</t>
  </si>
  <si>
    <t>Sneha Kumar</t>
  </si>
  <si>
    <t>ORD100237</t>
  </si>
  <si>
    <t>CUST1296</t>
  </si>
  <si>
    <t>ORD101223</t>
  </si>
  <si>
    <t>ORD101597</t>
  </si>
  <si>
    <t>CUST1244</t>
  </si>
  <si>
    <t>Aisha Kumar</t>
  </si>
  <si>
    <t>ORD101493</t>
  </si>
  <si>
    <t>CUST1087</t>
  </si>
  <si>
    <t>Ananya Mehta</t>
  </si>
  <si>
    <t>ORD101584</t>
  </si>
  <si>
    <t>CUST1325</t>
  </si>
  <si>
    <t>ORD101000</t>
  </si>
  <si>
    <t>CUST1595</t>
  </si>
  <si>
    <t>ORD102389</t>
  </si>
  <si>
    <t>Kiran Iyer</t>
  </si>
  <si>
    <t>ORD101594</t>
  </si>
  <si>
    <t>CUST1640</t>
  </si>
  <si>
    <t>ORD102302</t>
  </si>
  <si>
    <t>CUST1070</t>
  </si>
  <si>
    <t>ORD101580</t>
  </si>
  <si>
    <t>ORD100768</t>
  </si>
  <si>
    <t>CUST1650</t>
  </si>
  <si>
    <t>ORD102257</t>
  </si>
  <si>
    <t>CUST1032</t>
  </si>
  <si>
    <t>Ishaan Rao</t>
  </si>
  <si>
    <t>ORD100733</t>
  </si>
  <si>
    <t>CUST1148</t>
  </si>
  <si>
    <t>ORD101519</t>
  </si>
  <si>
    <t>CUST1361</t>
  </si>
  <si>
    <t>Aarav Singh</t>
  </si>
  <si>
    <t>ORD101542</t>
  </si>
  <si>
    <t>CUST1237</t>
  </si>
  <si>
    <t>ORD101988</t>
  </si>
  <si>
    <t>CUST1500</t>
  </si>
  <si>
    <t>ORD100379</t>
  </si>
  <si>
    <t>CUST1049</t>
  </si>
  <si>
    <t>ORD100045</t>
  </si>
  <si>
    <t>ORD100501</t>
  </si>
  <si>
    <t>ORD101623</t>
  </si>
  <si>
    <t>CUST1183</t>
  </si>
  <si>
    <t>ORD102150</t>
  </si>
  <si>
    <t>CUST1094</t>
  </si>
  <si>
    <t>ORD100910</t>
  </si>
  <si>
    <t>ORD100575</t>
  </si>
  <si>
    <t>CUST1083</t>
  </si>
  <si>
    <t>ORD100248</t>
  </si>
  <si>
    <t>CUST1462</t>
  </si>
  <si>
    <t>Rohan Das</t>
  </si>
  <si>
    <t>ORD100482</t>
  </si>
  <si>
    <t>CUST1143</t>
  </si>
  <si>
    <t>ORD101351</t>
  </si>
  <si>
    <t>ORD101655</t>
  </si>
  <si>
    <t>CUST1189</t>
  </si>
  <si>
    <t>ORD100218</t>
  </si>
  <si>
    <t>CUST1150</t>
  </si>
  <si>
    <t>ORD101522</t>
  </si>
  <si>
    <t>ORD102482</t>
  </si>
  <si>
    <t>CUST1372</t>
  </si>
  <si>
    <t>ORD100517</t>
  </si>
  <si>
    <t>CUST1172</t>
  </si>
  <si>
    <t>Vikram Patel</t>
  </si>
  <si>
    <t>ORD100770</t>
  </si>
  <si>
    <t>CUST1600</t>
  </si>
  <si>
    <t>ORD102331</t>
  </si>
  <si>
    <t>CUST1447</t>
  </si>
  <si>
    <t>ORD102297</t>
  </si>
  <si>
    <t>ORD101595</t>
  </si>
  <si>
    <t>CUST1562</t>
  </si>
  <si>
    <t>ORD101168</t>
  </si>
  <si>
    <t>ORD100549</t>
  </si>
  <si>
    <t>CUST1285</t>
  </si>
  <si>
    <t>Neha Reddy</t>
  </si>
  <si>
    <t>ORD101480</t>
  </si>
  <si>
    <t>CUST1637</t>
  </si>
  <si>
    <t>ORD100165</t>
  </si>
  <si>
    <t>ORD100971</t>
  </si>
  <si>
    <t>ORD100505</t>
  </si>
  <si>
    <t>CUST1129</t>
  </si>
  <si>
    <t>ORD102406</t>
  </si>
  <si>
    <t>CUST1551</t>
  </si>
  <si>
    <t>ORD100850</t>
  </si>
  <si>
    <t>ORD101421</t>
  </si>
  <si>
    <t>CUST1386</t>
  </si>
  <si>
    <t>ORD100384</t>
  </si>
  <si>
    <t>CUST1453</t>
  </si>
  <si>
    <t>ORD102357</t>
  </si>
  <si>
    <t>ORD100431</t>
  </si>
  <si>
    <t>Varun Verma</t>
  </si>
  <si>
    <t>ORD100666</t>
  </si>
  <si>
    <t>ORD100100</t>
  </si>
  <si>
    <t>ORD101058</t>
  </si>
  <si>
    <t>ORD100113</t>
  </si>
  <si>
    <t>CUST1184</t>
  </si>
  <si>
    <t>Sneha Gupta</t>
  </si>
  <si>
    <t>ORD102446</t>
  </si>
  <si>
    <t>ORD101983</t>
  </si>
  <si>
    <t>ORD101242</t>
  </si>
  <si>
    <t>ORD100196</t>
  </si>
  <si>
    <t>ORD100805</t>
  </si>
  <si>
    <t>CUST1473</t>
  </si>
  <si>
    <t>ORD100958</t>
  </si>
  <si>
    <t>Kavya Patel</t>
  </si>
  <si>
    <t>ORD100637</t>
  </si>
  <si>
    <t>ORD100244</t>
  </si>
  <si>
    <t>ORD101430</t>
  </si>
  <si>
    <t>CUST1534</t>
  </si>
  <si>
    <t>ORD100249</t>
  </si>
  <si>
    <t>CUST1226</t>
  </si>
  <si>
    <t>ORD101465</t>
  </si>
  <si>
    <t>ORD101561</t>
  </si>
  <si>
    <t>CUST1563</t>
  </si>
  <si>
    <t>ORD101891</t>
  </si>
  <si>
    <t>CUST1544</t>
  </si>
  <si>
    <t>ORD102384</t>
  </si>
  <si>
    <t>ORD101177</t>
  </si>
  <si>
    <t>Ishaan Verma</t>
  </si>
  <si>
    <t>ORD101845</t>
  </si>
  <si>
    <t>ORD102232</t>
  </si>
  <si>
    <t>CUST1109</t>
  </si>
  <si>
    <t>May</t>
  </si>
  <si>
    <t>ORD100438</t>
  </si>
  <si>
    <t>ORD101044</t>
  </si>
  <si>
    <t>CUST1569</t>
  </si>
  <si>
    <t>Kavya Sharma</t>
  </si>
  <si>
    <t>ORD100935</t>
  </si>
  <si>
    <t>Kavya Mehta</t>
  </si>
  <si>
    <t>ORD102419</t>
  </si>
  <si>
    <t>CUST1427</t>
  </si>
  <si>
    <t>ORD101607</t>
  </si>
  <si>
    <t>ORD100834</t>
  </si>
  <si>
    <t>ORD102009</t>
  </si>
  <si>
    <t>CUST1327</t>
  </si>
  <si>
    <t>ORD101353</t>
  </si>
  <si>
    <t>Vikram Gupta</t>
  </si>
  <si>
    <t>ORD100312</t>
  </si>
  <si>
    <t>Arjun Malhotra</t>
  </si>
  <si>
    <t>ORD100364</t>
  </si>
  <si>
    <t>ORD100124</t>
  </si>
  <si>
    <t>ORD100546</t>
  </si>
  <si>
    <t>ORD102449</t>
  </si>
  <si>
    <t>CUST1051</t>
  </si>
  <si>
    <t>ORD101598</t>
  </si>
  <si>
    <t>CUST1242</t>
  </si>
  <si>
    <t>ORD101163</t>
  </si>
  <si>
    <t>CUST1280</t>
  </si>
  <si>
    <t>Rahul Rao</t>
  </si>
  <si>
    <t>ORD102106</t>
  </si>
  <si>
    <t>CUST1501</t>
  </si>
  <si>
    <t>Diya Gupta</t>
  </si>
  <si>
    <t>ORD101773</t>
  </si>
  <si>
    <t>ORD100133</t>
  </si>
  <si>
    <t>CUST1518</t>
  </si>
  <si>
    <t>ORD101428</t>
  </si>
  <si>
    <t>CUST1338</t>
  </si>
  <si>
    <t>ORD101180</t>
  </si>
  <si>
    <t>CUST1106</t>
  </si>
  <si>
    <t>ORD100970</t>
  </si>
  <si>
    <t>ORD101093</t>
  </si>
  <si>
    <t>CUST1625</t>
  </si>
  <si>
    <t>ORD101481</t>
  </si>
  <si>
    <t>CUST1270</t>
  </si>
  <si>
    <t>ORD100404</t>
  </si>
  <si>
    <t>CUST1363</t>
  </si>
  <si>
    <t>Varun Malhotra</t>
  </si>
  <si>
    <t>ORD101202</t>
  </si>
  <si>
    <t>Kavya Naidu</t>
  </si>
  <si>
    <t>ORD101475</t>
  </si>
  <si>
    <t>ORD101871</t>
  </si>
  <si>
    <t>ORD102203</t>
  </si>
  <si>
    <t>ORD100767</t>
  </si>
  <si>
    <t>CUST1589</t>
  </si>
  <si>
    <t>ORD101681</t>
  </si>
  <si>
    <t>CUST1262</t>
  </si>
  <si>
    <t>ORD100521</t>
  </si>
  <si>
    <t>CUST1354</t>
  </si>
  <si>
    <t>Diya Naidu</t>
  </si>
  <si>
    <t>ORD100154</t>
  </si>
  <si>
    <t>CUST1389</t>
  </si>
  <si>
    <t>ORD100273</t>
  </si>
  <si>
    <t>CUST1536</t>
  </si>
  <si>
    <t>ORD100565</t>
  </si>
  <si>
    <t>ORD102310</t>
  </si>
  <si>
    <t>CUST1307</t>
  </si>
  <si>
    <t>ORD100723</t>
  </si>
  <si>
    <t>CUST1302</t>
  </si>
  <si>
    <t>ORD102080</t>
  </si>
  <si>
    <t>CUST1382</t>
  </si>
  <si>
    <t>ORD101271</t>
  </si>
  <si>
    <t>CUST1523</t>
  </si>
  <si>
    <t>ORD100745</t>
  </si>
  <si>
    <t>CUST1293</t>
  </si>
  <si>
    <t>Rohan Reddy</t>
  </si>
  <si>
    <t>ORD101547</t>
  </si>
  <si>
    <t>ORD101141</t>
  </si>
  <si>
    <t>CUST1552</t>
  </si>
  <si>
    <t>ORD102125</t>
  </si>
  <si>
    <t>CUST1128</t>
  </si>
  <si>
    <t>ORD102420</t>
  </si>
  <si>
    <t>CUST1378</t>
  </si>
  <si>
    <t>Aditya Iyer</t>
  </si>
  <si>
    <t>ORD100085</t>
  </si>
  <si>
    <t>CUST1507</t>
  </si>
  <si>
    <t>ORD100858</t>
  </si>
  <si>
    <t>CUST1240</t>
  </si>
  <si>
    <t>ORD101954</t>
  </si>
  <si>
    <t>ORD101088</t>
  </si>
  <si>
    <t>ORD102194</t>
  </si>
  <si>
    <t>CUST1217</t>
  </si>
  <si>
    <t>ORD100091</t>
  </si>
  <si>
    <t>CUST1058</t>
  </si>
  <si>
    <t>ORD100005</t>
  </si>
  <si>
    <t>CUST1612</t>
  </si>
  <si>
    <t>ORD102138</t>
  </si>
  <si>
    <t>ORD100441</t>
  </si>
  <si>
    <t>ORD102017</t>
  </si>
  <si>
    <t>ORD101671</t>
  </si>
  <si>
    <t>CUST1408</t>
  </si>
  <si>
    <t>ORD101368</t>
  </si>
  <si>
    <t>CUST1196</t>
  </si>
  <si>
    <t>ORD100643</t>
  </si>
  <si>
    <t>ORD101066</t>
  </si>
  <si>
    <t>CUST1022</t>
  </si>
  <si>
    <t>ORD100962</t>
  </si>
  <si>
    <t>CUST1050</t>
  </si>
  <si>
    <t>ORD100151</t>
  </si>
  <si>
    <t>ORD100053</t>
  </si>
  <si>
    <t>CUST1332</t>
  </si>
  <si>
    <t>Arjun Reddy</t>
  </si>
  <si>
    <t>ORD100843</t>
  </si>
  <si>
    <t>CUST1277</t>
  </si>
  <si>
    <t>Pooja Sharma</t>
  </si>
  <si>
    <t>ORD102382</t>
  </si>
  <si>
    <t>ORD101785</t>
  </si>
  <si>
    <t>CUST1186</t>
  </si>
  <si>
    <t>Rohan Mehta</t>
  </si>
  <si>
    <t>ORD100168</t>
  </si>
  <si>
    <t>CUST1255</t>
  </si>
  <si>
    <t>ORD100226</t>
  </si>
  <si>
    <t>ORD100348</t>
  </si>
  <si>
    <t>ORD100265</t>
  </si>
  <si>
    <t>ORD100360</t>
  </si>
  <si>
    <t>ORD102414</t>
  </si>
  <si>
    <t>ORD100774</t>
  </si>
  <si>
    <t>ORD101545</t>
  </si>
  <si>
    <t>CUST1328</t>
  </si>
  <si>
    <t>Meera Gupta</t>
  </si>
  <si>
    <t>ORD101477</t>
  </si>
  <si>
    <t>ORD101427</t>
  </si>
  <si>
    <t>CUST1097</t>
  </si>
  <si>
    <t>ORD100148</t>
  </si>
  <si>
    <t>ORD100101</t>
  </si>
  <si>
    <t>ORD101690</t>
  </si>
  <si>
    <t>CUST1630</t>
  </si>
  <si>
    <t>ORD101801</t>
  </si>
  <si>
    <t>Priya Sharma</t>
  </si>
  <si>
    <t>ORD101225</t>
  </si>
  <si>
    <t>ORD101282</t>
  </si>
  <si>
    <t>Pooja Malhotra</t>
  </si>
  <si>
    <t>ORD100081</t>
  </si>
  <si>
    <t>Rohan Nair</t>
  </si>
  <si>
    <t>ORD100399</t>
  </si>
  <si>
    <t>CUST1093</t>
  </si>
  <si>
    <t>Kavya Nair</t>
  </si>
  <si>
    <t>ORD100495</t>
  </si>
  <si>
    <t>ORD102353</t>
  </si>
  <si>
    <t>ORD100979</t>
  </si>
  <si>
    <t>ORD102249</t>
  </si>
  <si>
    <t>ORD100352</t>
  </si>
  <si>
    <t>CUST1397</t>
  </si>
  <si>
    <t>ORD102400</t>
  </si>
  <si>
    <t>CUST1633</t>
  </si>
  <si>
    <t>Jun</t>
  </si>
  <si>
    <t>ORD101881</t>
  </si>
  <si>
    <t>CUST1590</t>
  </si>
  <si>
    <t>ORD100612</t>
  </si>
  <si>
    <t>ORD101885</t>
  </si>
  <si>
    <t>ORD101159</t>
  </si>
  <si>
    <t>ORD101819</t>
  </si>
  <si>
    <t>CUST1570</t>
  </si>
  <si>
    <t>ORD101289</t>
  </si>
  <si>
    <t>CUST1002</t>
  </si>
  <si>
    <t>ORD100740</t>
  </si>
  <si>
    <t>ORD100280</t>
  </si>
  <si>
    <t>ORD102061</t>
  </si>
  <si>
    <t>CUST1416</t>
  </si>
  <si>
    <t>ORD102079</t>
  </si>
  <si>
    <t>CUST1227</t>
  </si>
  <si>
    <t>ORD101799</t>
  </si>
  <si>
    <t>ORD100906</t>
  </si>
  <si>
    <t>CUST1073</t>
  </si>
  <si>
    <t>Ishaan Naidu</t>
  </si>
  <si>
    <t>ORD102044</t>
  </si>
  <si>
    <t>CUST1288</t>
  </si>
  <si>
    <t>ORD101267</t>
  </si>
  <si>
    <t>ORD101605</t>
  </si>
  <si>
    <t>ORD100650</t>
  </si>
  <si>
    <t>ORD101064</t>
  </si>
  <si>
    <t>ORD101054</t>
  </si>
  <si>
    <t>ORD101240</t>
  </si>
  <si>
    <t>CUST1505</t>
  </si>
  <si>
    <t>ORD102485</t>
  </si>
  <si>
    <t>ORD100516</t>
  </si>
  <si>
    <t>ORD101442</t>
  </si>
  <si>
    <t>CUST1034</t>
  </si>
  <si>
    <t>ORD102133</t>
  </si>
  <si>
    <t>ORD101338</t>
  </si>
  <si>
    <t>CUST1111</t>
  </si>
  <si>
    <t>Kiran Gupta</t>
  </si>
  <si>
    <t>ORD101529</t>
  </si>
  <si>
    <t>ORD101650</t>
  </si>
  <si>
    <t>CUST1463</t>
  </si>
  <si>
    <t>ORD100080</t>
  </si>
  <si>
    <t>Rahul Kumar</t>
  </si>
  <si>
    <t>ORD102094</t>
  </si>
  <si>
    <t>ORD101562</t>
  </si>
  <si>
    <t>CUST1403</t>
  </si>
  <si>
    <t>Sanjana Malhotra</t>
  </si>
  <si>
    <t>ORD101447</t>
  </si>
  <si>
    <t>ORD102168</t>
  </si>
  <si>
    <t>ORD100919</t>
  </si>
  <si>
    <t>ORD101441</t>
  </si>
  <si>
    <t>ORD100901</t>
  </si>
  <si>
    <t>CUST1132</t>
  </si>
  <si>
    <t>ORD101209</t>
  </si>
  <si>
    <t>CUST1286</t>
  </si>
  <si>
    <t>ORD101811</t>
  </si>
  <si>
    <t>ORD101953</t>
  </si>
  <si>
    <t>CUST1253</t>
  </si>
  <si>
    <t>ORD101024</t>
  </si>
  <si>
    <t>CUST1358</t>
  </si>
  <si>
    <t>ORD101326</t>
  </si>
  <si>
    <t>Priya Kumar</t>
  </si>
  <si>
    <t>ORD100713</t>
  </si>
  <si>
    <t>CUST1154</t>
  </si>
  <si>
    <t>Nikhil Reddy</t>
  </si>
  <si>
    <t>ORD100595</t>
  </si>
  <si>
    <t>CUST1357</t>
  </si>
  <si>
    <t>ORD100759</t>
  </si>
  <si>
    <t>ORD101820</t>
  </si>
  <si>
    <t>ORD100297</t>
  </si>
  <si>
    <t>ORD100665</t>
  </si>
  <si>
    <t>CUST1641</t>
  </si>
  <si>
    <t>ORD101494</t>
  </si>
  <si>
    <t>CUST1450</t>
  </si>
  <si>
    <t>ORD100197</t>
  </si>
  <si>
    <t>ORD100385</t>
  </si>
  <si>
    <t>ORD101329</t>
  </si>
  <si>
    <t>ORD100025</t>
  </si>
  <si>
    <t>ORD101298</t>
  </si>
  <si>
    <t>ORD101367</t>
  </si>
  <si>
    <t>ORD101005</t>
  </si>
  <si>
    <t>CUST1046</t>
  </si>
  <si>
    <t>ORD101556</t>
  </si>
  <si>
    <t>ORD102187</t>
  </si>
  <si>
    <t>ORD101316</t>
  </si>
  <si>
    <t>ORD101130</t>
  </si>
  <si>
    <t>CUST1449</t>
  </si>
  <si>
    <t>Aisha Rao</t>
  </si>
  <si>
    <t>ORD100182</t>
  </si>
  <si>
    <t>CUST1304</t>
  </si>
  <si>
    <t>ORD101189</t>
  </si>
  <si>
    <t>ORD102450</t>
  </si>
  <si>
    <t>ORD101579</t>
  </si>
  <si>
    <t>CUST1177</t>
  </si>
  <si>
    <t>ORD100952</t>
  </si>
  <si>
    <t>Ananya Rao</t>
  </si>
  <si>
    <t>ORD101049</t>
  </si>
  <si>
    <t>ORD101034</t>
  </si>
  <si>
    <t>ORD102097</t>
  </si>
  <si>
    <t>CUST1365</t>
  </si>
  <si>
    <t>ORD101364</t>
  </si>
  <si>
    <t>ORD101810</t>
  </si>
  <si>
    <t>Aarav Joshi</t>
  </si>
  <si>
    <t>ORD102491</t>
  </si>
  <si>
    <t>ORD101517</t>
  </si>
  <si>
    <t>CUST1126</t>
  </si>
  <si>
    <t>ORD101251</t>
  </si>
  <si>
    <t>ORD100281</t>
  </si>
  <si>
    <t>CUST1116</t>
  </si>
  <si>
    <t>ORD100647</t>
  </si>
  <si>
    <t>ORD100194</t>
  </si>
  <si>
    <t>ORD101974</t>
  </si>
  <si>
    <t>ORD100051</t>
  </si>
  <si>
    <t>ORD100744</t>
  </si>
  <si>
    <t>CUST1247</t>
  </si>
  <si>
    <t>ORD100006</t>
  </si>
  <si>
    <t>ORD102027</t>
  </si>
  <si>
    <t>ORD101124</t>
  </si>
  <si>
    <t>ORD102261</t>
  </si>
  <si>
    <t>CUST1248</t>
  </si>
  <si>
    <t>ORD100717</t>
  </si>
  <si>
    <t>ORD100670</t>
  </si>
  <si>
    <t>CUST1348</t>
  </si>
  <si>
    <t>ORD100614</t>
  </si>
  <si>
    <t>Aditya Sharma</t>
  </si>
  <si>
    <t>ORD100472</t>
  </si>
  <si>
    <t>ORD102291</t>
  </si>
  <si>
    <t>ORD100393</t>
  </si>
  <si>
    <t>CUST1525</t>
  </si>
  <si>
    <t>ORD101055</t>
  </si>
  <si>
    <t>Diya Malhotra</t>
  </si>
  <si>
    <t>ORD101149</t>
  </si>
  <si>
    <t>Sneha Sharma</t>
  </si>
  <si>
    <t>ORD101160</t>
  </si>
  <si>
    <t>ORD100763</t>
  </si>
  <si>
    <t>ORD102200</t>
  </si>
  <si>
    <t>ORD102443</t>
  </si>
  <si>
    <t>ORD102330</t>
  </si>
  <si>
    <t>ORD101472</t>
  </si>
  <si>
    <t>ORD101513</t>
  </si>
  <si>
    <t>ORD101808</t>
  </si>
  <si>
    <t>Jul</t>
  </si>
  <si>
    <t>Q3</t>
  </si>
  <si>
    <t>ORD102238</t>
  </si>
  <si>
    <t>ORD101205</t>
  </si>
  <si>
    <t>CUST1648</t>
  </si>
  <si>
    <t>ORD100236</t>
  </si>
  <si>
    <t>CUST1424</t>
  </si>
  <si>
    <t>ORD102393</t>
  </si>
  <si>
    <t>ORD100350</t>
  </si>
  <si>
    <t>ORD100115</t>
  </si>
  <si>
    <t>ORD101604</t>
  </si>
  <si>
    <t>CUST1556</t>
  </si>
  <si>
    <t>Kavya Malhotra</t>
  </si>
  <si>
    <t>ORD101043</t>
  </si>
  <si>
    <t>CUST1261</t>
  </si>
  <si>
    <t>ORD100296</t>
  </si>
  <si>
    <t>ORD101235</t>
  </si>
  <si>
    <t>ORD101565</t>
  </si>
  <si>
    <t>CUST1522</t>
  </si>
  <si>
    <t>ORD100937</t>
  </si>
  <si>
    <t>ORD100710</t>
  </si>
  <si>
    <t>CUST1081</t>
  </si>
  <si>
    <t>ORD100557</t>
  </si>
  <si>
    <t>ORD101755</t>
  </si>
  <si>
    <t>Ishaan Das</t>
  </si>
  <si>
    <t>ORD101331</t>
  </si>
  <si>
    <t>CUST1031</t>
  </si>
  <si>
    <t>ORD101903</t>
  </si>
  <si>
    <t>ORD102188</t>
  </si>
  <si>
    <t>Aarav Kumar</t>
  </si>
  <si>
    <t>ORD101575</t>
  </si>
  <si>
    <t>Rohan Iyer</t>
  </si>
  <si>
    <t>ORD100143</t>
  </si>
  <si>
    <t>ORD100844</t>
  </si>
  <si>
    <t>CUST1355</t>
  </si>
  <si>
    <t>ORD100496</t>
  </si>
  <si>
    <t>CUST1074</t>
  </si>
  <si>
    <t>ORD102473</t>
  </si>
  <si>
    <t>ORD102250</t>
  </si>
  <si>
    <t>ORD100927</t>
  </si>
  <si>
    <t>ORD100406</t>
  </si>
  <si>
    <t>CUST1214</t>
  </si>
  <si>
    <t>Varun Joshi</t>
  </si>
  <si>
    <t>ORD101622</t>
  </si>
  <si>
    <t>CUST1546</t>
  </si>
  <si>
    <t>ORD102271</t>
  </si>
  <si>
    <t>ORD100477</t>
  </si>
  <si>
    <t>ORD100189</t>
  </si>
  <si>
    <t>CUST1274</t>
  </si>
  <si>
    <t>Ishaan Malhotra</t>
  </si>
  <si>
    <t>ORD100424</t>
  </si>
  <si>
    <t>Aarav Verma</t>
  </si>
  <si>
    <t>ORD101587</t>
  </si>
  <si>
    <t>ORD102024</t>
  </si>
  <si>
    <t>CUST1045</t>
  </si>
  <si>
    <t>ORD100195</t>
  </si>
  <si>
    <t>ORD100485</t>
  </si>
  <si>
    <t>ORD101673</t>
  </si>
  <si>
    <t>ORD100699</t>
  </si>
  <si>
    <t>ORD100777</t>
  </si>
  <si>
    <t>CUST1649</t>
  </si>
  <si>
    <t>ORD101991</t>
  </si>
  <si>
    <t>ORD101806</t>
  </si>
  <si>
    <t>ORD101347</t>
  </si>
  <si>
    <t>ORD102335</t>
  </si>
  <si>
    <t>Priya Das</t>
  </si>
  <si>
    <t>ORD101031</t>
  </si>
  <si>
    <t>ORD100451</t>
  </si>
  <si>
    <t>ORD102039</t>
  </si>
  <si>
    <t>ORD100816</t>
  </si>
  <si>
    <t>ORD101355</t>
  </si>
  <si>
    <t>Priya Verma</t>
  </si>
  <si>
    <t>ORD102338</t>
  </si>
  <si>
    <t>ORD101365</t>
  </si>
  <si>
    <t>CUST1105</t>
  </si>
  <si>
    <t>ORD100481</t>
  </si>
  <si>
    <t>CUST1194</t>
  </si>
  <si>
    <t>ORD102215</t>
  </si>
  <si>
    <t>ORD100030</t>
  </si>
  <si>
    <t>ORD100088</t>
  </si>
  <si>
    <t>ORD100675</t>
  </si>
  <si>
    <t>CUST1318</t>
  </si>
  <si>
    <t>ORD100563</t>
  </si>
  <si>
    <t>ORD100387</t>
  </si>
  <si>
    <t>CUST1089</t>
  </si>
  <si>
    <t>ORD101050</t>
  </si>
  <si>
    <t>CUST1005</t>
  </si>
  <si>
    <t>ORD102262</t>
  </si>
  <si>
    <t>CUST1199</t>
  </si>
  <si>
    <t>ORD102488</t>
  </si>
  <si>
    <t>CUST1059</t>
  </si>
  <si>
    <t>ORD100722</t>
  </si>
  <si>
    <t>ORD102155</t>
  </si>
  <si>
    <t>CUST1287</t>
  </si>
  <si>
    <t>ORD101415</t>
  </si>
  <si>
    <t>ORD100863</t>
  </si>
  <si>
    <t>ORD102117</t>
  </si>
  <si>
    <t>ORD100629</t>
  </si>
  <si>
    <t>ORD102246</t>
  </si>
  <si>
    <t>ORD100977</t>
  </si>
  <si>
    <t>ORD100798</t>
  </si>
  <si>
    <t>ORD101111</t>
  </si>
  <si>
    <t>ORD100628</t>
  </si>
  <si>
    <t>ORD100861</t>
  </si>
  <si>
    <t>CUST1542</t>
  </si>
  <si>
    <t>ORD101175</t>
  </si>
  <si>
    <t>Aisha Iyer</t>
  </si>
  <si>
    <t>ORD101040</t>
  </si>
  <si>
    <t>CUST1476</t>
  </si>
  <si>
    <t>ORD100034</t>
  </si>
  <si>
    <t>ORD101877</t>
  </si>
  <si>
    <t>ORD101192</t>
  </si>
  <si>
    <t>ORD100515</t>
  </si>
  <si>
    <t>ORD101404</t>
  </si>
  <si>
    <t>ORD100212</t>
  </si>
  <si>
    <t>CUST1405</t>
  </si>
  <si>
    <t>ORD100304</t>
  </si>
  <si>
    <t>ORD101717</t>
  </si>
  <si>
    <t>ORD101288</t>
  </si>
  <si>
    <t>Meera Malhotra</t>
  </si>
  <si>
    <t>ORD101238</t>
  </si>
  <si>
    <t>ORD101619</t>
  </si>
  <si>
    <t>ORD100690</t>
  </si>
  <si>
    <t>ORD101550</t>
  </si>
  <si>
    <t>CUST1553</t>
  </si>
  <si>
    <t>Ananya Verma</t>
  </si>
  <si>
    <t>ORD101389</t>
  </si>
  <si>
    <t>CUST1359</t>
  </si>
  <si>
    <t>ORD100724</t>
  </si>
  <si>
    <t>Diya Rao</t>
  </si>
  <si>
    <t>ORD101286</t>
  </si>
  <si>
    <t>ORD100839</t>
  </si>
  <si>
    <t>Rahul Malhotra</t>
  </si>
  <si>
    <t>ORD100419</t>
  </si>
  <si>
    <t>CUST1279</t>
  </si>
  <si>
    <t>Aug</t>
  </si>
  <si>
    <t>ORD102316</t>
  </si>
  <si>
    <t>Aisha Gupta</t>
  </si>
  <si>
    <t>ORD100355</t>
  </si>
  <si>
    <t>ORD101083</t>
  </si>
  <si>
    <t>ORD102403</t>
  </si>
  <si>
    <t>Ishaan Joshi</t>
  </si>
  <si>
    <t>ORD100601</t>
  </si>
  <si>
    <t>ORD101346</t>
  </si>
  <si>
    <t>ORD100568</t>
  </si>
  <si>
    <t>ORD101935</t>
  </si>
  <si>
    <t>Aditya Malhotra</t>
  </si>
  <si>
    <t>ORD100751</t>
  </si>
  <si>
    <t>CUST1090</t>
  </si>
  <si>
    <t>ORD100955</t>
  </si>
  <si>
    <t>ORD100523</t>
  </si>
  <si>
    <t>ORD102040</t>
  </si>
  <si>
    <t>ORD101809</t>
  </si>
  <si>
    <t>ORD102228</t>
  </si>
  <si>
    <t>ORD100134</t>
  </si>
  <si>
    <t>ORD100694</t>
  </si>
  <si>
    <t>ORD101559</t>
  </si>
  <si>
    <t>ORD101855</t>
  </si>
  <si>
    <t>CUST1634</t>
  </si>
  <si>
    <t>ORD101668</t>
  </si>
  <si>
    <t>ORD101525</t>
  </si>
  <si>
    <t>ORD102180</t>
  </si>
  <si>
    <t>CUST1191</t>
  </si>
  <si>
    <t>ORD101018</t>
  </si>
  <si>
    <t>CUST1210</t>
  </si>
  <si>
    <t>ORD101360</t>
  </si>
  <si>
    <t>ORD101052</t>
  </si>
  <si>
    <t>CUST1607</t>
  </si>
  <si>
    <t>ORD101703</t>
  </si>
  <si>
    <t>CUST1282</t>
  </si>
  <si>
    <t>ORD101354</t>
  </si>
  <si>
    <t>ORD100246</t>
  </si>
  <si>
    <t>ORD100846</t>
  </si>
  <si>
    <t>ORD102241</t>
  </si>
  <si>
    <t>ORD101188</t>
  </si>
  <si>
    <t>ORD100808</t>
  </si>
  <si>
    <t>CUST1231</t>
  </si>
  <si>
    <t>ORD101627</t>
  </si>
  <si>
    <t>ORD101931</t>
  </si>
  <si>
    <t>CUST1080</t>
  </si>
  <si>
    <t>ORD101045</t>
  </si>
  <si>
    <t>ORD101100</t>
  </si>
  <si>
    <t>ORD100428</t>
  </si>
  <si>
    <t>ORD100282</t>
  </si>
  <si>
    <t>CUST1387</t>
  </si>
  <si>
    <t>ORD101824</t>
  </si>
  <si>
    <t>ORD100651</t>
  </si>
  <si>
    <t>ORD100676</t>
  </si>
  <si>
    <t>ORD101010</t>
  </si>
  <si>
    <t>ORD100623</t>
  </si>
  <si>
    <t>ORD100776</t>
  </si>
  <si>
    <t>ORD101907</t>
  </si>
  <si>
    <t>ORD100608</t>
  </si>
  <si>
    <t>CUST1477</t>
  </si>
  <si>
    <t>ORD100714</t>
  </si>
  <si>
    <t>ORD101466</t>
  </si>
  <si>
    <t>ORD101383</t>
  </si>
  <si>
    <t>ORD100730</t>
  </si>
  <si>
    <t>CUST1364</t>
  </si>
  <si>
    <t>ORD101563</t>
  </si>
  <si>
    <t>ORD101155</t>
  </si>
  <si>
    <t>Diya Kumar</t>
  </si>
  <si>
    <t>ORD100500</t>
  </si>
  <si>
    <t>ORD101783</t>
  </si>
  <si>
    <t>CUST1604</t>
  </si>
  <si>
    <t>ORD100587</t>
  </si>
  <si>
    <t>ORD101443</t>
  </si>
  <si>
    <t>CUST1257</t>
  </si>
  <si>
    <t>ORD100750</t>
  </si>
  <si>
    <t>ORD101658</t>
  </si>
  <si>
    <t>ORD100932</t>
  </si>
  <si>
    <t>ORD100183</t>
  </si>
  <si>
    <t>ORD101399</t>
  </si>
  <si>
    <t>ORD100736</t>
  </si>
  <si>
    <t>CUST1233</t>
  </si>
  <si>
    <t>ORD102294</t>
  </si>
  <si>
    <t>ORD100854</t>
  </si>
  <si>
    <t>ORD102206</t>
  </si>
  <si>
    <t>ORD101723</t>
  </si>
  <si>
    <t>ORD100813</t>
  </si>
  <si>
    <t>ORD101414</t>
  </si>
  <si>
    <t>ORD101802</t>
  </si>
  <si>
    <t>CUST1271</t>
  </si>
  <si>
    <t>ORD100588</t>
  </si>
  <si>
    <t>CUST1146</t>
  </si>
  <si>
    <t>ORD101498</t>
  </si>
  <si>
    <t>ORD102455</t>
  </si>
  <si>
    <t>CUST1454</t>
  </si>
  <si>
    <t>ORD100173</t>
  </si>
  <si>
    <t>Kiran Nair</t>
  </si>
  <si>
    <t>ORD102487</t>
  </si>
  <si>
    <t>ORD100153</t>
  </si>
  <si>
    <t>ORD100024</t>
  </si>
  <si>
    <t>ORD101126</t>
  </si>
  <si>
    <t>ORD102151</t>
  </si>
  <si>
    <t>CUST1266</t>
  </si>
  <si>
    <t>ORD102260</t>
  </si>
  <si>
    <t>CUST1532</t>
  </si>
  <si>
    <t>ORD100220</t>
  </si>
  <si>
    <t>ORD101851</t>
  </si>
  <si>
    <t>CUST1165</t>
  </si>
  <si>
    <t>ORD101230</t>
  </si>
  <si>
    <t>CUST1514</t>
  </si>
  <si>
    <t>ORD102052</t>
  </si>
  <si>
    <t>ORD102183</t>
  </si>
  <si>
    <t>CUST1517</t>
  </si>
  <si>
    <t>ORD101662</t>
  </si>
  <si>
    <t>ORD102304</t>
  </si>
  <si>
    <t>ORD100036</t>
  </si>
  <si>
    <t>ORD100579</t>
  </si>
  <si>
    <t>ORD100510</t>
  </si>
  <si>
    <t>CUST1044</t>
  </si>
  <si>
    <t>ORD101464</t>
  </si>
  <si>
    <t>ORD100240</t>
  </si>
  <si>
    <t>ORD100136</t>
  </si>
  <si>
    <t>ORD101437</t>
  </si>
  <si>
    <t>ORD100616</t>
  </si>
  <si>
    <t>ORD101432</t>
  </si>
  <si>
    <t>ORD101818</t>
  </si>
  <si>
    <t>ORD100238</t>
  </si>
  <si>
    <t>ORD101865</t>
  </si>
  <si>
    <t>CUST1446</t>
  </si>
  <si>
    <t>ORD100331</t>
  </si>
  <si>
    <t>Sanjana Patel</t>
  </si>
  <si>
    <t>ORD100211</t>
  </si>
  <si>
    <t>ORD101838</t>
  </si>
  <si>
    <t>CUST1579</t>
  </si>
  <si>
    <t>ORD100290</t>
  </si>
  <si>
    <t>ORD100122</t>
  </si>
  <si>
    <t>CUST1273</t>
  </si>
  <si>
    <t>ORD100609</t>
  </si>
  <si>
    <t>CUST1484</t>
  </si>
  <si>
    <t>ORD101409</t>
  </si>
  <si>
    <t>CUST1053</t>
  </si>
  <si>
    <t>Ananya Malhotra</t>
  </si>
  <si>
    <t>ORD100274</t>
  </si>
  <si>
    <t>ORD102077</t>
  </si>
  <si>
    <t>ORD101731</t>
  </si>
  <si>
    <t>CUST1567</t>
  </si>
  <si>
    <t>ORD100687</t>
  </si>
  <si>
    <t>CUST1577</t>
  </si>
  <si>
    <t>ORD101528</t>
  </si>
  <si>
    <t>ORD102272</t>
  </si>
  <si>
    <t>ORD100922</t>
  </si>
  <si>
    <t>CUST1393</t>
  </si>
  <si>
    <t>ORD100525</t>
  </si>
  <si>
    <t>CUST1475</t>
  </si>
  <si>
    <t>Sep</t>
  </si>
  <si>
    <t>ORD101628</t>
  </si>
  <si>
    <t>CUST1513</t>
  </si>
  <si>
    <t>ORD101747</t>
  </si>
  <si>
    <t>ORD101069</t>
  </si>
  <si>
    <t>Aarav Sharma</t>
  </si>
  <si>
    <t>ORD101146</t>
  </si>
  <si>
    <t>ORD102216</t>
  </si>
  <si>
    <t>CUST1342</t>
  </si>
  <si>
    <t>ORD101505</t>
  </si>
  <si>
    <t>ORD101097</t>
  </si>
  <si>
    <t>ORD100200</t>
  </si>
  <si>
    <t>ORD100827</t>
  </si>
  <si>
    <t>ORD100012</t>
  </si>
  <si>
    <t>CUST1626</t>
  </si>
  <si>
    <t>ORD100293</t>
  </si>
  <si>
    <t>ORD100251</t>
  </si>
  <si>
    <t>CUST1190</t>
  </si>
  <si>
    <t>ORD100742</t>
  </si>
  <si>
    <t>ORD102243</t>
  </si>
  <si>
    <t>CUST1591</t>
  </si>
  <si>
    <t>ORD100069</t>
  </si>
  <si>
    <t>ORD101128</t>
  </si>
  <si>
    <t>ORD102323</t>
  </si>
  <si>
    <t>ORD101591</t>
  </si>
  <si>
    <t>ORD102153</t>
  </si>
  <si>
    <t>ORD101670</t>
  </si>
  <si>
    <t>ORD100079</t>
  </si>
  <si>
    <t>CUST1504</t>
  </si>
  <si>
    <t>ORD101947</t>
  </si>
  <si>
    <t>ORD100900</t>
  </si>
  <si>
    <t>ORD101641</t>
  </si>
  <si>
    <t>ORD102296</t>
  </si>
  <si>
    <t>CUST1554</t>
  </si>
  <si>
    <t>ORD100686</t>
  </si>
  <si>
    <t>ORD101019</t>
  </si>
  <si>
    <t>ORD102356</t>
  </si>
  <si>
    <t>ORD100920</t>
  </si>
  <si>
    <t>ORD100433</t>
  </si>
  <si>
    <t>ORD100656</t>
  </si>
  <si>
    <t>CUST1561</t>
  </si>
  <si>
    <t>ORD102015</t>
  </si>
  <si>
    <t>CUST1108</t>
  </si>
  <si>
    <t>ORD102284</t>
  </si>
  <si>
    <t>ORD101879</t>
  </si>
  <si>
    <t>CUST1048</t>
  </si>
  <si>
    <t>Aditya Verma</t>
  </si>
  <si>
    <t>ORD100254</t>
  </si>
  <si>
    <t>ORD101021</t>
  </si>
  <si>
    <t>ORD102109</t>
  </si>
  <si>
    <t>CUST1114</t>
  </si>
  <si>
    <t>ORD100743</t>
  </si>
  <si>
    <t>ORD100178</t>
  </si>
  <si>
    <t>ORD101479</t>
  </si>
  <si>
    <t>CUST1642</t>
  </si>
  <si>
    <t>ORD100869</t>
  </si>
  <si>
    <t>ORD101402</t>
  </si>
  <si>
    <t>ORD101449</t>
  </si>
  <si>
    <t>ORD100266</t>
  </si>
  <si>
    <t>ORD101823</t>
  </si>
  <si>
    <t>ORD100250</t>
  </si>
  <si>
    <t>ORD101348</t>
  </si>
  <si>
    <t>ORD100135</t>
  </si>
  <si>
    <t>ORD102367</t>
  </si>
  <si>
    <t>ORD100170</t>
  </si>
  <si>
    <t>ORD101832</t>
  </si>
  <si>
    <t>ORD101526</t>
  </si>
  <si>
    <t>ORD101657</t>
  </si>
  <si>
    <t>ORD100108</t>
  </si>
  <si>
    <t>ORD102213</t>
  </si>
  <si>
    <t>CUST1503</t>
  </si>
  <si>
    <t>ORD100996</t>
  </si>
  <si>
    <t>CUST1549</t>
  </si>
  <si>
    <t>ORD101553</t>
  </si>
  <si>
    <t>ORD102230</t>
  </si>
  <si>
    <t>ORD101590</t>
  </si>
  <si>
    <t>CUST1488</t>
  </si>
  <si>
    <t>ORD101104</t>
  </si>
  <si>
    <t>ORD100597</t>
  </si>
  <si>
    <t>ORD100990</t>
  </si>
  <si>
    <t>ORD101711</t>
  </si>
  <si>
    <t>CUST1166</t>
  </si>
  <si>
    <t>ORD100147</t>
  </si>
  <si>
    <t>ORD102127</t>
  </si>
  <si>
    <t>ORD102359</t>
  </si>
  <si>
    <t>ORD100821</t>
  </si>
  <si>
    <t>CUST1459</t>
  </si>
  <si>
    <t>ORD102134</t>
  </si>
  <si>
    <t>ORD101359</t>
  </si>
  <si>
    <t>CUST1167</t>
  </si>
  <si>
    <t>ORD101220</t>
  </si>
  <si>
    <t>ORD100018</t>
  </si>
  <si>
    <t>CUST1538</t>
  </si>
  <si>
    <t>ORD102479</t>
  </si>
  <si>
    <t>CUST1537</t>
  </si>
  <si>
    <t>ORD101792</t>
  </si>
  <si>
    <t>ORD101214</t>
  </si>
  <si>
    <t>ORD102189</t>
  </si>
  <si>
    <t>CUST1175</t>
  </si>
  <si>
    <t>ORD101301</t>
  </si>
  <si>
    <t>ORD101302</t>
  </si>
  <si>
    <t>CUST1145</t>
  </si>
  <si>
    <t>ORD100721</t>
  </si>
  <si>
    <t>CUST1331</t>
  </si>
  <si>
    <t>ORD100705</t>
  </si>
  <si>
    <t>ORD100542</t>
  </si>
  <si>
    <t>ORD100004</t>
  </si>
  <si>
    <t>ORD102032</t>
  </si>
  <si>
    <t>CUST1483</t>
  </si>
  <si>
    <t>Ishaan Sharma</t>
  </si>
  <si>
    <t>ORD101955</t>
  </si>
  <si>
    <t>ORD100794</t>
  </si>
  <si>
    <t>ORD101775</t>
  </si>
  <si>
    <t>CUST1224</t>
  </si>
  <si>
    <t>ORD100233</t>
  </si>
  <si>
    <t>ORD100444</t>
  </si>
  <si>
    <t>ORD100669</t>
  </si>
  <si>
    <t>ORD100068</t>
  </si>
  <si>
    <t>CUST1329</t>
  </si>
  <si>
    <t>ORD100877</t>
  </si>
  <si>
    <t>ORD100116</t>
  </si>
  <si>
    <t>ORD101617</t>
  </si>
  <si>
    <t>ORD102129</t>
  </si>
  <si>
    <t>ORD101652</t>
  </si>
  <si>
    <t>Ananya Naidu</t>
  </si>
  <si>
    <t>ORD101468</t>
  </si>
  <si>
    <t>CUST1448</t>
  </si>
  <si>
    <t>Priya Iyer</t>
  </si>
  <si>
    <t>ORD102308</t>
  </si>
  <si>
    <t>ORD100852</t>
  </si>
  <si>
    <t>ORD102041</t>
  </si>
  <si>
    <t>Oct</t>
  </si>
  <si>
    <t>Q4</t>
  </si>
  <si>
    <t>ORD101728</t>
  </si>
  <si>
    <t>ORD101914</t>
  </si>
  <si>
    <t>ORD100161</t>
  </si>
  <si>
    <t>ORD100054</t>
  </si>
  <si>
    <t>CUST1638</t>
  </si>
  <si>
    <t>ORD101381</t>
  </si>
  <si>
    <t>ORD100105</t>
  </si>
  <si>
    <t>ORD101112</t>
  </si>
  <si>
    <t>ORD101412</t>
  </si>
  <si>
    <t>CUST1402</t>
  </si>
  <si>
    <t>ORD101374</t>
  </si>
  <si>
    <t>ORD100454</t>
  </si>
  <si>
    <t>ORD102139</t>
  </si>
  <si>
    <t>ORD102498</t>
  </si>
  <si>
    <t>ORD100208</t>
  </si>
  <si>
    <t>ORD101418</t>
  </si>
  <si>
    <t>ORD100896</t>
  </si>
  <si>
    <t>ORD101070</t>
  </si>
  <si>
    <t>ORD100094</t>
  </si>
  <si>
    <t>ORD100329</t>
  </si>
  <si>
    <t>ORD100938</t>
  </si>
  <si>
    <t>ORD100514</t>
  </si>
  <si>
    <t>CUST1309</t>
  </si>
  <si>
    <t>ORD101373</t>
  </si>
  <si>
    <t>ORD102120</t>
  </si>
  <si>
    <t>CUST1260</t>
  </si>
  <si>
    <t>ORD101970</t>
  </si>
  <si>
    <t>ORD101438</t>
  </si>
  <si>
    <t>ORD102392</t>
  </si>
  <si>
    <t>ORD100314</t>
  </si>
  <si>
    <t>ORD101859</t>
  </si>
  <si>
    <t>ORD101042</t>
  </si>
  <si>
    <t>ORD100871</t>
  </si>
  <si>
    <t>ORD101577</t>
  </si>
  <si>
    <t>ORD102319</t>
  </si>
  <si>
    <t>CUST1340</t>
  </si>
  <si>
    <t>ORD101504</t>
  </si>
  <si>
    <t>ORD101017</t>
  </si>
  <si>
    <t>CUST1142</t>
  </si>
  <si>
    <t>ORD100155</t>
  </si>
  <si>
    <t>ORD100887</t>
  </si>
  <si>
    <t>ORD100727</t>
  </si>
  <si>
    <t>ORD101997</t>
  </si>
  <si>
    <t>ORD102091</t>
  </si>
  <si>
    <t>CUST1460</t>
  </si>
  <si>
    <t>ORD100141</t>
  </si>
  <si>
    <t>ORD100752</t>
  </si>
  <si>
    <t>ORD100757</t>
  </si>
  <si>
    <t>ORD101524</t>
  </si>
  <si>
    <t>ORD101621</t>
  </si>
  <si>
    <t>ORD101372</t>
  </si>
  <si>
    <t>ORD100731</t>
  </si>
  <si>
    <t>ORD102372</t>
  </si>
  <si>
    <t>ORD101532</t>
  </si>
  <si>
    <t>ORD102179</t>
  </si>
  <si>
    <t>ORD100509</t>
  </si>
  <si>
    <t>ORD100422</t>
  </si>
  <si>
    <t>ORD102116</t>
  </si>
  <si>
    <t>ORD102090</t>
  </si>
  <si>
    <t>Aditya Gupta</t>
  </si>
  <si>
    <t>ORD100187</t>
  </si>
  <si>
    <t>ORD101821</t>
  </si>
  <si>
    <t>ORD101826</t>
  </si>
  <si>
    <t>ORD101139</t>
  </si>
  <si>
    <t>CUST1077</t>
  </si>
  <si>
    <t>ORD101496</t>
  </si>
  <si>
    <t>ORD102089</t>
  </si>
  <si>
    <t>CUST1321</t>
  </si>
  <si>
    <t>ORD101896</t>
  </si>
  <si>
    <t>ORD101297</t>
  </si>
  <si>
    <t>ORD101572</t>
  </si>
  <si>
    <t>CUST1060</t>
  </si>
  <si>
    <t>ORD101284</t>
  </si>
  <si>
    <t>ORD101375</t>
  </si>
  <si>
    <t>ORD102326</t>
  </si>
  <si>
    <t>ORD101925</t>
  </si>
  <si>
    <t>ORD101120</t>
  </si>
  <si>
    <t>CUST1235</t>
  </si>
  <si>
    <t>ORD102178</t>
  </si>
  <si>
    <t>ORD101750</t>
  </si>
  <si>
    <t>ORD102164</t>
  </si>
  <si>
    <t>CUST1152</t>
  </si>
  <si>
    <t>ORD101867</t>
  </si>
  <si>
    <t>ORD102276</t>
  </si>
  <si>
    <t>ORD101408</t>
  </si>
  <si>
    <t>CUST1071</t>
  </si>
  <si>
    <t>ORD101548</t>
  </si>
  <si>
    <t>ORD101899</t>
  </si>
  <si>
    <t>CUST1202</t>
  </si>
  <si>
    <t>ORD102058</t>
  </si>
  <si>
    <t>ORD102069</t>
  </si>
  <si>
    <t>ORD101841</t>
  </si>
  <si>
    <t>ORD101677</t>
  </si>
  <si>
    <t>Kiran Naidu</t>
  </si>
  <si>
    <t>ORD100531</t>
  </si>
  <si>
    <t>CUST1506</t>
  </si>
  <si>
    <t>ORD100658</t>
  </si>
  <si>
    <t>CUST1278</t>
  </si>
  <si>
    <t>ORD100336</t>
  </si>
  <si>
    <t>CUST1209</t>
  </si>
  <si>
    <t>ORD100968</t>
  </si>
  <si>
    <t>ORD100756</t>
  </si>
  <si>
    <t>CUST1509</t>
  </si>
  <si>
    <t>ORD100162</t>
  </si>
  <si>
    <t>ORD100489</t>
  </si>
  <si>
    <t>ORD100412</t>
  </si>
  <si>
    <t>ORD101303</t>
  </si>
  <si>
    <t>Nov</t>
  </si>
  <si>
    <t>ORD100010</t>
  </si>
  <si>
    <t>ORD101127</t>
  </si>
  <si>
    <t>ORD101682</t>
  </si>
  <si>
    <t>ORD101222</t>
  </si>
  <si>
    <t>CUST1497</t>
  </si>
  <si>
    <t>ORD101336</t>
  </si>
  <si>
    <t>ORD101025</t>
  </si>
  <si>
    <t>ORD101229</t>
  </si>
  <si>
    <t>CUST1616</t>
  </si>
  <si>
    <t>ORD102063</t>
  </si>
  <si>
    <t>ORD100070</t>
  </si>
  <si>
    <t>ORD102081</t>
  </si>
  <si>
    <t>ORD102270</t>
  </si>
  <si>
    <t>ORD100175</t>
  </si>
  <si>
    <t>ORD100046</t>
  </si>
  <si>
    <t>CUST1078</t>
  </si>
  <si>
    <t>ORD102317</t>
  </si>
  <si>
    <t>CUST1057</t>
  </si>
  <si>
    <t>ORD101227</t>
  </si>
  <si>
    <t>ORD100138</t>
  </si>
  <si>
    <t>ORD100986</t>
  </si>
  <si>
    <t>ORD101401</t>
  </si>
  <si>
    <t>ORD101666</t>
  </si>
  <si>
    <t>ORD100540</t>
  </si>
  <si>
    <t>ORD102231</t>
  </si>
  <si>
    <t>ORD101004</t>
  </si>
  <si>
    <t>ORD101827</t>
  </si>
  <si>
    <t>ORD100811</t>
  </si>
  <si>
    <t>ORD101965</t>
  </si>
  <si>
    <t>ORD100488</t>
  </si>
  <si>
    <t>ORD101489</t>
  </si>
  <si>
    <t>ORD100487</t>
  </si>
  <si>
    <t>ORD101884</t>
  </si>
  <si>
    <t>ORD101830</t>
  </si>
  <si>
    <t>Nikhil Iyer</t>
  </si>
  <si>
    <t>ORD102298</t>
  </si>
  <si>
    <t>ORD101059</t>
  </si>
  <si>
    <t>ORD101200</t>
  </si>
  <si>
    <t>ORD102424</t>
  </si>
  <si>
    <t>ORD100719</t>
  </si>
  <si>
    <t>ORD100217</t>
  </si>
  <si>
    <t>ORD100337</t>
  </si>
  <si>
    <t>ORD102240</t>
  </si>
  <si>
    <t>ORD101768</t>
  </si>
  <si>
    <t>ORD102288</t>
  </si>
  <si>
    <t>ORD101712</t>
  </si>
  <si>
    <t>ORD101926</t>
  </si>
  <si>
    <t>ORD101989</t>
  </si>
  <si>
    <t>ORD101261</t>
  </si>
  <si>
    <t>ORD100596</t>
  </si>
  <si>
    <t>ORD100712</t>
  </si>
  <si>
    <t>ORD100480</t>
  </si>
  <si>
    <t>CUST1374</t>
  </si>
  <si>
    <t>ORD100474</t>
  </si>
  <si>
    <t>ORD101581</t>
  </si>
  <si>
    <t>ORD101977</t>
  </si>
  <si>
    <t>ORD101791</t>
  </si>
  <si>
    <t>CUST1311</t>
  </si>
  <si>
    <t>ORD102113</t>
  </si>
  <si>
    <t>ORD100452</t>
  </si>
  <si>
    <t>ORD100009</t>
  </si>
  <si>
    <t>ORD100909</t>
  </si>
  <si>
    <t>ORD100366</t>
  </si>
  <si>
    <t>ORD101847</t>
  </si>
  <si>
    <t>ORD100001</t>
  </si>
  <si>
    <t>ORD100221</t>
  </si>
  <si>
    <t>ORD102350</t>
  </si>
  <si>
    <t>ORD101661</t>
  </si>
  <si>
    <t>ORD100123</t>
  </si>
  <si>
    <t>ORD100880</t>
  </si>
  <si>
    <t>ORD101393</t>
  </si>
  <si>
    <t>ORD101600</t>
  </si>
  <si>
    <t>ORD102355</t>
  </si>
  <si>
    <t>CUST1003</t>
  </si>
  <si>
    <t>ORD101262</t>
  </si>
  <si>
    <t>ORD101716</t>
  </si>
  <si>
    <t>Sneha Mehta</t>
  </si>
  <si>
    <t>ORD100361</t>
  </si>
  <si>
    <t>ORD101872</t>
  </si>
  <si>
    <t>ORD100512</t>
  </si>
  <si>
    <t>ORD100508</t>
  </si>
  <si>
    <t>ORD100102</t>
  </si>
  <si>
    <t>ORD100127</t>
  </si>
  <si>
    <t>ORD100300</t>
  </si>
  <si>
    <t>CUST1113</t>
  </si>
  <si>
    <t>ORD101445</t>
  </si>
  <si>
    <t>ORD101456</t>
  </si>
  <si>
    <t>CUST1008</t>
  </si>
  <si>
    <t>ORD100305</t>
  </si>
  <si>
    <t>ORD101118</t>
  </si>
  <si>
    <t>ORD100225</t>
  </si>
  <si>
    <t>ORD100169</t>
  </si>
  <si>
    <t>ORD100016</t>
  </si>
  <si>
    <t>ORD100255</t>
  </si>
  <si>
    <t>CUST1121</t>
  </si>
  <si>
    <t>ORD101218</t>
  </si>
  <si>
    <t>ORD101996</t>
  </si>
  <si>
    <t>CUST1576</t>
  </si>
  <si>
    <t>ORD100065</t>
  </si>
  <si>
    <t>ORD102008</t>
  </si>
  <si>
    <t>Priya Singh</t>
  </si>
  <si>
    <t>ORD101022</t>
  </si>
  <si>
    <t>CUST1161</t>
  </si>
  <si>
    <t>ORD101637</t>
  </si>
  <si>
    <t>ORD101898</t>
  </si>
  <si>
    <t>ORD100427</t>
  </si>
  <si>
    <t>ORD101077</t>
  </si>
  <si>
    <t>ORD101560</t>
  </si>
  <si>
    <t>ORD101178</t>
  </si>
  <si>
    <t>CUST1472</t>
  </si>
  <si>
    <t>ORD101803</t>
  </si>
  <si>
    <t>ORD101341</t>
  </si>
  <si>
    <t>CUST1592</t>
  </si>
  <si>
    <t>ORD100825</t>
  </si>
  <si>
    <t>ORD100130</t>
  </si>
  <si>
    <t>ORD100261</t>
  </si>
  <si>
    <t>ORD102122</t>
  </si>
  <si>
    <t>ORD100129</t>
  </si>
  <si>
    <t>ORD100701</t>
  </si>
  <si>
    <t>CUST1521</t>
  </si>
  <si>
    <t>ORD100239</t>
  </si>
  <si>
    <t>CUST1134</t>
  </si>
  <si>
    <t>ORD100307</t>
  </si>
  <si>
    <t>ORD101471</t>
  </si>
  <si>
    <t>ORD100566</t>
  </si>
  <si>
    <t>CUST1284</t>
  </si>
  <si>
    <t>ORD100267</t>
  </si>
  <si>
    <t>CUST1020</t>
  </si>
  <si>
    <t>Dec</t>
  </si>
  <si>
    <t>ORD102432</t>
  </si>
  <si>
    <t>ORD102092</t>
  </si>
  <si>
    <t>CUST1208</t>
  </si>
  <si>
    <t>ORD100460</t>
  </si>
  <si>
    <t>CUST1573</t>
  </si>
  <si>
    <t>ORD100613</t>
  </si>
  <si>
    <t>Arjun Mehta</t>
  </si>
  <si>
    <t>ORD100418</t>
  </si>
  <si>
    <t>ORD100185</t>
  </si>
  <si>
    <t>ORD100746</t>
  </si>
  <si>
    <t>ORD101544</t>
  </si>
  <si>
    <t>ORD101008</t>
  </si>
  <si>
    <t>ORD100020</t>
  </si>
  <si>
    <t>ORD101967</t>
  </si>
  <si>
    <t>ORD101516</t>
  </si>
  <si>
    <t>ORD101944</t>
  </si>
  <si>
    <t>ORD101071</t>
  </si>
  <si>
    <t>ORD102463</t>
  </si>
  <si>
    <t>CUST1419</t>
  </si>
  <si>
    <t>ORD101398</t>
  </si>
  <si>
    <t>ORD100142</t>
  </si>
  <si>
    <t>ORD101158</t>
  </si>
  <si>
    <t>ORD102417</t>
  </si>
  <si>
    <t>Sanjana Das</t>
  </si>
  <si>
    <t>ORD100311</t>
  </si>
  <si>
    <t>ORD102173</t>
  </si>
  <si>
    <t>ORD100370</t>
  </si>
  <si>
    <t>ORD100380</t>
  </si>
  <si>
    <t>CUST1127</t>
  </si>
  <si>
    <t>ORD100372</t>
  </si>
  <si>
    <t>ORD102004</t>
  </si>
  <si>
    <t>ORD102499</t>
  </si>
  <si>
    <t>ORD101992</t>
  </si>
  <si>
    <t>ORD100519</t>
  </si>
  <si>
    <t>ORD102147</t>
  </si>
  <si>
    <t>ORD100455</t>
  </si>
  <si>
    <t>ORD101091</t>
  </si>
  <si>
    <t>ORD100679</t>
  </si>
  <si>
    <t>ORD100184</t>
  </si>
  <si>
    <t>ORD101219</t>
  </si>
  <si>
    <t>ORD101469</t>
  </si>
  <si>
    <t>CUST1465</t>
  </si>
  <si>
    <t>ORD101454</t>
  </si>
  <si>
    <t>ORD100749</t>
  </si>
  <si>
    <t>Sanjana Nair</t>
  </si>
  <si>
    <t>ORD101782</t>
  </si>
  <si>
    <t>ORD101990</t>
  </si>
  <si>
    <t>ORD100536</t>
  </si>
  <si>
    <t>ORD100975</t>
  </si>
  <si>
    <t>ORD100402</t>
  </si>
  <si>
    <t>ORD101804</t>
  </si>
  <si>
    <t>ORD100461</t>
  </si>
  <si>
    <t>ORD101073</t>
  </si>
  <si>
    <t>ORD100547</t>
  </si>
  <si>
    <t>CUST1125</t>
  </si>
  <si>
    <t>ORD101241</t>
  </si>
  <si>
    <t>ORD100607</t>
  </si>
  <si>
    <t>ORD100660</t>
  </si>
  <si>
    <t>ORD100797</t>
  </si>
  <si>
    <t>CUST1581</t>
  </si>
  <si>
    <t>ORD100440</t>
  </si>
  <si>
    <t>ORD101749</t>
  </si>
  <si>
    <t>ORD100042</t>
  </si>
  <si>
    <t>CUST1303</t>
  </si>
  <si>
    <t>ORD101985</t>
  </si>
  <si>
    <t>ORD100902</t>
  </si>
  <si>
    <t>ORD101195</t>
  </si>
  <si>
    <t>ORD100227</t>
  </si>
  <si>
    <t>ORD100640</t>
  </si>
  <si>
    <t>ORD100132</t>
  </si>
  <si>
    <t>ORD102320</t>
  </si>
  <si>
    <t>ORD101067</t>
  </si>
  <si>
    <t>CUST1215</t>
  </si>
  <si>
    <t>ORD101506</t>
  </si>
  <si>
    <t>ORD101966</t>
  </si>
  <si>
    <t>ORD102105</t>
  </si>
  <si>
    <t>ORD102329</t>
  </si>
  <si>
    <t>ORD100835</t>
  </si>
  <si>
    <t>CUST1023</t>
  </si>
  <si>
    <t>ORD102354</t>
  </si>
  <si>
    <t>ORD102242</t>
  </si>
  <si>
    <t>CUST1001</t>
  </si>
  <si>
    <t>ORD101933</t>
  </si>
  <si>
    <t>ORD100810</t>
  </si>
  <si>
    <t>CUST1259</t>
  </si>
  <si>
    <t>ORD101956</t>
  </si>
  <si>
    <t>CUST1432</t>
  </si>
  <si>
    <t>ORD102051</t>
  </si>
  <si>
    <t>ORD100342</t>
  </si>
  <si>
    <t>ORD100017</t>
  </si>
  <si>
    <t>ORD102476</t>
  </si>
  <si>
    <t>CUST1110</t>
  </si>
  <si>
    <t>ORD101744</t>
  </si>
  <si>
    <t>ORD102314</t>
  </si>
  <si>
    <t>ORD100493</t>
  </si>
  <si>
    <t>ORD101269</t>
  </si>
  <si>
    <t>ORD100478</t>
  </si>
  <si>
    <t>ORD100376</t>
  </si>
  <si>
    <t>ORD102380</t>
  </si>
  <si>
    <t>ORD101707</t>
  </si>
  <si>
    <t>CUST1295</t>
  </si>
  <si>
    <t>ORD101640</t>
  </si>
  <si>
    <t>CUST1213</t>
  </si>
  <si>
    <t>ORD100840</t>
  </si>
  <si>
    <t>ORD102011</t>
  </si>
  <si>
    <t>ORD100945</t>
  </si>
  <si>
    <t>ORD102399</t>
  </si>
  <si>
    <t>ORD101948</t>
  </si>
  <si>
    <t>ORD101929</t>
  </si>
  <si>
    <t>ORD100260</t>
  </si>
  <si>
    <t>ORD101176</t>
  </si>
  <si>
    <t>ORD102171</t>
  </si>
  <si>
    <t>ORD101436</t>
  </si>
  <si>
    <t>ORD102459</t>
  </si>
  <si>
    <t>ORD100445</t>
  </si>
  <si>
    <t>ORD100043</t>
  </si>
  <si>
    <t>ORD101079</t>
  </si>
  <si>
    <t>ORD102031</t>
  </si>
  <si>
    <t>ORD101828</t>
  </si>
  <si>
    <t>ORD100340</t>
  </si>
  <si>
    <t>ORD101020</t>
  </si>
  <si>
    <t>ORD102364</t>
  </si>
  <si>
    <t>ORD101157</t>
  </si>
  <si>
    <t>ORD100898</t>
  </si>
  <si>
    <t>ORD100541</t>
  </si>
  <si>
    <t>ORD100864</t>
  </si>
  <si>
    <t>ORD101596</t>
  </si>
  <si>
    <t>ORD100778</t>
  </si>
  <si>
    <t>ORD100301</t>
  </si>
  <si>
    <t>ORD101444</t>
  </si>
  <si>
    <t>Varun Singh</t>
  </si>
  <si>
    <t>ORD100828</t>
  </si>
  <si>
    <t>ORD102480</t>
  </si>
  <si>
    <t>ORD101551</t>
  </si>
  <si>
    <t>ORD100605</t>
  </si>
  <si>
    <t>ORD101142</t>
  </si>
  <si>
    <t>ORD101161</t>
  </si>
  <si>
    <t>ORD101476</t>
  </si>
  <si>
    <t>ORD100538</t>
  </si>
  <si>
    <t>ORD101706</t>
  </si>
  <si>
    <t>ORD101317</t>
  </si>
  <si>
    <t>ORD101923</t>
  </si>
  <si>
    <t>ORD100997</t>
  </si>
  <si>
    <t>CUST1527</t>
  </si>
  <si>
    <t>ORD101154</t>
  </si>
  <si>
    <t>ORD102405</t>
  </si>
  <si>
    <t>Sanjana Iyer</t>
  </si>
  <si>
    <t>ORD100139</t>
  </si>
  <si>
    <t>ORD101136</t>
  </si>
  <si>
    <t>ORD100561</t>
  </si>
  <si>
    <t>ORD102328</t>
  </si>
  <si>
    <t>ORD101817</t>
  </si>
  <si>
    <t>ORD102118</t>
  </si>
  <si>
    <t>ORD101101</t>
  </si>
  <si>
    <t>ORD101793</t>
  </si>
  <si>
    <t>ORD101166</t>
  </si>
  <si>
    <t>ORD101478</t>
  </si>
  <si>
    <t>Sneha Rao</t>
  </si>
  <si>
    <t>ORD100160</t>
  </si>
  <si>
    <t>ORD100591</t>
  </si>
  <si>
    <t>ORD101131</t>
  </si>
  <si>
    <t>CUST1155</t>
  </si>
  <si>
    <t>ORD100577</t>
  </si>
  <si>
    <t>ORD101169</t>
  </si>
  <si>
    <t>ORD100567</t>
  </si>
  <si>
    <t>ORD101629</t>
  </si>
  <si>
    <t>CUST1330</t>
  </si>
  <si>
    <t>ORD102169</t>
  </si>
  <si>
    <t>ORD101569</t>
  </si>
  <si>
    <t>ORD102059</t>
  </si>
  <si>
    <t>CUST1042</t>
  </si>
  <si>
    <t>ORD101196</t>
  </si>
  <si>
    <t>ORD101940</t>
  </si>
  <si>
    <t>ORD101945</t>
  </si>
  <si>
    <t>CUST1524</t>
  </si>
  <si>
    <t>ORD102336</t>
  </si>
  <si>
    <t>ORD101117</t>
  </si>
  <si>
    <t>ORD100475</t>
  </si>
  <si>
    <t>ORD101312</t>
  </si>
  <si>
    <t>ORD102190</t>
  </si>
  <si>
    <t>ORD100885</t>
  </si>
  <si>
    <t>ORD100458</t>
  </si>
  <si>
    <t>ORD101343</t>
  </si>
  <si>
    <t>CUST1119</t>
  </si>
  <si>
    <t>ORD101730</t>
  </si>
  <si>
    <t>ORD100242</t>
  </si>
  <si>
    <t>ORD101939</t>
  </si>
  <si>
    <t>ORD101611</t>
  </si>
  <si>
    <t>ORD102327</t>
  </si>
  <si>
    <t>ORD101917</t>
  </si>
  <si>
    <t>CUST1421</t>
  </si>
  <si>
    <t>ORD101980</t>
  </si>
  <si>
    <t>ORD101244</t>
  </si>
  <si>
    <t>ORD101660</t>
  </si>
  <si>
    <t>ORD101291</t>
  </si>
  <si>
    <t>ORD101105</t>
  </si>
  <si>
    <t>ORD101174</t>
  </si>
  <si>
    <t>ORD100021</t>
  </si>
  <si>
    <t>ORD102440</t>
  </si>
  <si>
    <t>ORD100077</t>
  </si>
  <si>
    <t>ORD101960</t>
  </si>
  <si>
    <t>ORD100592</t>
  </si>
  <si>
    <t>CUST1017</t>
  </si>
  <si>
    <t>Ananya Sharma</t>
  </si>
  <si>
    <t>ORD101265</t>
  </si>
  <si>
    <t>ORD102217</t>
  </si>
  <si>
    <t>CUST1618</t>
  </si>
  <si>
    <t>ORD100060</t>
  </si>
  <si>
    <t>ORD101586</t>
  </si>
  <si>
    <t>ORD100965</t>
  </si>
  <si>
    <t>ORD100872</t>
  </si>
  <si>
    <t>ORD100415</t>
  </si>
  <si>
    <t>ORD100812</t>
  </si>
  <si>
    <t>ORD101837</t>
  </si>
  <si>
    <t>ORD102422</t>
  </si>
  <si>
    <t>ORD100146</t>
  </si>
  <si>
    <t>ORD101599</t>
  </si>
  <si>
    <t>ORD101613</t>
  </si>
  <si>
    <t>ORD101651</t>
  </si>
  <si>
    <t>CUST1228</t>
  </si>
  <si>
    <t>ORD100780</t>
  </si>
  <si>
    <t>ORD101362</t>
  </si>
  <si>
    <t>ORD101492</t>
  </si>
  <si>
    <t>ORD100576</t>
  </si>
  <si>
    <t>ORD101721</t>
  </si>
  <si>
    <t>ORD100826</t>
  </si>
  <si>
    <t>ORD101615</t>
  </si>
  <si>
    <t>ORD100593</t>
  </si>
  <si>
    <t>ORD101107</t>
  </si>
  <si>
    <t>ORD102412</t>
  </si>
  <si>
    <t>ORD102467</t>
  </si>
  <si>
    <t>ORD100490</t>
  </si>
  <si>
    <t>ORD100320</t>
  </si>
  <si>
    <t>ORD101228</t>
  </si>
  <si>
    <t>ORD101231</t>
  </si>
  <si>
    <t>ORD101306</t>
  </si>
  <si>
    <t>ORD100667</t>
  </si>
  <si>
    <t>ORD101509</t>
  </si>
  <si>
    <t>ORD101993</t>
  </si>
  <si>
    <t>ORD100245</t>
  </si>
  <si>
    <t>ORD100648</t>
  </si>
  <si>
    <t>CUST1236</t>
  </si>
  <si>
    <t>ORD100630</t>
  </si>
  <si>
    <t>CUST1428</t>
  </si>
  <si>
    <t>ORD102429</t>
  </si>
  <si>
    <t>ORD101377</t>
  </si>
  <si>
    <t>ORD101942</t>
  </si>
  <si>
    <t>CUST1290</t>
  </si>
  <si>
    <t>ORD100833</t>
  </si>
  <si>
    <t>ORD100390</t>
  </si>
  <si>
    <t>ORD101417</t>
  </si>
  <si>
    <t>CUST1360</t>
  </si>
  <si>
    <t>ORD102255</t>
  </si>
  <si>
    <t>Sneha Reddy</t>
  </si>
  <si>
    <t>ORD102104</t>
  </si>
  <si>
    <t>ORD102202</t>
  </si>
  <si>
    <t>ORD101835</t>
  </si>
  <si>
    <t>ORD100830</t>
  </si>
  <si>
    <t>ORD101278</t>
  </si>
  <si>
    <t>ORD100429</t>
  </si>
  <si>
    <t>ORD100529</t>
  </si>
  <si>
    <t>ORD100718</t>
  </si>
  <si>
    <t>ORD101495</t>
  </si>
  <si>
    <t>ORD102130</t>
  </si>
  <si>
    <t>ORD100097</t>
  </si>
  <si>
    <t>ORD100865</t>
  </si>
  <si>
    <t>CUST1054</t>
  </si>
  <si>
    <t>ORD100298</t>
  </si>
  <si>
    <t>ORD100700</t>
  </si>
  <si>
    <t>ORD100732</t>
  </si>
  <si>
    <t>ORD101727</t>
  </si>
  <si>
    <t>ORD102477</t>
  </si>
  <si>
    <t>ORD102478</t>
  </si>
  <si>
    <t>CUST1605</t>
  </si>
  <si>
    <t>ORD100032</t>
  </si>
  <si>
    <t>ORD100963</t>
  </si>
  <si>
    <t>ORD102439</t>
  </si>
  <si>
    <t>ORD101508</t>
  </si>
  <si>
    <t>ORD101957</t>
  </si>
  <si>
    <t>ORD102300</t>
  </si>
  <si>
    <t>ORD101361</t>
  </si>
  <si>
    <t>ORD101636</t>
  </si>
  <si>
    <t>ORD101322</t>
  </si>
  <si>
    <t>CUST1482</t>
  </si>
  <si>
    <t>ORD100878</t>
  </si>
  <si>
    <t>ORD100126</t>
  </si>
  <si>
    <t>CUST1016</t>
  </si>
  <si>
    <t>ORD100002</t>
  </si>
  <si>
    <t>ORD102465</t>
  </si>
  <si>
    <t>ORD101138</t>
  </si>
  <si>
    <t>ORD101279</t>
  </si>
  <si>
    <t>ORD102235</t>
  </si>
  <si>
    <t>ORD101557</t>
  </si>
  <si>
    <t>ORD101968</t>
  </si>
  <si>
    <t>ORD100052</t>
  </si>
  <si>
    <t>ORD100353</t>
  </si>
  <si>
    <t>ORD101943</t>
  </si>
  <si>
    <t>ORD101213</t>
  </si>
  <si>
    <t>ORD101003</t>
  </si>
  <si>
    <t>ORD100231</t>
  </si>
  <si>
    <t>ORD100262</t>
  </si>
  <si>
    <t>ORD100572</t>
  </si>
  <si>
    <t>ORD100322</t>
  </si>
  <si>
    <t>ORD100982</t>
  </si>
  <si>
    <t>ORD100696</t>
  </si>
  <si>
    <t>CUST1178</t>
  </si>
  <si>
    <t>ORD102402</t>
  </si>
  <si>
    <t>CUST1162</t>
  </si>
  <si>
    <t>ORD100907</t>
  </si>
  <si>
    <t>ORD100847</t>
  </si>
  <si>
    <t>ORD102100</t>
  </si>
  <si>
    <t>ORD100109</t>
  </si>
  <si>
    <t>ORD100961</t>
  </si>
  <si>
    <t>ORD100344</t>
  </si>
  <si>
    <t>ORD101433</t>
  </si>
  <si>
    <t>ORD101330</t>
  </si>
  <si>
    <t>ORD100789</t>
  </si>
  <si>
    <t>ORD102360</t>
  </si>
  <si>
    <t>ORD102210</t>
  </si>
  <si>
    <t>ORD102075</t>
  </si>
  <si>
    <t>ORD102157</t>
  </si>
  <si>
    <t>ORD101950</t>
  </si>
  <si>
    <t>ORD101854</t>
  </si>
  <si>
    <t>ORD101647</t>
  </si>
  <si>
    <t>ORD101310</t>
  </si>
  <si>
    <t>ORD102398</t>
  </si>
  <si>
    <t>ORD100486</t>
  </si>
  <si>
    <t>ORD101608</t>
  </si>
  <si>
    <t>ORD100405</t>
  </si>
  <si>
    <t>ORD100635</t>
  </si>
  <si>
    <t>ORD101752</t>
  </si>
  <si>
    <t>ORD100809</t>
  </si>
  <si>
    <t>ORD100817</t>
  </si>
  <si>
    <t>ORD102047</t>
  </si>
  <si>
    <t>ORD100192</t>
  </si>
  <si>
    <t>ORD100157</t>
  </si>
  <si>
    <t>ORD101537</t>
  </si>
  <si>
    <t>ORD100008</t>
  </si>
  <si>
    <t>ORD101796</t>
  </si>
  <si>
    <t>ORD101294</t>
  </si>
  <si>
    <t>ORD100026</t>
  </si>
  <si>
    <t>ORD101068</t>
  </si>
  <si>
    <t>ORD101634</t>
  </si>
  <si>
    <t>ORD100837</t>
  </si>
  <si>
    <t>ORD100156</t>
  </si>
  <si>
    <t>CUST1512</t>
  </si>
  <si>
    <t>ORD100659</t>
  </si>
  <si>
    <t>ORD100912</t>
  </si>
  <si>
    <t>CUST1528</t>
  </si>
  <si>
    <t>ORD100707</t>
  </si>
  <si>
    <t>CUST1639</t>
  </si>
  <si>
    <t>ORD100524</t>
  </si>
  <si>
    <t>ORD102192</t>
  </si>
  <si>
    <t>ORD101909</t>
  </si>
  <si>
    <t>ORD102352</t>
  </si>
  <si>
    <t>ORD101002</t>
  </si>
  <si>
    <t>ORD100055</t>
  </si>
  <si>
    <t>ORD101928</t>
  </si>
  <si>
    <t>CUST1229</t>
  </si>
  <si>
    <t>ORD100278</t>
  </si>
  <si>
    <t>CUST1540</t>
  </si>
  <si>
    <t>ORD100247</t>
  </si>
  <si>
    <t>ORD102438</t>
  </si>
  <si>
    <t>ORD100933</t>
  </si>
  <si>
    <t>ORD100762</t>
  </si>
  <si>
    <t>ORD101743</t>
  </si>
  <si>
    <t>ORD101147</t>
  </si>
  <si>
    <t>ORD100921</t>
  </si>
  <si>
    <t>ORD101834</t>
  </si>
  <si>
    <t>ORD100096</t>
  </si>
  <si>
    <t>CUST1381</t>
  </si>
  <si>
    <t>ORD101387</t>
  </si>
  <si>
    <t>ORD102386</t>
  </si>
  <si>
    <t>ORD102095</t>
  </si>
  <si>
    <t>ORD100392</t>
  </si>
  <si>
    <t>ORD100992</t>
  </si>
  <si>
    <t>ORD101119</t>
  </si>
  <si>
    <t>ORD100944</t>
  </si>
  <si>
    <t>ORD102269</t>
  </si>
  <si>
    <t>ORD100806</t>
  </si>
  <si>
    <t>ORD100275</t>
  </si>
  <si>
    <t>ORD102022</t>
  </si>
  <si>
    <t>ORD100804</t>
  </si>
  <si>
    <t>ORD101999</t>
  </si>
  <si>
    <t>ORD100015</t>
  </si>
  <si>
    <t>ORD102014</t>
  </si>
  <si>
    <t>ORD101371</t>
  </si>
  <si>
    <t>ORD100606</t>
  </si>
  <si>
    <t>ORD101406</t>
  </si>
  <si>
    <t>ORD100289</t>
  </si>
  <si>
    <t>ORD101978</t>
  </si>
  <si>
    <t>ORD101531</t>
  </si>
  <si>
    <t>ORD102237</t>
  </si>
  <si>
    <t>ORD100287</t>
  </si>
  <si>
    <t>CUST1124</t>
  </si>
  <si>
    <t>ORD100270</t>
  </si>
  <si>
    <t>ORD102492</t>
  </si>
  <si>
    <t>ORD101451</t>
  </si>
  <si>
    <t>CUST1188</t>
  </si>
  <si>
    <t>ORD101769</t>
  </si>
  <si>
    <t>ORD101694</t>
  </si>
  <si>
    <t>ORD100216</t>
  </si>
  <si>
    <t>CUST1118</t>
  </si>
  <si>
    <t>ORD100084</t>
  </si>
  <si>
    <t>ORD100558</t>
  </si>
  <si>
    <t>ORD101170</t>
  </si>
  <si>
    <t>ORD100610</t>
  </si>
  <si>
    <t>ORD100047</t>
  </si>
  <si>
    <t>ORD101564</t>
  </si>
  <si>
    <t>ORD100345</t>
  </si>
  <si>
    <t>ORD101789</t>
  </si>
  <si>
    <t>ORD100058</t>
  </si>
  <si>
    <t>ORD100649</t>
  </si>
  <si>
    <t>ORD101198</t>
  </si>
  <si>
    <t>ORD102268</t>
  </si>
  <si>
    <t>CUST1006</t>
  </si>
  <si>
    <t>ORD100033</t>
  </si>
  <si>
    <t>ORD100417</t>
  </si>
  <si>
    <t>ORD101458</t>
  </si>
  <si>
    <t>ORD102287</t>
  </si>
  <si>
    <t>ORD102012</t>
  </si>
  <si>
    <t>ORD101250</t>
  </si>
  <si>
    <t>ORD100873</t>
  </si>
  <si>
    <t>ORD100787</t>
  </si>
  <si>
    <t>ORD100434</t>
  </si>
  <si>
    <t>ORD100631</t>
  </si>
  <si>
    <t>ORD101520</t>
  </si>
  <si>
    <t>ORD100633</t>
  </si>
  <si>
    <t>ORD101087</t>
  </si>
  <si>
    <t>ORD101410</t>
  </si>
  <si>
    <t>CUST1294</t>
  </si>
  <si>
    <t>ORD100259</t>
  </si>
  <si>
    <t>ORD102468</t>
  </si>
  <si>
    <t>ORD100594</t>
  </si>
  <si>
    <t>ORD101700</t>
  </si>
  <si>
    <t>ORD100653</t>
  </si>
  <si>
    <t>ORD102305</t>
  </si>
  <si>
    <t>ORD102028</t>
  </si>
  <si>
    <t>ORD101376</t>
  </si>
  <si>
    <t>ORD101566</t>
  </si>
  <si>
    <t>ORD102185</t>
  </si>
  <si>
    <t>ORD101680</t>
  </si>
  <si>
    <t>ORD101503</t>
  </si>
  <si>
    <t>ORD102186</t>
  </si>
  <si>
    <t>ORD102286</t>
  </si>
  <si>
    <t>ORD101630</t>
  </si>
  <si>
    <t>ORD100090</t>
  </si>
  <si>
    <t>ORD100093</t>
  </si>
  <si>
    <t>ORD101216</t>
  </si>
  <si>
    <t>ORD100959</t>
  </si>
  <si>
    <t>ORD102098</t>
  </si>
  <si>
    <t>ORD102161</t>
  </si>
  <si>
    <t>ORD102073</t>
  </si>
  <si>
    <t>ORD102401</t>
  </si>
  <si>
    <t>ORD102425</t>
  </si>
  <si>
    <t>ORD100190</t>
  </si>
  <si>
    <t>ORD102156</t>
  </si>
  <si>
    <t>ORD101777</t>
  </si>
  <si>
    <t>ORD101748</t>
  </si>
  <si>
    <t>ORD100453</t>
  </si>
  <si>
    <t>CUST1336</t>
  </si>
  <si>
    <t>ORD101853</t>
  </si>
  <si>
    <t>ORD100363</t>
  </si>
  <si>
    <t>CUST1197</t>
  </si>
  <si>
    <t>ORD100330</t>
  </si>
  <si>
    <t>ORD102010</t>
  </si>
  <si>
    <t>CUST1276</t>
  </si>
  <si>
    <t>ORD102056</t>
  </si>
  <si>
    <t>Pooja Verma</t>
  </si>
  <si>
    <t>ORD100057</t>
  </si>
  <si>
    <t>ORD100729</t>
  </si>
  <si>
    <t>ORD101335</t>
  </si>
  <si>
    <t>ORD101720</t>
  </si>
  <si>
    <t>ORD101733</t>
  </si>
  <si>
    <t>ORD102427</t>
  </si>
  <si>
    <t>ORD101975</t>
  </si>
  <si>
    <t>ORD101638</t>
  </si>
  <si>
    <t>ORD100315</t>
  </si>
  <si>
    <t>ORD102474</t>
  </si>
  <si>
    <t>ORD100589</t>
  </si>
  <si>
    <t>ORD101735</t>
  </si>
  <si>
    <t>ORD100528</t>
  </si>
  <si>
    <t>ORD101247</t>
  </si>
  <si>
    <t>ORD101987</t>
  </si>
  <si>
    <t>ORD102460</t>
  </si>
  <si>
    <t>ORD101274</t>
  </si>
  <si>
    <t>ORD100484</t>
  </si>
  <si>
    <t>ORD102072</t>
  </si>
  <si>
    <t>CUST1269</t>
  </si>
  <si>
    <t>ORD100931</t>
  </si>
  <si>
    <t>ORD102057</t>
  </si>
  <si>
    <t>ORD100098</t>
  </si>
  <si>
    <t>ORD101709</t>
  </si>
  <si>
    <t>ORD101994</t>
  </si>
  <si>
    <t>CUST1593</t>
  </si>
  <si>
    <t>ORD100672</t>
  </si>
  <si>
    <t>ORD100703</t>
  </si>
  <si>
    <t>ORD102345</t>
  </si>
  <si>
    <t>ORD100040</t>
  </si>
  <si>
    <t>ORD100734</t>
  </si>
  <si>
    <t>ORD101032</t>
  </si>
  <si>
    <t>ORD100668</t>
  </si>
  <si>
    <t>CUST1588</t>
  </si>
  <si>
    <t>ORD102043</t>
  </si>
  <si>
    <t>CUST1623</t>
  </si>
  <si>
    <t>ORD100545</t>
  </si>
  <si>
    <t>CUST1238</t>
  </si>
  <si>
    <t>ORD100849</t>
  </si>
  <si>
    <t>ORD101861</t>
  </si>
  <si>
    <t>Sneha Singh</t>
  </si>
  <si>
    <t>ORD101470</t>
  </si>
  <si>
    <t>ORD102486</t>
  </si>
  <si>
    <t>ORD101392</t>
  </si>
  <si>
    <t>ORD102362</t>
  </si>
  <si>
    <t>ORD101920</t>
  </si>
  <si>
    <t>ORD100646</t>
  </si>
  <si>
    <t>ORD101558</t>
  </si>
  <si>
    <t>ORD100468</t>
  </si>
  <si>
    <t>ORD102035</t>
  </si>
  <si>
    <t>ORD101121</t>
  </si>
  <si>
    <t>ORD102036</t>
  </si>
  <si>
    <t>ORD100378</t>
  </si>
  <si>
    <t>ORD101862</t>
  </si>
  <si>
    <t>ORD101616</t>
  </si>
  <si>
    <t>ORD102273</t>
  </si>
  <si>
    <t>ORD102099</t>
  </si>
  <si>
    <t>ORD102086</t>
  </si>
  <si>
    <t>CUST1644</t>
  </si>
  <si>
    <t>ORD100581</t>
  </si>
  <si>
    <t>ORD101882</t>
  </si>
  <si>
    <t>ORD101272</t>
  </si>
  <si>
    <t>ORD100177</t>
  </si>
  <si>
    <t>ORD100442</t>
  </si>
  <si>
    <t>ORD102430</t>
  </si>
  <si>
    <t>ORD102366</t>
  </si>
  <si>
    <t>ORD100903</t>
  </si>
  <si>
    <t>ORD100560</t>
  </si>
  <si>
    <t>ORD100272</t>
  </si>
  <si>
    <t>ORD100960</t>
  </si>
  <si>
    <t>ORD100119</t>
  </si>
  <si>
    <t>ORD100625</t>
  </si>
  <si>
    <t>ORD101148</t>
  </si>
  <si>
    <t>ORD102264</t>
  </si>
  <si>
    <t>ORD101649</t>
  </si>
  <si>
    <t>ORD102371</t>
  </si>
  <si>
    <t>ORD100163</t>
  </si>
  <si>
    <t>ORD102135</t>
  </si>
  <si>
    <t>ORD100044</t>
  </si>
  <si>
    <t>ORD101902</t>
  </si>
  <si>
    <t>ORD101875</t>
  </si>
  <si>
    <t>ORD100754</t>
  </si>
  <si>
    <t>ORD101588</t>
  </si>
  <si>
    <t>ORD102096</t>
  </si>
  <si>
    <t>ORD102175</t>
  </si>
  <si>
    <t>ORD101356</t>
  </si>
  <si>
    <t>ORD102322</t>
  </si>
  <si>
    <t>ORD102101</t>
  </si>
  <si>
    <t>ORD101029</t>
  </si>
  <si>
    <t>ORD101984</t>
  </si>
  <si>
    <t>ORD101246</t>
  </si>
  <si>
    <t>ORD100037</t>
  </si>
  <si>
    <t>ORD100981</t>
  </si>
  <si>
    <t>ORD102074</t>
  </si>
  <si>
    <t>ORD100735</t>
  </si>
  <si>
    <t>ORD102220</t>
  </si>
  <si>
    <t>ORD102177</t>
  </si>
  <si>
    <t>ORD102390</t>
  </si>
  <si>
    <t>ORD101959</t>
  </si>
  <si>
    <t>ORD101873</t>
  </si>
  <si>
    <t>ORD102325</t>
  </si>
  <si>
    <t>ORD101405</t>
  </si>
  <si>
    <t>ORD101391</t>
  </si>
  <si>
    <t>ORD100413</t>
  </si>
  <si>
    <t>ORD100993</t>
  </si>
  <si>
    <t>ORD100644</t>
  </si>
  <si>
    <t>ORD101425</t>
  </si>
  <si>
    <t>ORD102266</t>
  </si>
  <si>
    <t>ORD101766</t>
  </si>
  <si>
    <t>ORD100859</t>
  </si>
  <si>
    <t>ORD100570</t>
  </si>
  <si>
    <t>ORD100397</t>
  </si>
  <si>
    <t>ORD100269</t>
  </si>
  <si>
    <t>ORD101910</t>
  </si>
  <si>
    <t>CUST1120</t>
  </si>
  <si>
    <t>ORD100527</t>
  </si>
  <si>
    <t>ORD101483</t>
  </si>
  <si>
    <t>ORD100544</t>
  </si>
  <si>
    <t>ORD102267</t>
  </si>
  <si>
    <t>ORD101321</t>
  </si>
  <si>
    <t>ORD100786</t>
  </si>
  <si>
    <t>ORD100469</t>
  </si>
  <si>
    <t>ORD102033</t>
  </si>
  <si>
    <t>ORD102136</t>
  </si>
  <si>
    <t>ORD100083</t>
  </si>
  <si>
    <t>ORD100351</t>
  </si>
  <si>
    <t>ORD101736</t>
  </si>
  <si>
    <t>ORD101490</t>
  </si>
  <si>
    <t>ORD101921</t>
  </si>
  <si>
    <t>ORD100303</t>
  </si>
  <si>
    <t>ORD101435</t>
  </si>
  <si>
    <t>ORD100764</t>
  </si>
  <si>
    <t>ORD100583</t>
  </si>
  <si>
    <t>ORD100969</t>
  </si>
  <si>
    <t>ORD100928</t>
  </si>
  <si>
    <t>ORD100799</t>
  </si>
  <si>
    <t>ORD100580</t>
  </si>
  <si>
    <t>CUST1316</t>
  </si>
  <si>
    <t>ORD101099</t>
  </si>
  <si>
    <t>ORD100354</t>
  </si>
  <si>
    <t>ORD100857</t>
  </si>
  <si>
    <t>ORD102453</t>
  </si>
  <si>
    <t>ORD100929</t>
  </si>
  <si>
    <t>ORD100203</t>
  </si>
  <si>
    <t>ORD101815</t>
  </si>
  <si>
    <t>ORD100868</t>
  </si>
  <si>
    <t>ORD100683</t>
  </si>
  <si>
    <t>ORD100904</t>
  </si>
  <si>
    <t>CUST1436</t>
  </si>
  <si>
    <t>ORD100883</t>
  </si>
  <si>
    <t>ORD100940</t>
  </si>
  <si>
    <t>ORD100772</t>
  </si>
  <si>
    <t>ORD100634</t>
  </si>
  <si>
    <t>ORD100716</t>
  </si>
  <si>
    <t>ORD100027</t>
  </si>
  <si>
    <t>ORD100801</t>
  </si>
  <si>
    <t>ORD101892</t>
  </si>
  <si>
    <t>ORD100894</t>
  </si>
  <si>
    <t>ORD101363</t>
  </si>
  <si>
    <t>CUST1566</t>
  </si>
  <si>
    <t>ORD101300</t>
  </si>
  <si>
    <t>ORD102003</t>
  </si>
  <si>
    <t>CUST1258</t>
  </si>
  <si>
    <t>ORD100279</t>
  </si>
  <si>
    <t>ORD101639</t>
  </si>
  <si>
    <t>CUST1204</t>
  </si>
  <si>
    <t>ORD102416</t>
  </si>
  <si>
    <t>ORD101420</t>
  </si>
  <si>
    <t>ORD100720</t>
  </si>
  <si>
    <t>ORD101307</t>
  </si>
  <si>
    <t>ORD101113</t>
  </si>
  <si>
    <t>ORD101776</t>
  </si>
  <si>
    <t>ORD101248</t>
  </si>
  <si>
    <t>ORD101309</t>
  </si>
  <si>
    <t>ORD100680</t>
  </si>
  <si>
    <t>ORD102195</t>
  </si>
  <si>
    <t>ORD100967</t>
  </si>
  <si>
    <t>ORD101266</t>
  </si>
  <si>
    <t>ORD100062</t>
  </si>
  <si>
    <t>ORD100466</t>
  </si>
  <si>
    <t>CUST1069</t>
  </si>
  <si>
    <t>ORD100437</t>
  </si>
  <si>
    <t>ORD101724</t>
  </si>
  <si>
    <t>ORD101369</t>
  </si>
  <si>
    <t>ORD101115</t>
  </si>
  <si>
    <t>ORD100317</t>
  </si>
  <si>
    <t>ORD100038</t>
  </si>
  <si>
    <t>ORD102278</t>
  </si>
  <si>
    <t>ORD100476</t>
  </si>
  <si>
    <t>CUST1602</t>
  </si>
  <si>
    <t>ORD100166</t>
  </si>
  <si>
    <t>ORD102085</t>
  </si>
  <si>
    <t>ORD102484</t>
  </si>
  <si>
    <t>ORD102282</t>
  </si>
  <si>
    <t>ORD102248</t>
  </si>
  <si>
    <t>ORD100125</t>
  </si>
  <si>
    <t>ORD100657</t>
  </si>
  <si>
    <t>ORD101705</t>
  </si>
  <si>
    <t>ORD100411</t>
  </si>
  <si>
    <t>ORD101152</t>
  </si>
  <si>
    <t>ORD100302</t>
  </si>
  <si>
    <t>ORD101245</t>
  </si>
  <si>
    <t>ORD101964</t>
  </si>
  <si>
    <t>ORD102285</t>
  </si>
  <si>
    <t>ORD100492</t>
  </si>
  <si>
    <t>ORD101843</t>
  </si>
  <si>
    <t>ORD100518</t>
  </si>
  <si>
    <t>ORD100766</t>
  </si>
  <si>
    <t>ORD100678</t>
  </si>
  <si>
    <t>ORD101742</t>
  </si>
  <si>
    <t>ORD100368</t>
  </si>
  <si>
    <t>ORD100924</t>
  </si>
  <si>
    <t>ORD102103</t>
  </si>
  <si>
    <t>ORD100897</t>
  </si>
  <si>
    <t>ORD102456</t>
  </si>
  <si>
    <t>ORD101061</t>
  </si>
  <si>
    <t>ORD100673</t>
  </si>
  <si>
    <t>ORD102256</t>
  </si>
  <si>
    <t>ORD102223</t>
  </si>
  <si>
    <t>ORD100483</t>
  </si>
  <si>
    <t>ORD101813</t>
  </si>
  <si>
    <t>ORD101981</t>
  </si>
  <si>
    <t>ORD101232</t>
  </si>
  <si>
    <t>ORD102452</t>
  </si>
  <si>
    <t>CUST1621</t>
  </si>
  <si>
    <t>ORD100193</t>
  </si>
  <si>
    <t>ORD101541</t>
  </si>
  <si>
    <t>ORD100874</t>
  </si>
  <si>
    <t>ORD101345</t>
  </si>
  <si>
    <t>ORD102387</t>
  </si>
  <si>
    <t>ORD101679</t>
  </si>
  <si>
    <t>ORD102007</t>
  </si>
  <si>
    <t>ORD100213</t>
  </si>
  <si>
    <t>ORD101895</t>
  </si>
  <si>
    <t>ORD101074</t>
  </si>
  <si>
    <t>ORD100467</t>
  </si>
  <si>
    <t>ORD101918</t>
  </si>
  <si>
    <t>ORD102211</t>
  </si>
  <si>
    <t>ORD102201</t>
  </si>
  <si>
    <t>ORD101684</t>
  </si>
  <si>
    <t>ORD102062</t>
  </si>
  <si>
    <t>ORD101156</t>
  </si>
  <si>
    <t>ORD101340</t>
  </si>
  <si>
    <t>ORD100957</t>
  </si>
  <si>
    <t>ORD102066</t>
  </si>
  <si>
    <t>ORD100140</t>
  </si>
  <si>
    <t>ORD101440</t>
  </si>
  <si>
    <t>ORD100584</t>
  </si>
  <si>
    <t>ORD101400</t>
  </si>
  <si>
    <t>ORD100884</t>
  </si>
  <si>
    <t>ORD101273</t>
  </si>
  <si>
    <t>ORD100984</t>
  </si>
  <si>
    <t>CUST1586</t>
  </si>
  <si>
    <t>ORD100071</t>
  </si>
  <si>
    <t>ORD102053</t>
  </si>
  <si>
    <t>ORD101473</t>
  </si>
  <si>
    <t>ORD101082</t>
  </si>
  <si>
    <t>ORD101738</t>
  </si>
  <si>
    <t>CUST1181</t>
  </si>
  <si>
    <t>ORD100323</t>
  </si>
  <si>
    <t>CUST1139</t>
  </si>
  <si>
    <t>ORD102448</t>
  </si>
  <si>
    <t>ORD101589</t>
  </si>
  <si>
    <t>ORD102142</t>
  </si>
  <si>
    <t>ORD101123</t>
  </si>
  <si>
    <t>ORD101704</t>
  </si>
  <si>
    <t>ORD102311</t>
  </si>
  <si>
    <t>ORD102244</t>
  </si>
  <si>
    <t>CUST1613</t>
  </si>
  <si>
    <t>ORD102351</t>
  </si>
  <si>
    <t>ORD100807</t>
  </si>
  <si>
    <t>ORD100319</t>
  </si>
  <si>
    <t>ORD100661</t>
  </si>
  <si>
    <t>ORD100367</t>
  </si>
  <si>
    <t>ORD101609</t>
  </si>
  <si>
    <t>ORD102309</t>
  </si>
  <si>
    <t>ORD101932</t>
  </si>
  <si>
    <t>ORD100841</t>
  </si>
  <si>
    <t>ORD102490</t>
  </si>
  <si>
    <t>ORD101754</t>
  </si>
  <si>
    <t>ORD101488</t>
  </si>
  <si>
    <t>ORD101048</t>
  </si>
  <si>
    <t>ORD101162</t>
  </si>
  <si>
    <t>ORD100373</t>
  </si>
  <si>
    <t>ORD100785</t>
  </si>
  <si>
    <t>ORD100886</t>
  </si>
  <si>
    <t>CUST1249</t>
  </si>
  <si>
    <t>ORD100784</t>
  </si>
  <si>
    <t>ORD101426</t>
  </si>
  <si>
    <t>ORD102021</t>
  </si>
  <si>
    <t>ORD100819</t>
  </si>
  <si>
    <t>ORD101386</t>
  </si>
  <si>
    <t>ORD100708</t>
  </si>
  <si>
    <t>ORD101863</t>
  </si>
  <si>
    <t>ORD101624</t>
  </si>
  <si>
    <t>ORD100470</t>
  </si>
  <si>
    <t>ORD102083</t>
  </si>
  <si>
    <t>ORD102461</t>
  </si>
  <si>
    <t>ORD102428</t>
  </si>
  <si>
    <t>ORD100232</t>
  </si>
  <si>
    <t>ORD100011</t>
  </si>
  <si>
    <t>ORD101816</t>
  </si>
  <si>
    <t>ORD102137</t>
  </si>
  <si>
    <t>ORD101357</t>
  </si>
  <si>
    <t>ORD100537</t>
  </si>
  <si>
    <t>CUST1007</t>
  </si>
  <si>
    <t>ORD102408</t>
  </si>
  <si>
    <t>ORD101135</t>
  </si>
  <si>
    <t>ORD102481</t>
  </si>
  <si>
    <t>ORD101287</t>
  </si>
  <si>
    <t>ORD100099</t>
  </si>
  <si>
    <t>ORD102184</t>
  </si>
  <si>
    <t>ORD101140</t>
  </si>
  <si>
    <t>ORD100802</t>
  </si>
  <si>
    <t>ORD101555</t>
  </si>
  <si>
    <t>ORD101890</t>
  </si>
  <si>
    <t>ORD100271</t>
  </si>
  <si>
    <t>ORD101027</t>
  </si>
  <si>
    <t>ORD102275</t>
  </si>
  <si>
    <t>CUST1377</t>
  </si>
  <si>
    <t>ORD102226</t>
  </si>
  <si>
    <t>ORD101710</t>
  </si>
  <si>
    <t>ORD102049</t>
  </si>
  <si>
    <t>ORD102045</t>
  </si>
  <si>
    <t>ORD100400</t>
  </si>
  <si>
    <t>ORD101780</t>
  </si>
  <si>
    <t>ORD101090</t>
  </si>
  <si>
    <t>ORD101552</t>
  </si>
  <si>
    <t>ORD101497</t>
  </si>
  <si>
    <t>ORD101258</t>
  </si>
  <si>
    <t>ORD100252</t>
  </si>
  <si>
    <t>ORD100876</t>
  </si>
  <si>
    <t>ORD102159</t>
  </si>
  <si>
    <t>ORD100371</t>
  </si>
  <si>
    <t>ORD102112</t>
  </si>
  <si>
    <t>ORD100782</t>
  </si>
  <si>
    <t>CUST1409</t>
  </si>
  <si>
    <t>ORD100636</t>
  </si>
  <si>
    <t>ORD100095</t>
  </si>
  <si>
    <t>ORD102149</t>
  </si>
  <si>
    <t>ORD100028</t>
  </si>
  <si>
    <t>ORD100391</t>
  </si>
  <si>
    <t>ORD100911</t>
  </si>
  <si>
    <t>ORD100791</t>
  </si>
  <si>
    <t>ORD101323</t>
  </si>
  <si>
    <t>ORD100761</t>
  </si>
  <si>
    <t>ORD100923</t>
  </si>
  <si>
    <t>ORD101697</t>
  </si>
  <si>
    <t>CUST1452</t>
  </si>
  <si>
    <t>ORD101512</t>
  </si>
  <si>
    <t>ORD100652</t>
  </si>
  <si>
    <t>ORD101133</t>
  </si>
  <si>
    <t>ORD102174</t>
  </si>
  <si>
    <t>ORD101085</t>
  </si>
  <si>
    <t>ORD101876</t>
  </si>
  <si>
    <t>ORD100313</t>
  </si>
  <si>
    <t>ORD100976</t>
  </si>
  <si>
    <t>ORD102078</t>
  </si>
  <si>
    <t>ORD100498</t>
  </si>
  <si>
    <t>ORD100205</t>
  </si>
  <si>
    <t>ORD100023</t>
  </si>
  <si>
    <t>ORD100522</t>
  </si>
  <si>
    <t>ORD101868</t>
  </si>
  <si>
    <t>ORD102263</t>
  </si>
  <si>
    <t>ORD102224</t>
  </si>
  <si>
    <t>ORD100176</t>
  </si>
  <si>
    <t>ORD100112</t>
  </si>
  <si>
    <t>ORD100758</t>
  </si>
  <si>
    <t>ORD101051</t>
  </si>
  <si>
    <t>CUST1543</t>
  </si>
  <si>
    <t>ORD101883</t>
  </si>
  <si>
    <t>ORD102410</t>
  </si>
  <si>
    <t>ORD100121</t>
  </si>
  <si>
    <t>ORD100359</t>
  </si>
  <si>
    <t>ORD101313</t>
  </si>
  <si>
    <t>ORD100338</t>
  </si>
  <si>
    <t>ORD102337</t>
  </si>
  <si>
    <t>ORD101257</t>
  </si>
  <si>
    <t>ORD101643</t>
  </si>
  <si>
    <t>CUST1243</t>
  </si>
  <si>
    <t>ORD100619</t>
  </si>
  <si>
    <t>ORD101181</t>
  </si>
  <si>
    <t>ORD100815</t>
  </si>
  <si>
    <t>ORD101047</t>
  </si>
  <si>
    <t>ORD101833</t>
  </si>
  <si>
    <t>ORD102005</t>
  </si>
  <si>
    <t>ORD101976</t>
  </si>
  <si>
    <t>ORD102341</t>
  </si>
  <si>
    <t>ORD101033</t>
  </si>
  <si>
    <t>ORD102172</t>
  </si>
  <si>
    <t>ORD101164</t>
  </si>
  <si>
    <t>ORD102379</t>
  </si>
  <si>
    <t>ORD101795</t>
  </si>
  <si>
    <t>ORD101760</t>
  </si>
  <si>
    <t>ORD102373</t>
  </si>
  <si>
    <t>ORD101014</t>
  </si>
  <si>
    <t>ORD100908</t>
  </si>
  <si>
    <t>ORD102340</t>
  </si>
  <si>
    <t>ORD101275</t>
  </si>
  <si>
    <t>ORD101110</t>
  </si>
  <si>
    <t>ORD100954</t>
  </si>
  <si>
    <t>ORD100328</t>
  </si>
  <si>
    <t>ORD100164</t>
  </si>
  <si>
    <t>ORD101260</t>
  </si>
  <si>
    <t>ORD101523</t>
  </si>
  <si>
    <t>ORD100838</t>
  </si>
  <si>
    <t>ORD102342</t>
  </si>
  <si>
    <t>ORD101674</t>
  </si>
  <si>
    <t>CUST1010</t>
  </si>
  <si>
    <t>ORD101886</t>
  </si>
  <si>
    <t>ORD101732</t>
  </si>
  <si>
    <t>ORD101946</t>
  </si>
  <si>
    <t>ORD101103</t>
  </si>
  <si>
    <t>ORD101053</t>
  </si>
  <si>
    <t>CUST1252</t>
  </si>
  <si>
    <t>ORD102222</t>
  </si>
  <si>
    <t>ORD101429</t>
  </si>
  <si>
    <t>ORD101194</t>
  </si>
  <si>
    <t>ORD101745</t>
  </si>
  <si>
    <t>ORD102020</t>
  </si>
  <si>
    <t>ORD101094</t>
  </si>
  <si>
    <t>ORD101280</t>
  </si>
  <si>
    <t>ORD101328</t>
  </si>
  <si>
    <t>ORD100586</t>
  </si>
  <si>
    <t>ORD101249</t>
  </si>
  <si>
    <t>CUST1333</t>
  </si>
  <si>
    <t>ORD101201</t>
  </si>
  <si>
    <t>CUST1026</t>
  </si>
  <si>
    <t>ORD100674</t>
  </si>
  <si>
    <t>CUST1423</t>
  </si>
  <si>
    <t>ORD100186</t>
  </si>
  <si>
    <t>ORD101958</t>
  </si>
  <si>
    <t>ORD100530</t>
  </si>
  <si>
    <t>ORD100063</t>
  </si>
  <si>
    <t>ORD101889</t>
  </si>
  <si>
    <t>ORD101864</t>
  </si>
  <si>
    <t>ORD101276</t>
  </si>
  <si>
    <t>ORD100999</t>
  </si>
  <si>
    <t>ORD100552</t>
  </si>
  <si>
    <t>ORD102082</t>
  </si>
  <si>
    <t>ORD100573</t>
  </si>
  <si>
    <t>ORD101084</t>
  </si>
  <si>
    <t>ORD101263</t>
  </si>
  <si>
    <t>ORD101259</t>
  </si>
  <si>
    <t>ORD102128</t>
  </si>
  <si>
    <t>ORD101001</t>
  </si>
  <si>
    <t>ORD100697</t>
  </si>
  <si>
    <t>ORD101108</t>
  </si>
  <si>
    <t>ORD102087</t>
  </si>
  <si>
    <t>ORD101741</t>
  </si>
  <si>
    <t>ORD100684</t>
  </si>
  <si>
    <t>ORD100423</t>
  </si>
  <si>
    <t>ORD101686</t>
  </si>
  <si>
    <t>ORD100202</t>
  </si>
  <si>
    <t>ORD102431</t>
  </si>
  <si>
    <t>CUST1422</t>
  </si>
  <si>
    <t>ORD100939</t>
  </si>
  <si>
    <t>ORD101499</t>
  </si>
  <si>
    <t>ORD101869</t>
  </si>
  <si>
    <t>ORD100210</t>
  </si>
  <si>
    <t>ORD101296</t>
  </si>
  <si>
    <t>ORD101461</t>
  </si>
  <si>
    <t>ORD102451</t>
  </si>
  <si>
    <t>ORD101397</t>
  </si>
  <si>
    <t>ORD101210</t>
  </si>
  <si>
    <t>ORD101908</t>
  </si>
  <si>
    <t>CUST1431</t>
  </si>
  <si>
    <t>ORD100689</t>
  </si>
  <si>
    <t>ORD102219</t>
  </si>
  <si>
    <t>ORD102253</t>
  </si>
  <si>
    <t>ORD100335</t>
  </si>
  <si>
    <t>ORD102102</t>
  </si>
  <si>
    <t>ORD100059</t>
  </si>
  <si>
    <t>ORD101236</t>
  </si>
  <si>
    <t>ORD101086</t>
  </si>
  <si>
    <t>ORD100180</t>
  </si>
  <si>
    <t>ORD100007</t>
  </si>
  <si>
    <t>ORD100241</t>
  </si>
  <si>
    <t>ORD101037</t>
  </si>
  <si>
    <t>CUST1225</t>
  </si>
  <si>
    <t>ORD101095</t>
  </si>
  <si>
    <t>ORD100893</t>
  </si>
  <si>
    <t>ORD101143</t>
  </si>
  <si>
    <t>ORD101787</t>
  </si>
  <si>
    <t>ORD101208</t>
  </si>
  <si>
    <t>ORD100548</t>
  </si>
  <si>
    <t>ORD100574</t>
  </si>
  <si>
    <t>ORD100503</t>
  </si>
  <si>
    <t>ORD102469</t>
  </si>
  <si>
    <t>ORD100925</t>
  </si>
  <si>
    <t>ORD102497</t>
  </si>
  <si>
    <t>ORD102254</t>
  </si>
  <si>
    <t>ORD100685</t>
  </si>
  <si>
    <t>ORD101009</t>
  </si>
  <si>
    <t>ORD101485</t>
  </si>
  <si>
    <t>ORD100555</t>
  </si>
  <si>
    <t>ORD102394</t>
  </si>
  <si>
    <t>ORD100793</t>
  </si>
  <si>
    <t>ORD100989</t>
  </si>
  <si>
    <t>ORD102145</t>
  </si>
  <si>
    <t>ORD101825</t>
  </si>
  <si>
    <t>ORD100325</t>
  </si>
  <si>
    <t>ORD100930</t>
  </si>
  <si>
    <t>ORD101759</t>
  </si>
  <si>
    <t>ORD101366</t>
  </si>
  <si>
    <t>ORD100449</t>
  </si>
  <si>
    <t>ORD102292</t>
  </si>
  <si>
    <t>ORD100578</t>
  </si>
  <si>
    <t>ORD101007</t>
  </si>
  <si>
    <t>ORD101856</t>
  </si>
  <si>
    <t>ORD100942</t>
  </si>
  <si>
    <t>ORD101543</t>
  </si>
  <si>
    <t>ORD101295</t>
  </si>
  <si>
    <t>ORD102321</t>
  </si>
  <si>
    <t>ORD101800</t>
  </si>
  <si>
    <t>ORD101030</t>
  </si>
  <si>
    <t>ORD101243</t>
  </si>
  <si>
    <t>ORD100224</t>
  </si>
  <si>
    <t>ORD101938</t>
  </si>
  <si>
    <t>ORD101145</t>
  </si>
  <si>
    <t>ORD102464</t>
  </si>
  <si>
    <t>ORD100150</t>
  </si>
  <si>
    <t>ORD100253</t>
  </si>
  <si>
    <t>ORD101350</t>
  </si>
  <si>
    <t>ORD100321</t>
  </si>
  <si>
    <t>ORD101206</t>
  </si>
  <si>
    <t>ORD100222</t>
  </si>
  <si>
    <t>ORD101215</t>
  </si>
  <si>
    <t>ORD100072</t>
  </si>
  <si>
    <t>ORD102018</t>
  </si>
  <si>
    <t>ORD101757</t>
  </si>
  <si>
    <t>ORD102115</t>
  </si>
  <si>
    <t>ORD102055</t>
  </si>
  <si>
    <t>ORD101916</t>
  </si>
  <si>
    <t>ORD100860</t>
  </si>
  <si>
    <t>ORD100641</t>
  </si>
  <si>
    <t>ORD101713</t>
  </si>
  <si>
    <t>Ananya Iyer</t>
  </si>
  <si>
    <t>ORD101844</t>
  </si>
  <si>
    <t>ORD100554</t>
  </si>
  <si>
    <t>ORD100738</t>
  </si>
  <si>
    <t>ORD101190</t>
  </si>
  <si>
    <t>ORD100347</t>
  </si>
  <si>
    <t>ORD101332</t>
  </si>
  <si>
    <t>ORD101767</t>
  </si>
  <si>
    <t>ORD100892</t>
  </si>
  <si>
    <t>ORD101969</t>
  </si>
  <si>
    <t>ORD100564</t>
  </si>
  <si>
    <t>ORD101646</t>
  </si>
  <si>
    <t>ORD100031</t>
  </si>
  <si>
    <t>ORD100862</t>
  </si>
  <si>
    <t>ORD101632</t>
  </si>
  <si>
    <t>ORD100456</t>
  </si>
  <si>
    <t>ORD102016</t>
  </si>
  <si>
    <t>ORD101762</t>
  </si>
  <si>
    <t>ORD101645</t>
  </si>
  <si>
    <t>ORD101171</t>
  </si>
  <si>
    <t>ORD101888</t>
  </si>
  <si>
    <t>ORD102162</t>
  </si>
  <si>
    <t>ORD100775</t>
  </si>
  <si>
    <t>ORD100853</t>
  </si>
  <si>
    <t>ORD102454</t>
  </si>
  <si>
    <t>ORD100439</t>
  </si>
  <si>
    <t>ORD101574</t>
  </si>
  <si>
    <t>ORD102225</t>
  </si>
  <si>
    <t>ORD102252</t>
  </si>
  <si>
    <t>ORD102054</t>
  </si>
  <si>
    <t>ORD100257</t>
  </si>
  <si>
    <t>ORD101062</t>
  </si>
  <si>
    <t>ORD100691</t>
  </si>
  <si>
    <t>ORD100978</t>
  </si>
  <si>
    <t>ORD101165</t>
  </si>
  <si>
    <t>ORD101394</t>
  </si>
  <si>
    <t>ORD101576</t>
  </si>
  <si>
    <t>ORD101790</t>
  </si>
  <si>
    <t>ORD100209</t>
  </si>
  <si>
    <t>ORD100291</t>
  </si>
  <si>
    <t>ORD101197</t>
  </si>
  <si>
    <t>ORD100003</t>
  </si>
  <si>
    <t>ORD101527</t>
  </si>
  <si>
    <t>ORD101089</t>
  </si>
  <si>
    <t>ORD100394</t>
  </si>
  <si>
    <t>ORD101571</t>
  </si>
  <si>
    <t>ORD102333</t>
  </si>
  <si>
    <t>ORD101046</t>
  </si>
  <si>
    <t>ORD101486</t>
  </si>
  <si>
    <t>ORD101788</t>
  </si>
  <si>
    <t>ORD101314</t>
  </si>
  <si>
    <t>ORD101814</t>
  </si>
  <si>
    <t>ORD101739</t>
  </si>
  <si>
    <t>ORD102306</t>
  </si>
  <si>
    <t>ORD101642</t>
  </si>
  <si>
    <t>ORD102381</t>
  </si>
  <si>
    <t>ORD102370</t>
  </si>
  <si>
    <t>ORD102121</t>
  </si>
  <si>
    <t>ORD100875</t>
  </si>
  <si>
    <t>ORD101778</t>
  </si>
  <si>
    <t>ORD101382</t>
  </si>
  <si>
    <t>ORD100905</t>
  </si>
  <si>
    <t>ORD100035</t>
  </si>
  <si>
    <t>ORD102239</t>
  </si>
  <si>
    <t>ORD100401</t>
  </si>
  <si>
    <t>ORD100114</t>
  </si>
  <si>
    <t>ORD100310</t>
  </si>
  <si>
    <t>ORD100695</t>
  </si>
  <si>
    <t>ORD101233</t>
  </si>
  <si>
    <t>ORD100110</t>
  </si>
  <si>
    <t>ORD100277</t>
  </si>
  <si>
    <t>ORD100264</t>
  </si>
  <si>
    <t>ORD102165</t>
  </si>
  <si>
    <t>ORD100914</t>
  </si>
  <si>
    <t>ORD101534</t>
  </si>
  <si>
    <t>ORD100288</t>
  </si>
  <si>
    <t>ORD101998</t>
  </si>
  <si>
    <t>ORD101665</t>
  </si>
  <si>
    <t>ORD101911</t>
  </si>
  <si>
    <t>ORD100943</t>
  </si>
  <si>
    <t>ORD101952</t>
  </si>
  <si>
    <t>ORD100426</t>
  </si>
  <si>
    <t>ORD100947</t>
  </si>
  <si>
    <t>CUST1153</t>
  </si>
  <si>
    <t>ORD102144</t>
  </si>
  <si>
    <t>ORD100089</t>
  </si>
  <si>
    <t>ORD100598</t>
  </si>
  <si>
    <t>ORD100167</t>
  </si>
  <si>
    <t>ORD100061</t>
  </si>
  <si>
    <t>ORD101648</t>
  </si>
  <si>
    <t>ORD100067</t>
  </si>
  <si>
    <t>ORD102395</t>
  </si>
  <si>
    <t>ORD102500</t>
  </si>
  <si>
    <t>ORD101379</t>
  </si>
  <si>
    <t>ORD100926</t>
  </si>
  <si>
    <t>ORD100966</t>
  </si>
  <si>
    <t>ORD101193</t>
  </si>
  <si>
    <t>ORD101431</t>
  </si>
  <si>
    <t>ORD102114</t>
  </si>
  <si>
    <t>ORD101753</t>
  </si>
  <si>
    <t>ORD100286</t>
  </si>
  <si>
    <t>CUST1411</t>
  </si>
  <si>
    <t>ORD100917</t>
  </si>
  <si>
    <t>ORD101056</t>
  </si>
  <si>
    <t>ORD100974</t>
  </si>
  <si>
    <t>ORD101144</t>
  </si>
  <si>
    <t>ORD101667</t>
  </si>
  <si>
    <t>ORD102236</t>
  </si>
  <si>
    <t>ORD100039</t>
  </si>
  <si>
    <t>ORD100913</t>
  </si>
  <si>
    <t>ORD100172</t>
  </si>
  <si>
    <t>ORD100539</t>
  </si>
  <si>
    <t>ORD100533</t>
  </si>
  <si>
    <t>ORD100223</t>
  </si>
  <si>
    <t>ORD100219</t>
  </si>
  <si>
    <t>ORD100318</t>
  </si>
  <si>
    <t>ORD100836</t>
  </si>
  <si>
    <t>ORD102283</t>
  </si>
  <si>
    <t>ORD102126</t>
  </si>
  <si>
    <t>ORD100820</t>
  </si>
  <si>
    <t>ORD102281</t>
  </si>
  <si>
    <t>CUST1480</t>
  </si>
  <si>
    <t>ORD102404</t>
  </si>
  <si>
    <t>ORD100553</t>
  </si>
  <si>
    <t>ORD102124</t>
  </si>
  <si>
    <t>ORD102318</t>
  </si>
  <si>
    <t>ORD102000</t>
  </si>
  <si>
    <t>ORD102152</t>
  </si>
  <si>
    <t>ORD100831</t>
  </si>
  <si>
    <t>ORD101281</t>
  </si>
  <si>
    <t>ORD102442</t>
  </si>
  <si>
    <t>ORD101422</t>
  </si>
  <si>
    <t>ORD102334</t>
  </si>
  <si>
    <t>ORD101333</t>
  </si>
  <si>
    <t>ORD102293</t>
  </si>
  <si>
    <t>ORD100357</t>
  </si>
  <si>
    <t>ORD101311</t>
  </si>
  <si>
    <t>ORD101893</t>
  </si>
  <si>
    <t>ORD101299</t>
  </si>
  <si>
    <t>ORD101689</t>
  </si>
  <si>
    <t>ORD101592</t>
  </si>
  <si>
    <t>ORD101653</t>
  </si>
  <si>
    <t>ORD100396</t>
  </si>
  <si>
    <t>ORD100627</t>
  </si>
  <si>
    <t>ORD102332</t>
  </si>
  <si>
    <t>ORD102025</t>
  </si>
  <si>
    <t>ORD101254</t>
  </si>
  <si>
    <t>ORD102119</t>
  </si>
  <si>
    <t>ORD101831</t>
  </si>
  <si>
    <t>ORD102166</t>
  </si>
  <si>
    <t>ORD100204</t>
  </si>
  <si>
    <t>ORD102349</t>
  </si>
  <si>
    <t>ORD101457</t>
  </si>
  <si>
    <t>ORD101212</t>
  </si>
  <si>
    <t>ORD102123</t>
  </si>
  <si>
    <t>ORD101482</t>
  </si>
  <si>
    <t>ORD102197</t>
  </si>
  <si>
    <t>CUST1043</t>
  </si>
  <si>
    <t>ORD102209</t>
  </si>
  <si>
    <t>ORD102214</t>
  </si>
  <si>
    <t>ORD100654</t>
  </si>
  <si>
    <t>ORD101060</t>
  </si>
  <si>
    <t>ORD102368</t>
  </si>
  <si>
    <t>ORD102146</t>
  </si>
  <si>
    <t>ORD101729</t>
  </si>
  <si>
    <t>ORD100230</t>
  </si>
  <si>
    <t>ORD101626</t>
  </si>
  <si>
    <t>ORD101995</t>
  </si>
  <si>
    <t>ORD101846</t>
  </si>
  <si>
    <t>ORD101691</t>
  </si>
  <si>
    <t>CUST1580</t>
  </si>
  <si>
    <t>ORD101765</t>
  </si>
  <si>
    <t>CUST1151</t>
  </si>
  <si>
    <t>ORD101919</t>
  </si>
  <si>
    <t>ORD100621</t>
  </si>
  <si>
    <t>ORD100118</t>
  </si>
  <si>
    <t>ORD101606</t>
  </si>
  <si>
    <t>ORD102067</t>
  </si>
  <si>
    <t>ORD100383</t>
  </si>
  <si>
    <t>ORD101453</t>
  </si>
  <si>
    <t>ORD100747</t>
  </si>
  <si>
    <t>ORD101039</t>
  </si>
  <si>
    <t>ORD100465</t>
  </si>
  <si>
    <t>ORD100949</t>
  </si>
  <si>
    <t>ORD100790</t>
  </si>
  <si>
    <t>ORD100748</t>
  </si>
  <si>
    <t>ORD102084</t>
  </si>
  <si>
    <t>ORD101390</t>
  </si>
  <si>
    <t>ORD101583</t>
  </si>
  <si>
    <t>ORD100855</t>
  </si>
  <si>
    <t>ORD101502</t>
  </si>
  <si>
    <t>ORD100956</t>
  </si>
  <si>
    <t>ORD101035</t>
  </si>
  <si>
    <t>ORD101963</t>
  </si>
  <si>
    <t>ORD100327</t>
  </si>
  <si>
    <t>ORD101737</t>
  </si>
  <si>
    <t>ORD101318</t>
  </si>
  <si>
    <t>ORD101719</t>
  </si>
  <si>
    <t>ORD100207</t>
  </si>
  <si>
    <t>ORD102391</t>
  </si>
  <si>
    <t>ORD101618</t>
  </si>
  <si>
    <t>ORD101167</t>
  </si>
  <si>
    <t>ORD101211</t>
  </si>
  <si>
    <t>ORD100145</t>
  </si>
  <si>
    <t>ORD102447</t>
  </si>
  <si>
    <t>ORD102445</t>
  </si>
  <si>
    <t>ORD101927</t>
  </si>
  <si>
    <t>ORD101784</t>
  </si>
  <si>
    <t>ORD100082</t>
  </si>
  <si>
    <t>ORD100620</t>
  </si>
  <si>
    <t>ORD101763</t>
  </si>
  <si>
    <t>ORD101807</t>
  </si>
  <si>
    <t>ORD101798</t>
  </si>
  <si>
    <t>ORD101937</t>
  </si>
  <si>
    <t>ORD102483</t>
  </si>
  <si>
    <t>ORD100179</t>
  </si>
  <si>
    <t>ORD102426</t>
  </si>
  <si>
    <t>ORD101633</t>
  </si>
  <si>
    <t>ORD100867</t>
  </si>
  <si>
    <t>ORD101239</t>
  </si>
  <si>
    <t>ORD101922</t>
  </si>
  <si>
    <t>ORD101396</t>
  </si>
  <si>
    <t>ORD100682</t>
  </si>
  <si>
    <t>ORD100358</t>
  </si>
  <si>
    <t>ORD100856</t>
  </si>
  <si>
    <t>ORD101972</t>
  </si>
  <si>
    <t>ORD100600</t>
  </si>
  <si>
    <t>ORD101204</t>
  </si>
  <si>
    <t>ORD101252</t>
  </si>
  <si>
    <t>ORD100309</t>
  </si>
  <si>
    <t>ORD101515</t>
  </si>
  <si>
    <t>ORD102396</t>
  </si>
  <si>
    <t>ORD101663</t>
  </si>
  <si>
    <t>ORD100888</t>
  </si>
  <si>
    <t>ORD102199</t>
  </si>
  <si>
    <t>ORD101290</t>
  </si>
  <si>
    <t>ORD102042</t>
  </si>
  <si>
    <t>ORD102227</t>
  </si>
  <si>
    <t>ORD100076</t>
  </si>
  <si>
    <t>ORD101292</t>
  </si>
  <si>
    <t>ORD100842</t>
  </si>
  <si>
    <t>ORD100569</t>
  </si>
  <si>
    <t>ORD101072</t>
  </si>
  <si>
    <t>ORD102181</t>
  </si>
  <si>
    <t>ORD100284</t>
  </si>
  <si>
    <t>ORD102313</t>
  </si>
  <si>
    <t>ORD101593</t>
  </si>
  <si>
    <t>ORD100430</t>
  </si>
  <si>
    <t>ORD101207</t>
  </si>
  <si>
    <t>ORD102471</t>
  </si>
  <si>
    <t>ORD101096</t>
  </si>
  <si>
    <t>ORD100711</t>
  </si>
  <si>
    <t>ORD101701</t>
  </si>
  <si>
    <t>ORD100171</t>
  </si>
  <si>
    <t>ORD101631</t>
  </si>
  <si>
    <t>CUST1123</t>
  </si>
  <si>
    <t>ORD101722</t>
  </si>
  <si>
    <t>ORD101688</t>
  </si>
  <si>
    <t>ORD100349</t>
  </si>
  <si>
    <t>ORD100346</t>
  </si>
  <si>
    <t>ORD101358</t>
  </si>
  <si>
    <t>ORD102295</t>
  </si>
  <si>
    <t>ORD100881</t>
  </si>
  <si>
    <t>ORD100916</t>
  </si>
  <si>
    <t>ORD100414</t>
  </si>
  <si>
    <t>ORD101772</t>
  </si>
  <si>
    <t>ORD100783</t>
  </si>
  <si>
    <t>ORD101006</t>
  </si>
  <si>
    <t>ORD101635</t>
  </si>
  <si>
    <t>ORD101930</t>
  </si>
  <si>
    <t>CUST1531</t>
  </si>
  <si>
    <t>ORD100715</t>
  </si>
  <si>
    <t>ORD101057</t>
  </si>
  <si>
    <t>ORD101979</t>
  </si>
  <si>
    <t>ORD101530</t>
  </si>
  <si>
    <t>ORD100292</t>
  </si>
  <si>
    <t>ORD102207</t>
  </si>
  <si>
    <t>ORD101484</t>
  </si>
  <si>
    <t>ORD101132</t>
  </si>
  <si>
    <t>ORD101675</t>
  </si>
  <si>
    <t>ORD101751</t>
  </si>
  <si>
    <t>ORD100814</t>
  </si>
  <si>
    <t>ORD100343</t>
  </si>
  <si>
    <t>ORD101419</t>
  </si>
  <si>
    <t>ORD101337</t>
  </si>
  <si>
    <t>ORD101384</t>
  </si>
  <si>
    <t>ORD100075</t>
  </si>
  <si>
    <t>ORD101924</t>
  </si>
  <si>
    <t>ORD101185</t>
  </si>
  <si>
    <t>ORD100459</t>
  </si>
  <si>
    <t>ORD101521</t>
  </si>
  <si>
    <t>ORD101264</t>
  </si>
  <si>
    <t>ORD101016</t>
  </si>
  <si>
    <t>ORD100464</t>
  </si>
  <si>
    <t>ORD100662</t>
  </si>
  <si>
    <t>ORD100829</t>
  </si>
  <si>
    <t>CUST1065</t>
  </si>
  <si>
    <t>ORD100446</t>
  </si>
  <si>
    <t>ORD101718</t>
  </si>
  <si>
    <t>ORD101578</t>
  </si>
  <si>
    <t>ORD102163</t>
  </si>
  <si>
    <t>ORD100215</t>
  </si>
  <si>
    <t>ORD102457</t>
  </si>
  <si>
    <t>ORD102415</t>
  </si>
  <si>
    <t>ORD100741</t>
  </si>
  <si>
    <t>ORD100443</t>
  </si>
  <si>
    <t>ORD100502</t>
  </si>
  <si>
    <t>ORD101982</t>
  </si>
  <si>
    <t>ORD100604</t>
  </si>
  <si>
    <t>ORD101217</t>
  </si>
  <si>
    <t>ORD101344</t>
  </si>
  <si>
    <t>ORD100655</t>
  </si>
  <si>
    <t>ORD100494</t>
  </si>
  <si>
    <t>ORD100639</t>
  </si>
  <si>
    <t>ORD100582</t>
  </si>
  <si>
    <t>ORD101829</t>
  </si>
  <si>
    <t>ORD100599</t>
  </si>
  <si>
    <t>ORD101511</t>
  </si>
  <si>
    <t>ORD101179</t>
  </si>
  <si>
    <t>ORD101726</t>
  </si>
  <si>
    <t>ORD100174</t>
  </si>
  <si>
    <t>ORD101986</t>
  </si>
  <si>
    <t>ORD100306</t>
  </si>
  <si>
    <t>ORD101015</t>
  </si>
  <si>
    <t>ORD102435</t>
  </si>
  <si>
    <t>ORD100375</t>
  </si>
  <si>
    <t>ORD101842</t>
  </si>
  <si>
    <t>ORD101342</t>
  </si>
  <si>
    <t>ORD102299</t>
  </si>
  <si>
    <t>ORD100520</t>
  </si>
  <si>
    <t>ORD101696</t>
  </si>
  <si>
    <t>ORD101224</t>
  </si>
  <si>
    <t>ORD100973</t>
  </si>
  <si>
    <t>ORD102472</t>
  </si>
  <si>
    <t>ORD100258</t>
  </si>
  <si>
    <t>ORD101676</t>
  </si>
  <si>
    <t>ORD102259</t>
  </si>
  <si>
    <t>ORD100946</t>
  </si>
  <si>
    <t>ORD100995</t>
  </si>
  <si>
    <t>ORD100111</t>
  </si>
  <si>
    <t>ORD101191</t>
  </si>
  <si>
    <t>ORD100991</t>
  </si>
  <si>
    <t>ORD101554</t>
  </si>
  <si>
    <t>ORD100369</t>
  </si>
  <si>
    <t>ORD100773</t>
  </si>
  <si>
    <t>ORD100941</t>
  </si>
  <si>
    <t>ORD102385</t>
  </si>
  <si>
    <t>ORD101226</t>
  </si>
  <si>
    <t>ORD102050</t>
  </si>
  <si>
    <t>ORD100622</t>
  </si>
  <si>
    <t>ORD102026</t>
  </si>
  <si>
    <t>ORD100276</t>
  </si>
  <si>
    <t>ORD100709</t>
  </si>
  <si>
    <t>ORD101936</t>
  </si>
  <si>
    <t>ORD102494</t>
  </si>
  <si>
    <t>ORD102212</t>
  </si>
  <si>
    <t>ORD100562</t>
  </si>
  <si>
    <t>ORD101487</t>
  </si>
  <si>
    <t>ORD100334</t>
  </si>
  <si>
    <t>ORD100457</t>
  </si>
  <si>
    <t>ORD100879</t>
  </si>
  <si>
    <t>ORD102034</t>
  </si>
  <si>
    <t>ORD100677</t>
  </si>
  <si>
    <t>ORD101698</t>
  </si>
  <si>
    <t>ORD101672</t>
  </si>
  <si>
    <t>ORD100333</t>
  </si>
  <si>
    <t>ORD101320</t>
  </si>
  <si>
    <t>ORD102303</t>
  </si>
  <si>
    <t>ORD100642</t>
  </si>
  <si>
    <t>ORD100041</t>
  </si>
  <si>
    <t>ORD101962</t>
  </si>
  <si>
    <t>ORD101327</t>
  </si>
  <si>
    <t>ORD100299</t>
  </si>
  <si>
    <t>ORD100064</t>
  </si>
  <si>
    <t>ORD100693</t>
  </si>
  <si>
    <t>ORD102343</t>
  </si>
  <si>
    <t>ORD102312</t>
  </si>
  <si>
    <t>ORD102037</t>
  </si>
  <si>
    <t>ORD100796</t>
  </si>
  <si>
    <t>CUST1441</t>
  </si>
  <si>
    <t>ORD102436</t>
  </si>
  <si>
    <t>ORD101270</t>
  </si>
  <si>
    <t>ORD101183</t>
  </si>
  <si>
    <t>ORD102280</t>
  </si>
  <si>
    <t>ORD101285</t>
  </si>
  <si>
    <t>ORD101460</t>
  </si>
  <si>
    <t>ORD102038</t>
  </si>
  <si>
    <t>ORD100409</t>
  </si>
  <si>
    <t>ORD100556</t>
  </si>
  <si>
    <t>ORD102107</t>
  </si>
  <si>
    <t>ORD100918</t>
  </si>
  <si>
    <t>ORD100013</t>
  </si>
  <si>
    <t>ORD100152</t>
  </si>
  <si>
    <t>ORD100726</t>
  </si>
  <si>
    <t>ORD100702</t>
  </si>
  <si>
    <t>ORD101573</t>
  </si>
  <si>
    <t>ORD101036</t>
  </si>
  <si>
    <t>ORD101424</t>
  </si>
  <si>
    <t>ORD101870</t>
  </si>
  <si>
    <t>ORD100950</t>
  </si>
  <si>
    <t>ORD102374</t>
  </si>
  <si>
    <t>ORD101906</t>
  </si>
  <si>
    <t>ORD100056</t>
  </si>
  <si>
    <t>ORD102411</t>
  </si>
  <si>
    <t>ORD101678</t>
  </si>
  <si>
    <t>ORD102093</t>
  </si>
  <si>
    <t>ORD101388</t>
  </si>
  <si>
    <t>ORD102132</t>
  </si>
  <si>
    <t>ORD101535</t>
  </si>
  <si>
    <t>ORD100800</t>
  </si>
  <si>
    <t>ORD100106</t>
  </si>
  <si>
    <t>ORD101173</t>
  </si>
  <si>
    <t>CUST1515</t>
  </si>
  <si>
    <t>ORD101109</t>
  </si>
  <si>
    <t>ORD100504</t>
  </si>
  <si>
    <t>ORD101253</t>
  </si>
  <si>
    <t>ORD101915</t>
  </si>
  <si>
    <t>ORD101848</t>
  </si>
  <si>
    <t>ORD102413</t>
  </si>
  <si>
    <t>ORD102378</t>
  </si>
  <si>
    <t>ORD101462</t>
  </si>
  <si>
    <t>ORD101715</t>
  </si>
  <si>
    <t>ORD100532</t>
  </si>
  <si>
    <t>ORD100159</t>
  </si>
  <si>
    <t>ORD100985</t>
  </si>
  <si>
    <t>ORD101602</t>
  </si>
  <si>
    <t>ORD100341</t>
  </si>
  <si>
    <t>ORD101403</t>
  </si>
  <si>
    <t>ORD100964</t>
  </si>
  <si>
    <t>ORD100692</t>
  </si>
  <si>
    <t>ORD101092</t>
  </si>
  <si>
    <t>ORD100818</t>
  </si>
  <si>
    <t>ORD101500</t>
  </si>
  <si>
    <t>ORD100638</t>
  </si>
  <si>
    <t>ORD101961</t>
  </si>
  <si>
    <t>ORD100073</t>
  </si>
  <si>
    <t>ORD100201</t>
  </si>
  <si>
    <t>ORD100198</t>
  </si>
  <si>
    <t>ORD100086</t>
  </si>
  <si>
    <t>ORD102160</t>
  </si>
  <si>
    <t>ORD102167</t>
  </si>
  <si>
    <t>ORD102475</t>
  </si>
  <si>
    <t>ORD100120</t>
  </si>
  <si>
    <t>ORD100779</t>
  </si>
  <si>
    <t>ORD102324</t>
  </si>
  <si>
    <t>ORD100436</t>
  </si>
  <si>
    <t>ORD102170</t>
  </si>
  <si>
    <t>ORD102013</t>
  </si>
  <si>
    <t>ORD101013</t>
  </si>
  <si>
    <t>CUST1425</t>
  </si>
  <si>
    <t>ORD101304</t>
  </si>
  <si>
    <t>ORD101857</t>
  </si>
  <si>
    <t>ORD102441</t>
  </si>
  <si>
    <t>ORD102418</t>
  </si>
  <si>
    <t>ORD100953</t>
  </si>
  <si>
    <t>ORD101654</t>
  </si>
  <si>
    <t>ORD101812</t>
  </si>
  <si>
    <t>ORD100294</t>
  </si>
  <si>
    <t>ORD101413</t>
  </si>
  <si>
    <t>ORD100550</t>
  </si>
  <si>
    <t>ORD102289</t>
  </si>
  <si>
    <t>ORD100681</t>
  </si>
  <si>
    <t>ORD101114</t>
  </si>
  <si>
    <t>ORD100092</t>
  </si>
  <si>
    <t>CUST1557</t>
  </si>
  <si>
    <t>ORD100066</t>
  </si>
  <si>
    <t>ORD102019</t>
  </si>
  <si>
    <t>ORD102229</t>
  </si>
  <si>
    <t>ORD100149</t>
  </si>
  <si>
    <t>ORD100822</t>
  </si>
  <si>
    <t>ORD102307</t>
  </si>
  <si>
    <t>ORD101897</t>
  </si>
  <si>
    <t>ORD101746</t>
  </si>
  <si>
    <t>ORD100506</t>
  </si>
  <si>
    <t>CUST1347</t>
  </si>
  <si>
    <t>ORD100895</t>
  </si>
  <si>
    <t>ORD101463</t>
  </si>
  <si>
    <t>ORD100848</t>
  </si>
  <si>
    <t>ORD100507</t>
  </si>
  <si>
    <t>ORD101380</t>
  </si>
  <si>
    <t>ORD101836</t>
  </si>
  <si>
    <t>ORD100049</t>
  </si>
  <si>
    <t>ORD101134</t>
  </si>
  <si>
    <t>ORD102198</t>
  </si>
  <si>
    <t>ORD101305</t>
  </si>
  <si>
    <t>ORD100526</t>
  </si>
  <si>
    <t>Row Labels</t>
  </si>
  <si>
    <t>Grand Total</t>
  </si>
  <si>
    <t>Sum of Sales</t>
  </si>
  <si>
    <t>Sum of Profit</t>
  </si>
  <si>
    <t>Column Labels</t>
  </si>
  <si>
    <t>Sum of Quantity</t>
  </si>
  <si>
    <t>TOTAL SALES</t>
  </si>
  <si>
    <t>TOTAL PROFIT</t>
  </si>
  <si>
    <t>TOTAL ORDERS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</si>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</sst>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2" fillId="0" borderId="0" xfId="0" applyFont="1"/>
    <xf numFmtId="10" fontId="4" fillId="0" borderId="0" xfId="1" applyNumberFormat="1" applyFont="1"/>
    <xf numFmtId="164" fontId="4" fillId="0" borderId="0" xfId="0" applyNumberFormat="1" applyFont="1"/>
    <xf numFmtId="44" fontId="4" fillId="0" borderId="0" xfId="0" applyNumberFormat="1" applyFont="1"/>
    <xf numFmtId="10" fontId="4" fillId="0" borderId="0" xfId="0" applyNumberFormat="1" applyFont="1"/>
  </cellXfs>
  <cellStyles count="2">
    <cellStyle name="Normal" xfId="0" builtinId="0"/>
    <cellStyle name="Percent" xfId="1" builtinId="5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^0 profit analysis.xlsx]sales by year!PivotTable3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by year'!$B$3:$B$4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by year'!$A$5:$A$17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by year'!$B$5:$B$17</c:f>
              <c:numCache>
                <c:formatCode>General</c:formatCode>
                <c:ptCount val="12"/>
                <c:pt idx="0">
                  <c:v>2364353.7299999995</c:v>
                </c:pt>
                <c:pt idx="1">
                  <c:v>1594615.7699999998</c:v>
                </c:pt>
                <c:pt idx="2">
                  <c:v>2223396.0799999996</c:v>
                </c:pt>
                <c:pt idx="3">
                  <c:v>1928785.7599999995</c:v>
                </c:pt>
                <c:pt idx="4">
                  <c:v>1404926.6300000004</c:v>
                </c:pt>
                <c:pt idx="5">
                  <c:v>1487915.9499999997</c:v>
                </c:pt>
                <c:pt idx="6">
                  <c:v>1857784.6500000004</c:v>
                </c:pt>
                <c:pt idx="7">
                  <c:v>2292449.2100000004</c:v>
                </c:pt>
                <c:pt idx="8">
                  <c:v>1551563.13</c:v>
                </c:pt>
                <c:pt idx="9">
                  <c:v>1596086.57</c:v>
                </c:pt>
                <c:pt idx="10">
                  <c:v>1928253.3000000003</c:v>
                </c:pt>
                <c:pt idx="11">
                  <c:v>2001413.38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D7-47BA-9B95-BBA9C850FBA7}"/>
            </c:ext>
          </c:extLst>
        </c:ser>
        <c:ser>
          <c:idx val="1"/>
          <c:order val="1"/>
          <c:tx>
            <c:strRef>
              <c:f>'sales by year'!$C$3:$C$4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'sales by year'!$A$5:$A$17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by year'!$C$5:$C$17</c:f>
              <c:numCache>
                <c:formatCode>General</c:formatCode>
                <c:ptCount val="12"/>
                <c:pt idx="0">
                  <c:v>2179447.64</c:v>
                </c:pt>
                <c:pt idx="1">
                  <c:v>1619823.6300000006</c:v>
                </c:pt>
                <c:pt idx="2">
                  <c:v>1921563.4600000002</c:v>
                </c:pt>
                <c:pt idx="3">
                  <c:v>2902911.83</c:v>
                </c:pt>
                <c:pt idx="4">
                  <c:v>2905758.6599999997</c:v>
                </c:pt>
                <c:pt idx="5">
                  <c:v>1993898.4300000002</c:v>
                </c:pt>
                <c:pt idx="6">
                  <c:v>2163833.4999999991</c:v>
                </c:pt>
                <c:pt idx="7">
                  <c:v>2190190.4499999993</c:v>
                </c:pt>
                <c:pt idx="8">
                  <c:v>1384568.6800000002</c:v>
                </c:pt>
                <c:pt idx="9">
                  <c:v>1520271.6099999999</c:v>
                </c:pt>
                <c:pt idx="10">
                  <c:v>1595740.0000000014</c:v>
                </c:pt>
                <c:pt idx="11">
                  <c:v>1562792.5800000005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D7-47BA-9B95-BBA9C850F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0716799"/>
        <c:axId val="1330055759"/>
      </c:lineChart>
      <c:catAx>
        <c:axId val="1520716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055759"/>
        <c:crosses val="autoZero"/>
        <c:auto val="1"/>
        <c:lblAlgn val="ctr"/>
        <c:lblOffset val="100"/>
        <c:noMultiLvlLbl val="0"/>
      </c:catAx>
      <c:valAx>
        <c:axId val="1330055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716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^0 profit analysis.xlsx]Sheet6!PivotTable5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10 products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Sheet6!$A$4:$A$14</c:f>
              <c:strCache>
                <c:ptCount val="10"/>
                <c:pt idx="0">
                  <c:v>Air Purifier</c:v>
                </c:pt>
                <c:pt idx="1">
                  <c:v>Bookshelf</c:v>
                </c:pt>
                <c:pt idx="2">
                  <c:v>Coffee Table</c:v>
                </c:pt>
                <c:pt idx="3">
                  <c:v>Laptop</c:v>
                </c:pt>
                <c:pt idx="4">
                  <c:v>Mixer Grinder</c:v>
                </c:pt>
                <c:pt idx="5">
                  <c:v>Monitor</c:v>
                </c:pt>
                <c:pt idx="6">
                  <c:v>Office Chair</c:v>
                </c:pt>
                <c:pt idx="7">
                  <c:v>Portable Speaker</c:v>
                </c:pt>
                <c:pt idx="8">
                  <c:v>Study Desk</c:v>
                </c:pt>
                <c:pt idx="9">
                  <c:v>Vacuum Cleaner</c:v>
                </c:pt>
              </c:strCache>
            </c:strRef>
          </c:cat>
          <c:val>
            <c:numRef>
              <c:f>Sheet6!$B$4:$B$14</c:f>
              <c:numCache>
                <c:formatCode>General</c:formatCode>
                <c:ptCount val="10"/>
                <c:pt idx="0">
                  <c:v>3629461.459999999</c:v>
                </c:pt>
                <c:pt idx="1">
                  <c:v>1397589.44</c:v>
                </c:pt>
                <c:pt idx="2">
                  <c:v>1197079.3600000001</c:v>
                </c:pt>
                <c:pt idx="3">
                  <c:v>21360240.650000006</c:v>
                </c:pt>
                <c:pt idx="4">
                  <c:v>1004772.3599999999</c:v>
                </c:pt>
                <c:pt idx="5">
                  <c:v>4959977.88</c:v>
                </c:pt>
                <c:pt idx="6">
                  <c:v>3550041.0300000017</c:v>
                </c:pt>
                <c:pt idx="7">
                  <c:v>1056900.7499999995</c:v>
                </c:pt>
                <c:pt idx="8">
                  <c:v>2389590.7899999996</c:v>
                </c:pt>
                <c:pt idx="9">
                  <c:v>2720188.09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FF-4F24-92CB-00009497E4A2}"/>
            </c:ext>
          </c:extLst>
        </c:ser>
        <c:ser>
          <c:idx val="1"/>
          <c:order val="1"/>
          <c:tx>
            <c:strRef>
              <c:f>Sheet6!$C$3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Sheet6!$A$4:$A$14</c:f>
              <c:strCache>
                <c:ptCount val="10"/>
                <c:pt idx="0">
                  <c:v>Air Purifier</c:v>
                </c:pt>
                <c:pt idx="1">
                  <c:v>Bookshelf</c:v>
                </c:pt>
                <c:pt idx="2">
                  <c:v>Coffee Table</c:v>
                </c:pt>
                <c:pt idx="3">
                  <c:v>Laptop</c:v>
                </c:pt>
                <c:pt idx="4">
                  <c:v>Mixer Grinder</c:v>
                </c:pt>
                <c:pt idx="5">
                  <c:v>Monitor</c:v>
                </c:pt>
                <c:pt idx="6">
                  <c:v>Office Chair</c:v>
                </c:pt>
                <c:pt idx="7">
                  <c:v>Portable Speaker</c:v>
                </c:pt>
                <c:pt idx="8">
                  <c:v>Study Desk</c:v>
                </c:pt>
                <c:pt idx="9">
                  <c:v>Vacuum Cleaner</c:v>
                </c:pt>
              </c:strCache>
            </c:strRef>
          </c:cat>
          <c:val>
            <c:numRef>
              <c:f>Sheet6!$C$4:$C$14</c:f>
              <c:numCache>
                <c:formatCode>General</c:formatCode>
                <c:ptCount val="10"/>
                <c:pt idx="0">
                  <c:v>823337.0900000002</c:v>
                </c:pt>
                <c:pt idx="1">
                  <c:v>468041.58000000007</c:v>
                </c:pt>
                <c:pt idx="2">
                  <c:v>369584.39999999991</c:v>
                </c:pt>
                <c:pt idx="3">
                  <c:v>968996.12999999977</c:v>
                </c:pt>
                <c:pt idx="4">
                  <c:v>380143.78000000026</c:v>
                </c:pt>
                <c:pt idx="5">
                  <c:v>879122.25000000012</c:v>
                </c:pt>
                <c:pt idx="6">
                  <c:v>930709.60000000009</c:v>
                </c:pt>
                <c:pt idx="7">
                  <c:v>456124.0799999999</c:v>
                </c:pt>
                <c:pt idx="8">
                  <c:v>704632.09000000008</c:v>
                </c:pt>
                <c:pt idx="9">
                  <c:v>774754.35999999975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FF-4F24-92CB-00009497E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0811919"/>
        <c:axId val="1329957839"/>
      </c:barChart>
      <c:catAx>
        <c:axId val="152081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957839"/>
        <c:crosses val="autoZero"/>
        <c:auto val="1"/>
        <c:lblAlgn val="ctr"/>
        <c:lblOffset val="100"/>
        <c:noMultiLvlLbl val="0"/>
      </c:catAx>
      <c:valAx>
        <c:axId val="132995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81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sales ^0 profit analysis.xlsx]payment mode!PivotTable6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'payment mode'!$B$3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97-4C54-9AF4-BA910A165A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97-4C54-9AF4-BA910A165A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797-4C54-9AF4-BA910A165A7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797-4C54-9AF4-BA910A165A7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797-4C54-9AF4-BA910A165A77}"/>
              </c:ext>
            </c:extLst>
          </c:dPt>
          <c:cat>
            <c:strRef>
              <c:f>'payment mode'!$A$4:$A$9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'payment mode'!$B$4:$B$9</c:f>
              <c:numCache>
                <c:formatCode>General</c:formatCode>
                <c:ptCount val="5"/>
                <c:pt idx="0">
                  <c:v>4846860.9300000025</c:v>
                </c:pt>
                <c:pt idx="1">
                  <c:v>9510951.0599999949</c:v>
                </c:pt>
                <c:pt idx="2">
                  <c:v>8624483.4700000025</c:v>
                </c:pt>
                <c:pt idx="3">
                  <c:v>4840807.4399999985</c:v>
                </c:pt>
                <c:pt idx="4">
                  <c:v>18349241.73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797-4C54-9AF4-BA910A165A77}"/>
            </c:ext>
          </c:extLst>
        </c:ser>
        <c:ser>
          <c:idx val="1"/>
          <c:order val="1"/>
          <c:tx>
            <c:strRef>
              <c:f>'payment mode'!$C$3</c:f>
              <c:strCache>
                <c:ptCount val="1"/>
                <c:pt idx="0">
                  <c:v>Sum of 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3797-4C54-9AF4-BA910A165A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3797-4C54-9AF4-BA910A165A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3797-4C54-9AF4-BA910A165A7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3797-4C54-9AF4-BA910A165A7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3797-4C54-9AF4-BA910A165A77}"/>
              </c:ext>
            </c:extLst>
          </c:dPt>
          <c:cat>
            <c:strRef>
              <c:f>'payment mode'!$A$4:$A$9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'payment mode'!$C$4:$C$9</c:f>
              <c:numCache>
                <c:formatCode>General</c:formatCode>
                <c:ptCount val="5"/>
                <c:pt idx="0">
                  <c:v>573</c:v>
                </c:pt>
                <c:pt idx="1">
                  <c:v>1353</c:v>
                </c:pt>
                <c:pt idx="2">
                  <c:v>1310</c:v>
                </c:pt>
                <c:pt idx="3">
                  <c:v>746</c:v>
                </c:pt>
                <c:pt idx="4">
                  <c:v>2472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797-4C54-9AF4-BA910A165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99060</xdr:rowOff>
    </xdr:from>
    <xdr:to>
      <xdr:col>3</xdr:col>
      <xdr:colOff>975360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9CD4C3-5EC1-4816-BA74-312EEA6CDD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167640</xdr:rowOff>
    </xdr:from>
    <xdr:to>
      <xdr:col>12</xdr:col>
      <xdr:colOff>541020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946EAE-274D-40EB-865D-5D844F2169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27</xdr:row>
      <xdr:rowOff>30480</xdr:rowOff>
    </xdr:from>
    <xdr:to>
      <xdr:col>3</xdr:col>
      <xdr:colOff>967740</xdr:colOff>
      <xdr:row>44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37B04D-E331-4EE7-B308-C55D255A88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3</xdr:col>
      <xdr:colOff>495300</xdr:colOff>
      <xdr:row>0</xdr:row>
      <xdr:rowOff>160020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73F8192-23AD-D361-77DC-DDAF5A0849D1}"/>
            </a:ext>
          </a:extLst>
        </xdr:cNvPr>
        <xdr:cNvSpPr txBox="1"/>
      </xdr:nvSpPr>
      <xdr:spPr>
        <a:xfrm>
          <a:off x="4419600" y="1600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0</xdr:col>
      <xdr:colOff>388620</xdr:colOff>
      <xdr:row>0</xdr:row>
      <xdr:rowOff>144780</xdr:rowOff>
    </xdr:from>
    <xdr:ext cx="10050780" cy="716280"/>
    <xdr:sp macro="" textlink="">
      <xdr:nvSpPr>
        <xdr:cNvPr id="10" name="TextBox 5">
          <a:extLst>
            <a:ext uri="{FF2B5EF4-FFF2-40B4-BE49-F238E27FC236}">
              <a16:creationId xmlns:a16="http://schemas.microsoft.com/office/drawing/2014/main" id="{DDA2495C-EE9F-452E-99E7-8418071365B8}"/>
            </a:ext>
          </a:extLst>
        </xdr:cNvPr>
        <xdr:cNvSpPr txBox="1"/>
      </xdr:nvSpPr>
      <xdr:spPr>
        <a:xfrm>
          <a:off x="388620" y="144780"/>
          <a:ext cx="10050780" cy="716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IN" sz="3600" b="1">
              <a:solidFill>
                <a:srgbClr val="FF0000"/>
              </a:solidFill>
            </a:rPr>
            <a:t>RETAIL SALES</a:t>
          </a:r>
          <a:r>
            <a:rPr lang="en-IN" sz="3600" b="1" baseline="0">
              <a:solidFill>
                <a:srgbClr val="FF0000"/>
              </a:solidFill>
            </a:rPr>
            <a:t> &amp; PROFIT ANALYSIS</a:t>
          </a:r>
          <a:endParaRPr lang="en-IN" sz="3600" b="1">
            <a:solidFill>
              <a:srgbClr val="FF0000"/>
            </a:solidFill>
          </a:endParaRP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un Kumar" refreshedDate="46278.507302546299" createdVersion="8" refreshedVersion="8" minRefreshableVersion="3" recordCount="2500" xr:uid="{DB9A3D1E-EB64-431E-9104-B71BC98C91D8}">
  <cacheSource type="worksheet">
    <worksheetSource name="Raw_Data"/>
  </cacheSource>
  <cacheFields count="25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6-01-01T00:00:00" count="708">
        <d v="2024-01-01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9T00:00:00"/>
        <d v="2024-03-01T00:00:00"/>
        <d v="2024-03-02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7-01T00:00:00"/>
        <d v="2024-07-02T00:00:00"/>
        <d v="2024-07-04T00:00:00"/>
        <d v="2024-07-06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7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8T00:00:00"/>
        <d v="2025-11-09T00:00:00"/>
        <d v="2025-11-10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  <fieldGroup par="24"/>
    </cacheField>
    <cacheField name="Customer_ID" numFmtId="0">
      <sharedItems/>
    </cacheField>
    <cacheField name="Customer_Name" numFmtId="0">
      <sharedItems/>
    </cacheField>
    <cacheField name="Region" numFmtId="0">
      <sharedItems count="4">
        <s v="West"/>
        <s v="North"/>
        <s v="South"/>
        <s v="East"/>
      </sharedItems>
    </cacheField>
    <cacheField name="State" numFmtId="0">
      <sharedItems/>
    </cacheField>
    <cacheField name="City" numFmtId="0">
      <sharedItems/>
    </cacheField>
    <cacheField name="Category" numFmtId="0">
      <sharedItems count="4">
        <s v="Electronics"/>
        <s v="Office Supplies"/>
        <s v="Furniture"/>
        <s v="Home Appliances"/>
      </sharedItems>
    </cacheField>
    <cacheField name="Sub_Category" numFmtId="0">
      <sharedItems/>
    </cacheField>
    <cacheField name="Product" numFmtId="0">
      <sharedItems count="18">
        <s v="Laptop"/>
        <s v="Premium Pens"/>
        <s v="Storage Box"/>
        <s v="Monitor"/>
        <s v="Bookshelf"/>
        <s v="Mechanical Keyboard"/>
        <s v="Wireless Mouse"/>
        <s v="Electric Kettle"/>
        <s v="Portable Speaker"/>
        <s v="File Organizer"/>
        <s v="Study Desk"/>
        <s v="Bluetooth Headphones"/>
        <s v="Air Purifier"/>
        <s v="Mixer Grinder"/>
        <s v="Office Chair"/>
        <s v="Vacuum Cleaner"/>
        <s v="Coffee Table"/>
        <s v="Notebook Pack"/>
      </sharedItems>
    </cacheField>
    <cacheField name="Quantity" numFmtId="0">
      <sharedItems containsSemiMixedTypes="0" containsString="0" containsNumber="1" containsInteger="1" minValue="1" maxValue="6"/>
    </cacheField>
    <cacheField name="Unit_Price" numFmtId="0">
      <sharedItems containsSemiMixedTypes="0" containsString="0" containsNumber="1" minValue="234.11" maxValue="62475.98"/>
    </cacheField>
    <cacheField name="Discount" numFmtId="0">
      <sharedItems containsSemiMixedTypes="0" containsString="0" containsNumber="1" minValue="0" maxValue="0.2"/>
    </cacheField>
    <cacheField name="Sales" numFmtId="0">
      <sharedItems containsSemiMixedTypes="0" containsString="0" containsNumber="1" minValue="189.93" maxValue="360995.1"/>
    </cacheField>
    <cacheField name="Cost" numFmtId="0">
      <sharedItems containsSemiMixedTypes="0" containsString="0" containsNumber="1" minValue="87.51" maxValue="342279.33"/>
    </cacheField>
    <cacheField name="Profit" numFmtId="0">
      <sharedItems containsSemiMixedTypes="0" containsString="0" containsNumber="1" minValue="-39801.879999999997" maxValue="35808.080000000002"/>
    </cacheField>
    <cacheField name="Payment_Mode" numFmtId="0">
      <sharedItems count="5">
        <s v="UPI"/>
        <s v="Debit Card"/>
        <s v="Credit Card"/>
        <s v="Net Banking"/>
        <s v="Cash"/>
      </sharedItems>
    </cacheField>
    <cacheField name="Profit_Margin" numFmtId="0">
      <sharedItems containsSemiMixedTypes="0" containsString="0" containsNumber="1" minValue="-0.14004752312847729" maxValue="0.63383679901817225"/>
    </cacheField>
    <cacheField name="Year" numFmtId="0">
      <sharedItems containsSemiMixedTypes="0" containsString="0" containsNumber="1" containsInteger="1" minValue="2024" maxValue="2025" count="2">
        <n v="2024"/>
        <n v="2025"/>
      </sharedItems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Month_Number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Quarter" numFmtId="0">
      <sharedItems/>
    </cacheField>
    <cacheField name="Months (Order_Date)" numFmtId="0" databaseField="0">
      <fieldGroup base="1">
        <rangePr groupBy="months" startDate="2024-01-01T00:00:00" endDate="2026-01-0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6"/>
        </groupItems>
      </fieldGroup>
    </cacheField>
    <cacheField name="Quarters (Order_Date)" numFmtId="0" databaseField="0">
      <fieldGroup base="1">
        <rangePr groupBy="quarters" startDate="2024-01-01T00:00:00" endDate="2026-01-01T00:00:00"/>
        <groupItems count="6">
          <s v="&lt;01-01-2024"/>
          <s v="Qtr1"/>
          <s v="Qtr2"/>
          <s v="Qtr3"/>
          <s v="Qtr4"/>
          <s v="&gt;01-01-2026"/>
        </groupItems>
      </fieldGroup>
    </cacheField>
    <cacheField name="Years (Order_Date)" numFmtId="0" databaseField="0">
      <fieldGroup base="1">
        <rangePr groupBy="years" startDate="2024-01-01T00:00:00" endDate="2026-01-01T00:00:00"/>
        <groupItems count="5">
          <s v="&lt;01-01-2024"/>
          <s v="2024"/>
          <s v="2025"/>
          <s v="2026"/>
          <s v="&gt;01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s v="ORD101849"/>
    <x v="0"/>
    <s v="CUST1628"/>
    <s v="Aditya Das"/>
    <x v="0"/>
    <s v="Maharashtra"/>
    <s v="Pune"/>
    <x v="0"/>
    <s v="Computers"/>
    <x v="0"/>
    <n v="6"/>
    <n v="58510.01"/>
    <n v="0.05"/>
    <n v="333507.06"/>
    <n v="314187.48"/>
    <n v="19319.580000000002"/>
    <x v="0"/>
    <n v="5.7928548798936982E-2"/>
    <x v="0"/>
    <x v="0"/>
    <x v="0"/>
    <s v="Q1"/>
  </r>
  <r>
    <s v="ORD100137"/>
    <x v="0"/>
    <s v="CUST1486"/>
    <s v="Nikhil Rao"/>
    <x v="0"/>
    <s v="Maharashtra"/>
    <s v="Mumbai"/>
    <x v="0"/>
    <s v="Computers"/>
    <x v="0"/>
    <n v="2"/>
    <n v="55705.71"/>
    <n v="0.15"/>
    <n v="94699.71"/>
    <n v="99236.26"/>
    <n v="-4536.55"/>
    <x v="0"/>
    <n v="-4.7904581756374957E-2"/>
    <x v="0"/>
    <x v="0"/>
    <x v="0"/>
    <s v="Q1"/>
  </r>
  <r>
    <s v="ORD100407"/>
    <x v="0"/>
    <s v="CUST1130"/>
    <s v="Varun Sharma"/>
    <x v="1"/>
    <s v="Delhi"/>
    <s v="Delhi"/>
    <x v="1"/>
    <s v="Stationery"/>
    <x v="1"/>
    <n v="1"/>
    <n v="257.43"/>
    <n v="0.2"/>
    <n v="205.94"/>
    <n v="101.25"/>
    <n v="104.69"/>
    <x v="1"/>
    <n v="0.50835194716907839"/>
    <x v="0"/>
    <x v="0"/>
    <x v="0"/>
    <s v="Q1"/>
  </r>
  <r>
    <s v="ORD102108"/>
    <x v="0"/>
    <s v="CUST1272"/>
    <s v="Nikhil Verma"/>
    <x v="1"/>
    <s v="Delhi"/>
    <s v="New Delhi"/>
    <x v="1"/>
    <s v="Storage"/>
    <x v="2"/>
    <n v="3"/>
    <n v="740.34"/>
    <n v="0.05"/>
    <n v="2109.9699999999998"/>
    <n v="1041.24"/>
    <n v="1068.73"/>
    <x v="2"/>
    <n v="0.50651431063000907"/>
    <x v="0"/>
    <x v="0"/>
    <x v="0"/>
    <s v="Q1"/>
  </r>
  <r>
    <s v="ORD102245"/>
    <x v="1"/>
    <s v="CUST1489"/>
    <s v="Neha Gupta"/>
    <x v="1"/>
    <s v="Delhi"/>
    <s v="New Delhi"/>
    <x v="0"/>
    <s v="Computers"/>
    <x v="3"/>
    <n v="2"/>
    <n v="15178.93"/>
    <n v="0.1"/>
    <n v="27322.07"/>
    <n v="22538.16"/>
    <n v="4783.91"/>
    <x v="1"/>
    <n v="0.17509324879117871"/>
    <x v="0"/>
    <x v="0"/>
    <x v="0"/>
    <s v="Q1"/>
  </r>
  <r>
    <s v="ORD102358"/>
    <x v="1"/>
    <s v="CUST1572"/>
    <s v="Rahul Reddy"/>
    <x v="2"/>
    <s v="Karnataka"/>
    <s v="Mangaluru"/>
    <x v="2"/>
    <s v="Living Room"/>
    <x v="4"/>
    <n v="2"/>
    <n v="4786.3900000000003"/>
    <n v="0.05"/>
    <n v="9094.14"/>
    <n v="5761.21"/>
    <n v="3332.93"/>
    <x v="3"/>
    <n v="0.36649204872588281"/>
    <x v="0"/>
    <x v="0"/>
    <x v="0"/>
    <s v="Q1"/>
  </r>
  <r>
    <s v="ORD102060"/>
    <x v="1"/>
    <s v="CUST1157"/>
    <s v="Ishaan Mehta"/>
    <x v="2"/>
    <s v="Tamil Nadu"/>
    <s v="Chennai"/>
    <x v="0"/>
    <s v="Accessories"/>
    <x v="5"/>
    <n v="3"/>
    <n v="2542.88"/>
    <n v="0.05"/>
    <n v="7247.21"/>
    <n v="4245.67"/>
    <n v="3001.54"/>
    <x v="0"/>
    <n v="0.41416489931987621"/>
    <x v="0"/>
    <x v="0"/>
    <x v="0"/>
    <s v="Q1"/>
  </r>
  <r>
    <s v="ORD101758"/>
    <x v="1"/>
    <s v="CUST1368"/>
    <s v="Diya Nair"/>
    <x v="2"/>
    <s v="Telangana"/>
    <s v="Nizamabad"/>
    <x v="0"/>
    <s v="Accessories"/>
    <x v="6"/>
    <n v="2"/>
    <n v="825.81"/>
    <n v="0"/>
    <n v="1651.62"/>
    <n v="1000.37"/>
    <n v="651.25"/>
    <x v="1"/>
    <n v="0.39430982913745288"/>
    <x v="0"/>
    <x v="0"/>
    <x v="0"/>
    <s v="Q1"/>
  </r>
  <r>
    <s v="ORD100416"/>
    <x v="1"/>
    <s v="CUST1107"/>
    <s v="Aditya Das"/>
    <x v="2"/>
    <s v="Telangana"/>
    <s v="Warangal"/>
    <x v="3"/>
    <s v="Kitchen"/>
    <x v="7"/>
    <n v="2"/>
    <n v="1694.62"/>
    <n v="0"/>
    <n v="3389.24"/>
    <n v="1826.31"/>
    <n v="1562.93"/>
    <x v="1"/>
    <n v="0.46114468140350051"/>
    <x v="0"/>
    <x v="0"/>
    <x v="0"/>
    <s v="Q1"/>
  </r>
  <r>
    <s v="ORD100188"/>
    <x v="1"/>
    <s v="CUST1443"/>
    <s v="Meera Kumar"/>
    <x v="2"/>
    <s v="Karnataka"/>
    <s v="Bengaluru"/>
    <x v="0"/>
    <s v="Audio"/>
    <x v="8"/>
    <n v="1"/>
    <n v="2964.05"/>
    <n v="0.2"/>
    <n v="2371.2399999999998"/>
    <n v="1582.5"/>
    <n v="788.74"/>
    <x v="0"/>
    <n v="0.33262765472917127"/>
    <x v="0"/>
    <x v="0"/>
    <x v="0"/>
    <s v="Q1"/>
  </r>
  <r>
    <s v="ORD100988"/>
    <x v="1"/>
    <s v="CUST1352"/>
    <s v="Meera Naidu"/>
    <x v="2"/>
    <s v="Tamil Nadu"/>
    <s v="Chennai"/>
    <x v="1"/>
    <s v="Storage"/>
    <x v="9"/>
    <n v="2"/>
    <n v="511.06"/>
    <n v="0.05"/>
    <n v="971.01"/>
    <n v="443.8"/>
    <n v="527.21"/>
    <x v="1"/>
    <n v="0.54295012409758914"/>
    <x v="0"/>
    <x v="0"/>
    <x v="0"/>
    <s v="Q1"/>
  </r>
  <r>
    <s v="ORD100425"/>
    <x v="1"/>
    <s v="CUST1232"/>
    <s v="Meera Rao"/>
    <x v="2"/>
    <s v="Tamil Nadu"/>
    <s v="Salem"/>
    <x v="1"/>
    <s v="Storage"/>
    <x v="2"/>
    <n v="1"/>
    <n v="673.75"/>
    <n v="0.05"/>
    <n v="640.05999999999995"/>
    <n v="309.72000000000003"/>
    <n v="330.34"/>
    <x v="1"/>
    <n v="0.5161078648876668"/>
    <x v="0"/>
    <x v="0"/>
    <x v="0"/>
    <s v="Q1"/>
  </r>
  <r>
    <s v="ORD101349"/>
    <x v="2"/>
    <s v="CUST1444"/>
    <s v="Sanjana Sharma"/>
    <x v="2"/>
    <s v="Telangana"/>
    <s v="Karimnagar"/>
    <x v="1"/>
    <s v="Storage"/>
    <x v="9"/>
    <n v="2"/>
    <n v="508.15"/>
    <n v="0.05"/>
    <n v="965.48"/>
    <n v="449.64"/>
    <n v="515.84"/>
    <x v="2"/>
    <n v="0.53428346521937276"/>
    <x v="0"/>
    <x v="0"/>
    <x v="0"/>
    <s v="Q1"/>
  </r>
  <r>
    <s v="ORD102221"/>
    <x v="2"/>
    <s v="CUST1076"/>
    <s v="Arjun Patel"/>
    <x v="1"/>
    <s v="Delhi"/>
    <s v="New Delhi"/>
    <x v="2"/>
    <s v="Office"/>
    <x v="10"/>
    <n v="3"/>
    <n v="6644.72"/>
    <n v="0.1"/>
    <n v="17940.740000000002"/>
    <n v="12802.34"/>
    <n v="5138.3999999999996"/>
    <x v="2"/>
    <n v="0.28640959068577992"/>
    <x v="0"/>
    <x v="0"/>
    <x v="0"/>
    <s v="Q1"/>
  </r>
  <r>
    <s v="ORD100823"/>
    <x v="2"/>
    <s v="CUST1164"/>
    <s v="Vikram Mehta"/>
    <x v="1"/>
    <s v="Delhi"/>
    <s v="New Delhi"/>
    <x v="0"/>
    <s v="Accessories"/>
    <x v="5"/>
    <n v="1"/>
    <n v="2426.3200000000002"/>
    <n v="0"/>
    <n v="2426.3200000000002"/>
    <n v="1377.92"/>
    <n v="1048.4000000000001"/>
    <x v="4"/>
    <n v="0.43209469484651652"/>
    <x v="0"/>
    <x v="0"/>
    <x v="0"/>
    <s v="Q1"/>
  </r>
  <r>
    <s v="ORD102205"/>
    <x v="2"/>
    <s v="CUST1456"/>
    <s v="Pooja Naidu"/>
    <x v="1"/>
    <s v="Delhi"/>
    <s v="Delhi"/>
    <x v="2"/>
    <s v="Living Room"/>
    <x v="4"/>
    <n v="1"/>
    <n v="4892.07"/>
    <n v="0.1"/>
    <n v="4402.8599999999997"/>
    <n v="2879.38"/>
    <n v="1523.48"/>
    <x v="2"/>
    <n v="0.3460205411936787"/>
    <x v="0"/>
    <x v="0"/>
    <x v="0"/>
    <s v="Q1"/>
  </r>
  <r>
    <s v="ORD100191"/>
    <x v="2"/>
    <s v="CUST1584"/>
    <s v="Vikram Das"/>
    <x v="3"/>
    <s v="West Bengal"/>
    <s v="Kolkata"/>
    <x v="1"/>
    <s v="Storage"/>
    <x v="9"/>
    <n v="3"/>
    <n v="471.37"/>
    <n v="0.2"/>
    <n v="1131.29"/>
    <n v="621.48"/>
    <n v="509.81"/>
    <x v="0"/>
    <n v="0.45064483907751329"/>
    <x v="0"/>
    <x v="0"/>
    <x v="0"/>
    <s v="Q1"/>
  </r>
  <r>
    <s v="ORD102030"/>
    <x v="3"/>
    <s v="CUST1647"/>
    <s v="Kiran Patel"/>
    <x v="2"/>
    <s v="Karnataka"/>
    <s v="Bengaluru"/>
    <x v="0"/>
    <s v="Audio"/>
    <x v="11"/>
    <n v="2"/>
    <n v="2031.21"/>
    <n v="0.15"/>
    <n v="3453.06"/>
    <n v="2425.5500000000002"/>
    <n v="1027.51"/>
    <x v="1"/>
    <n v="0.29756505823820029"/>
    <x v="0"/>
    <x v="0"/>
    <x v="0"/>
    <s v="Q1"/>
  </r>
  <r>
    <s v="ORD100845"/>
    <x v="3"/>
    <s v="CUST1291"/>
    <s v="Kavya Joshi"/>
    <x v="3"/>
    <s v="West Bengal"/>
    <s v="Durgapur"/>
    <x v="0"/>
    <s v="Audio"/>
    <x v="11"/>
    <n v="1"/>
    <n v="2100.31"/>
    <n v="0.2"/>
    <n v="1680.25"/>
    <n v="1201.1300000000001"/>
    <n v="479.12"/>
    <x v="1"/>
    <n v="0.28514804344591582"/>
    <x v="0"/>
    <x v="0"/>
    <x v="0"/>
    <s v="Q1"/>
  </r>
  <r>
    <s v="ORD100050"/>
    <x v="3"/>
    <s v="CUST1004"/>
    <s v="Diya Sharma"/>
    <x v="2"/>
    <s v="Karnataka"/>
    <s v="Hubballi"/>
    <x v="1"/>
    <s v="Storage"/>
    <x v="2"/>
    <n v="1"/>
    <n v="712.11"/>
    <n v="0.15"/>
    <n v="605.29"/>
    <n v="322.27"/>
    <n v="283.02"/>
    <x v="2"/>
    <n v="0.46757752482281217"/>
    <x v="0"/>
    <x v="0"/>
    <x v="0"/>
    <s v="Q1"/>
  </r>
  <r>
    <s v="ORD101894"/>
    <x v="3"/>
    <s v="CUST1256"/>
    <s v="Vikram Reddy"/>
    <x v="2"/>
    <s v="Karnataka"/>
    <s v="Hubballi"/>
    <x v="3"/>
    <s v="Cleaning"/>
    <x v="12"/>
    <n v="1"/>
    <n v="13700"/>
    <n v="0"/>
    <n v="13700"/>
    <n v="9710.92"/>
    <n v="3989.08"/>
    <x v="2"/>
    <n v="0.29117372262773722"/>
    <x v="0"/>
    <x v="0"/>
    <x v="0"/>
    <s v="Q1"/>
  </r>
  <r>
    <s v="ORD100889"/>
    <x v="4"/>
    <s v="CUST1414"/>
    <s v="Meera Nair"/>
    <x v="2"/>
    <s v="Karnataka"/>
    <s v="Bengaluru"/>
    <x v="1"/>
    <s v="Storage"/>
    <x v="9"/>
    <n v="5"/>
    <n v="486.92"/>
    <n v="0.1"/>
    <n v="2191.14"/>
    <n v="1071.1300000000001"/>
    <n v="1120.01"/>
    <x v="0"/>
    <n v="0.51115401115401116"/>
    <x v="0"/>
    <x v="0"/>
    <x v="0"/>
    <s v="Q1"/>
  </r>
  <r>
    <s v="ORD101186"/>
    <x v="5"/>
    <s v="CUST1467"/>
    <s v="Aditya Das"/>
    <x v="3"/>
    <s v="West Bengal"/>
    <s v="Durgapur"/>
    <x v="3"/>
    <s v="Kitchen"/>
    <x v="13"/>
    <n v="1"/>
    <n v="3321.58"/>
    <n v="0.1"/>
    <n v="2989.42"/>
    <n v="1844.08"/>
    <n v="1145.3399999999999"/>
    <x v="2"/>
    <n v="0.38313117594717372"/>
    <x v="0"/>
    <x v="0"/>
    <x v="0"/>
    <s v="Q1"/>
  </r>
  <r>
    <s v="ORD102489"/>
    <x v="5"/>
    <s v="CUST1344"/>
    <s v="Vikram Iyer"/>
    <x v="1"/>
    <s v="Delhi"/>
    <s v="Delhi"/>
    <x v="0"/>
    <s v="Accessories"/>
    <x v="6"/>
    <n v="2"/>
    <n v="833.37"/>
    <n v="0.2"/>
    <n v="1333.39"/>
    <n v="1011.26"/>
    <n v="322.13"/>
    <x v="0"/>
    <n v="0.24158723254261691"/>
    <x v="0"/>
    <x v="0"/>
    <x v="0"/>
    <s v="Q1"/>
  </r>
  <r>
    <s v="ORD100144"/>
    <x v="5"/>
    <s v="CUST1138"/>
    <s v="Neha Nair"/>
    <x v="2"/>
    <s v="Karnataka"/>
    <s v="Bengaluru"/>
    <x v="0"/>
    <s v="Computers"/>
    <x v="3"/>
    <n v="3"/>
    <n v="15165.92"/>
    <n v="0.1"/>
    <n v="40947.980000000003"/>
    <n v="32761.3"/>
    <n v="8186.68"/>
    <x v="1"/>
    <n v="0.1999287876959987"/>
    <x v="0"/>
    <x v="0"/>
    <x v="0"/>
    <s v="Q1"/>
  </r>
  <r>
    <s v="ORD100585"/>
    <x v="5"/>
    <s v="CUST1373"/>
    <s v="Aditya Joshi"/>
    <x v="2"/>
    <s v="Karnataka"/>
    <s v="Bengaluru"/>
    <x v="2"/>
    <s v="Office"/>
    <x v="14"/>
    <n v="2"/>
    <n v="8020.84"/>
    <n v="0.05"/>
    <n v="15239.6"/>
    <n v="11014.14"/>
    <n v="4225.46"/>
    <x v="0"/>
    <n v="0.27726843224231612"/>
    <x v="0"/>
    <x v="0"/>
    <x v="0"/>
    <s v="Q1"/>
  </r>
  <r>
    <s v="ORD100951"/>
    <x v="5"/>
    <s v="CUST1451"/>
    <s v="Aditya Singh"/>
    <x v="2"/>
    <s v="Telangana"/>
    <s v="Warangal"/>
    <x v="1"/>
    <s v="Storage"/>
    <x v="2"/>
    <n v="1"/>
    <n v="740.02"/>
    <n v="0.2"/>
    <n v="592.02"/>
    <n v="339.75"/>
    <n v="252.27"/>
    <x v="2"/>
    <n v="0.4261173608999696"/>
    <x v="0"/>
    <x v="0"/>
    <x v="0"/>
    <s v="Q1"/>
  </r>
  <r>
    <s v="ORD102191"/>
    <x v="5"/>
    <s v="CUST1339"/>
    <s v="Nikhil Patel"/>
    <x v="1"/>
    <s v="Delhi"/>
    <s v="New Delhi"/>
    <x v="2"/>
    <s v="Office"/>
    <x v="14"/>
    <n v="3"/>
    <n v="8817.08"/>
    <n v="0.1"/>
    <n v="23806.12"/>
    <n v="17536.46"/>
    <n v="6269.66"/>
    <x v="2"/>
    <n v="0.26336337042743629"/>
    <x v="0"/>
    <x v="0"/>
    <x v="0"/>
    <s v="Q1"/>
  </r>
  <r>
    <s v="ORD101603"/>
    <x v="5"/>
    <s v="CUST1169"/>
    <s v="Aisha Malhotra"/>
    <x v="2"/>
    <s v="Tamil Nadu"/>
    <s v="Salem"/>
    <x v="2"/>
    <s v="Living Room"/>
    <x v="4"/>
    <n v="3"/>
    <n v="5030.5200000000004"/>
    <n v="0.1"/>
    <n v="13582.4"/>
    <n v="9416.35"/>
    <n v="4166.05"/>
    <x v="1"/>
    <n v="0.3067241430085994"/>
    <x v="0"/>
    <x v="0"/>
    <x v="0"/>
    <s v="Q1"/>
  </r>
  <r>
    <s v="ORD101538"/>
    <x v="5"/>
    <s v="CUST1430"/>
    <s v="Sanjana Kumar"/>
    <x v="3"/>
    <s v="West Bengal"/>
    <s v="Kolkata"/>
    <x v="0"/>
    <s v="Accessories"/>
    <x v="6"/>
    <n v="4"/>
    <n v="756.69"/>
    <n v="0.15"/>
    <n v="2572.75"/>
    <n v="1895.41"/>
    <n v="677.34"/>
    <x v="2"/>
    <n v="0.26327470605383352"/>
    <x v="0"/>
    <x v="0"/>
    <x v="0"/>
    <s v="Q1"/>
  </r>
  <r>
    <s v="ORD100948"/>
    <x v="6"/>
    <s v="CUST1383"/>
    <s v="Aarav Naidu"/>
    <x v="0"/>
    <s v="Maharashtra"/>
    <s v="Nashik"/>
    <x v="2"/>
    <s v="Office"/>
    <x v="10"/>
    <n v="3"/>
    <n v="7169.54"/>
    <n v="0.15"/>
    <n v="18282.330000000002"/>
    <n v="14245.58"/>
    <n v="4036.75"/>
    <x v="0"/>
    <n v="0.22080063099178279"/>
    <x v="0"/>
    <x v="0"/>
    <x v="0"/>
    <s v="Q1"/>
  </r>
  <r>
    <s v="ORD100104"/>
    <x v="6"/>
    <s v="CUST1392"/>
    <s v="Neha Malhotra"/>
    <x v="1"/>
    <s v="Delhi"/>
    <s v="Delhi"/>
    <x v="2"/>
    <s v="Office"/>
    <x v="10"/>
    <n v="2"/>
    <n v="7067.02"/>
    <n v="0.1"/>
    <n v="12720.64"/>
    <n v="8980.0300000000007"/>
    <n v="3740.61"/>
    <x v="2"/>
    <n v="0.29405831782048703"/>
    <x v="0"/>
    <x v="0"/>
    <x v="0"/>
    <s v="Q1"/>
  </r>
  <r>
    <s v="ORD102433"/>
    <x v="6"/>
    <s v="CUST1299"/>
    <s v="Neha Nair"/>
    <x v="0"/>
    <s v="Maharashtra"/>
    <s v="Nashik"/>
    <x v="3"/>
    <s v="Kitchen"/>
    <x v="7"/>
    <n v="2"/>
    <n v="1888.41"/>
    <n v="0.1"/>
    <n v="3399.14"/>
    <n v="2063"/>
    <n v="1336.14"/>
    <x v="2"/>
    <n v="0.39308177950893458"/>
    <x v="0"/>
    <x v="0"/>
    <x v="0"/>
    <s v="Q1"/>
  </r>
  <r>
    <s v="ORD102029"/>
    <x v="6"/>
    <s v="CUST1608"/>
    <s v="Nikhil Mehta"/>
    <x v="0"/>
    <s v="Maharashtra"/>
    <s v="Pune"/>
    <x v="0"/>
    <s v="Accessories"/>
    <x v="5"/>
    <n v="1"/>
    <n v="2382.7399999999998"/>
    <n v="0.1"/>
    <n v="2144.4699999999998"/>
    <n v="1326.8"/>
    <n v="817.67"/>
    <x v="0"/>
    <n v="0.38129234729327061"/>
    <x v="0"/>
    <x v="0"/>
    <x v="0"/>
    <s v="Q1"/>
  </r>
  <r>
    <s v="ORD100972"/>
    <x v="6"/>
    <s v="CUST1369"/>
    <s v="Vikram Rao"/>
    <x v="1"/>
    <s v="Delhi"/>
    <s v="New Delhi"/>
    <x v="1"/>
    <s v="Storage"/>
    <x v="9"/>
    <n v="1"/>
    <n v="484"/>
    <n v="0.15"/>
    <n v="411.4"/>
    <n v="222.32"/>
    <n v="189.08"/>
    <x v="0"/>
    <n v="0.45960136120563932"/>
    <x v="0"/>
    <x v="0"/>
    <x v="0"/>
    <s v="Q1"/>
  </r>
  <r>
    <s v="ORD100388"/>
    <x v="6"/>
    <s v="CUST1629"/>
    <s v="Priya Mehta"/>
    <x v="2"/>
    <s v="Telangana"/>
    <s v="Warangal"/>
    <x v="2"/>
    <s v="Office"/>
    <x v="14"/>
    <n v="3"/>
    <n v="8490.4"/>
    <n v="0.1"/>
    <n v="22924.080000000002"/>
    <n v="17302.38"/>
    <n v="5621.7"/>
    <x v="2"/>
    <n v="0.2452312153857428"/>
    <x v="0"/>
    <x v="0"/>
    <x v="0"/>
    <s v="Q1"/>
  </r>
  <r>
    <s v="ORD101106"/>
    <x v="7"/>
    <s v="CUST1510"/>
    <s v="Aisha Das"/>
    <x v="3"/>
    <s v="West Bengal"/>
    <s v="Kolkata"/>
    <x v="0"/>
    <s v="Audio"/>
    <x v="8"/>
    <n v="3"/>
    <n v="3022.4"/>
    <n v="0.1"/>
    <n v="8160.48"/>
    <n v="4851.99"/>
    <n v="3308.49"/>
    <x v="1"/>
    <n v="0.40542835715546138"/>
    <x v="0"/>
    <x v="0"/>
    <x v="0"/>
    <s v="Q1"/>
  </r>
  <r>
    <s v="ORD100765"/>
    <x v="7"/>
    <s v="CUST1438"/>
    <s v="Varun Reddy"/>
    <x v="2"/>
    <s v="Karnataka"/>
    <s v="Hubballi"/>
    <x v="0"/>
    <s v="Accessories"/>
    <x v="5"/>
    <n v="2"/>
    <n v="2461.2399999999998"/>
    <n v="0.1"/>
    <n v="4430.2299999999996"/>
    <n v="2726.07"/>
    <n v="1704.16"/>
    <x v="2"/>
    <n v="0.38466625886240668"/>
    <x v="0"/>
    <x v="0"/>
    <x v="0"/>
    <s v="Q1"/>
  </r>
  <r>
    <s v="ORD101352"/>
    <x v="7"/>
    <s v="CUST1479"/>
    <s v="Sanjana Reddy"/>
    <x v="2"/>
    <s v="Telangana"/>
    <s v="Nizamabad"/>
    <x v="0"/>
    <s v="Computers"/>
    <x v="3"/>
    <n v="2"/>
    <n v="16710.54"/>
    <n v="0.2"/>
    <n v="26736.86"/>
    <n v="24530.79"/>
    <n v="2206.0700000000002"/>
    <x v="0"/>
    <n v="8.2510436902463499E-2"/>
    <x v="0"/>
    <x v="0"/>
    <x v="0"/>
    <s v="Q1"/>
  </r>
  <r>
    <s v="ORD100980"/>
    <x v="8"/>
    <s v="CUST1370"/>
    <s v="Meera Joshi"/>
    <x v="2"/>
    <s v="Telangana"/>
    <s v="Karimnagar"/>
    <x v="0"/>
    <s v="Accessories"/>
    <x v="5"/>
    <n v="5"/>
    <n v="2413.29"/>
    <n v="0.15"/>
    <n v="10256.48"/>
    <n v="6742.4"/>
    <n v="3514.08"/>
    <x v="2"/>
    <n v="0.34262047018080283"/>
    <x v="0"/>
    <x v="0"/>
    <x v="0"/>
    <s v="Q1"/>
  </r>
  <r>
    <s v="ORD101567"/>
    <x v="8"/>
    <s v="CUST1622"/>
    <s v="Rahul Gupta"/>
    <x v="2"/>
    <s v="Tamil Nadu"/>
    <s v="Madurai"/>
    <x v="2"/>
    <s v="Living Room"/>
    <x v="4"/>
    <n v="4"/>
    <n v="4876.92"/>
    <n v="0"/>
    <n v="19507.68"/>
    <n v="11730.32"/>
    <n v="7777.36"/>
    <x v="0"/>
    <n v="0.39868195500438802"/>
    <x v="0"/>
    <x v="0"/>
    <x v="0"/>
    <s v="Q1"/>
  </r>
  <r>
    <s v="ORD101900"/>
    <x v="9"/>
    <s v="CUST1130"/>
    <s v="Aditya Patel"/>
    <x v="0"/>
    <s v="Maharashtra"/>
    <s v="Nashik"/>
    <x v="0"/>
    <s v="Audio"/>
    <x v="8"/>
    <n v="6"/>
    <n v="2897.47"/>
    <n v="0.1"/>
    <n v="15646.34"/>
    <n v="8744.5"/>
    <n v="6901.84"/>
    <x v="0"/>
    <n v="0.44111530236464253"/>
    <x v="0"/>
    <x v="0"/>
    <x v="0"/>
    <s v="Q1"/>
  </r>
  <r>
    <s v="ORD101949"/>
    <x v="9"/>
    <s v="CUST1221"/>
    <s v="Aisha Naidu"/>
    <x v="1"/>
    <s v="Delhi"/>
    <s v="New Delhi"/>
    <x v="1"/>
    <s v="Stationery"/>
    <x v="1"/>
    <n v="3"/>
    <n v="236.04"/>
    <n v="0.05"/>
    <n v="672.71"/>
    <n v="269.27999999999997"/>
    <n v="403.43"/>
    <x v="0"/>
    <n v="0.59970864116781375"/>
    <x v="0"/>
    <x v="0"/>
    <x v="0"/>
    <s v="Q1"/>
  </r>
  <r>
    <s v="ORD102376"/>
    <x v="9"/>
    <s v="CUST1379"/>
    <s v="Sneha Verma"/>
    <x v="2"/>
    <s v="Telangana"/>
    <s v="Karimnagar"/>
    <x v="1"/>
    <s v="Storage"/>
    <x v="9"/>
    <n v="2"/>
    <n v="510.01"/>
    <n v="0.05"/>
    <n v="969.02"/>
    <n v="464.92"/>
    <n v="504.1"/>
    <x v="1"/>
    <n v="0.52021630100513927"/>
    <x v="0"/>
    <x v="0"/>
    <x v="0"/>
    <s v="Q1"/>
  </r>
  <r>
    <s v="ORD102344"/>
    <x v="9"/>
    <s v="CUST1568"/>
    <s v="Nikhil Joshi"/>
    <x v="2"/>
    <s v="Karnataka"/>
    <s v="Bengaluru"/>
    <x v="0"/>
    <s v="Accessories"/>
    <x v="6"/>
    <n v="5"/>
    <n v="841.05"/>
    <n v="0"/>
    <n v="4205.25"/>
    <n v="2518.34"/>
    <n v="1686.91"/>
    <x v="2"/>
    <n v="0.40114380833481961"/>
    <x v="0"/>
    <x v="0"/>
    <x v="0"/>
    <s v="Q1"/>
  </r>
  <r>
    <s v="ORD100882"/>
    <x v="10"/>
    <s v="CUST1585"/>
    <s v="Meera Mehta"/>
    <x v="2"/>
    <s v="Telangana"/>
    <s v="Hyderabad"/>
    <x v="0"/>
    <s v="Accessories"/>
    <x v="6"/>
    <n v="5"/>
    <n v="824.14"/>
    <n v="0.2"/>
    <n v="3296.56"/>
    <n v="2474.7399999999998"/>
    <n v="821.82"/>
    <x v="0"/>
    <n v="0.24929623607639481"/>
    <x v="0"/>
    <x v="0"/>
    <x v="0"/>
    <s v="Q1"/>
  </r>
  <r>
    <s v="ORD100420"/>
    <x v="10"/>
    <s v="CUST1314"/>
    <s v="Neha Joshi"/>
    <x v="1"/>
    <s v="Delhi"/>
    <s v="New Delhi"/>
    <x v="3"/>
    <s v="Cleaning"/>
    <x v="15"/>
    <n v="1"/>
    <n v="7779.93"/>
    <n v="0.2"/>
    <n v="6223.94"/>
    <n v="5202.8900000000003"/>
    <n v="1021.05"/>
    <x v="0"/>
    <n v="0.16405203134991661"/>
    <x v="0"/>
    <x v="0"/>
    <x v="0"/>
    <s v="Q1"/>
  </r>
  <r>
    <s v="ORD101764"/>
    <x v="10"/>
    <s v="CUST1096"/>
    <s v="Vikram Kumar"/>
    <x v="3"/>
    <s v="West Bengal"/>
    <s v="Siliguri"/>
    <x v="3"/>
    <s v="Kitchen"/>
    <x v="7"/>
    <n v="2"/>
    <n v="1874.13"/>
    <n v="0.1"/>
    <n v="3373.43"/>
    <n v="2090.5100000000002"/>
    <n v="1282.92"/>
    <x v="0"/>
    <n v="0.38030135500069667"/>
    <x v="0"/>
    <x v="0"/>
    <x v="0"/>
    <s v="Q1"/>
  </r>
  <r>
    <s v="ORD100832"/>
    <x v="10"/>
    <s v="CUST1461"/>
    <s v="Arjun Iyer"/>
    <x v="2"/>
    <s v="Karnataka"/>
    <s v="Mysuru"/>
    <x v="2"/>
    <s v="Office"/>
    <x v="14"/>
    <n v="4"/>
    <n v="8955.2800000000007"/>
    <n v="0.1"/>
    <n v="32239.01"/>
    <n v="24216.14"/>
    <n v="8022.87"/>
    <x v="0"/>
    <n v="0.24885596673098831"/>
    <x v="0"/>
    <x v="0"/>
    <x v="0"/>
    <s v="Q1"/>
  </r>
  <r>
    <s v="ORD101450"/>
    <x v="10"/>
    <s v="CUST1068"/>
    <s v="Pooja Rao"/>
    <x v="2"/>
    <s v="Tamil Nadu"/>
    <s v="Salem"/>
    <x v="2"/>
    <s v="Living Room"/>
    <x v="16"/>
    <n v="2"/>
    <n v="3981.2"/>
    <n v="0.15"/>
    <n v="6768.04"/>
    <n v="4981.96"/>
    <n v="1786.08"/>
    <x v="2"/>
    <n v="0.26389914953221322"/>
    <x v="0"/>
    <x v="0"/>
    <x v="0"/>
    <s v="Q1"/>
  </r>
  <r>
    <s v="ORD101805"/>
    <x v="10"/>
    <s v="CUST1038"/>
    <s v="Ishaan Reddy"/>
    <x v="2"/>
    <s v="Telangana"/>
    <s v="Hyderabad"/>
    <x v="3"/>
    <s v="Cleaning"/>
    <x v="12"/>
    <n v="3"/>
    <n v="13622.38"/>
    <n v="0.05"/>
    <n v="38823.78"/>
    <n v="29597.08"/>
    <n v="9226.7000000000007"/>
    <x v="2"/>
    <n v="0.23765589028167791"/>
    <x v="0"/>
    <x v="0"/>
    <x v="0"/>
    <s v="Q1"/>
  </r>
  <r>
    <s v="ORD102208"/>
    <x v="11"/>
    <s v="CUST1343"/>
    <s v="Rohan Patel"/>
    <x v="2"/>
    <s v="Karnataka"/>
    <s v="Bengaluru"/>
    <x v="2"/>
    <s v="Living Room"/>
    <x v="16"/>
    <n v="1"/>
    <n v="3903.21"/>
    <n v="0.1"/>
    <n v="3512.89"/>
    <n v="2444.63"/>
    <n v="1068.26"/>
    <x v="4"/>
    <n v="0.30409719632553261"/>
    <x v="0"/>
    <x v="0"/>
    <x v="0"/>
    <s v="Q1"/>
  </r>
  <r>
    <s v="ORD100795"/>
    <x v="11"/>
    <s v="CUST1548"/>
    <s v="Arjun Rao"/>
    <x v="2"/>
    <s v="Telangana"/>
    <s v="Nizamabad"/>
    <x v="0"/>
    <s v="Audio"/>
    <x v="8"/>
    <n v="1"/>
    <n v="3146.54"/>
    <n v="0.15"/>
    <n v="2674.56"/>
    <n v="1628.13"/>
    <n v="1046.43"/>
    <x v="4"/>
    <n v="0.39125314070351758"/>
    <x v="0"/>
    <x v="0"/>
    <x v="0"/>
    <s v="Q1"/>
  </r>
  <r>
    <s v="ORD101539"/>
    <x v="11"/>
    <s v="CUST1599"/>
    <s v="Aisha Nair"/>
    <x v="3"/>
    <s v="West Bengal"/>
    <s v="Kolkata"/>
    <x v="0"/>
    <s v="Computers"/>
    <x v="0"/>
    <n v="4"/>
    <n v="60993.4"/>
    <n v="0.1"/>
    <n v="219576.24"/>
    <n v="218525.12"/>
    <n v="1051.1199999999999"/>
    <x v="2"/>
    <n v="4.7870388890892748E-3"/>
    <x v="0"/>
    <x v="0"/>
    <x v="0"/>
    <s v="Q1"/>
  </r>
  <r>
    <s v="ORD100866"/>
    <x v="11"/>
    <s v="CUST1180"/>
    <s v="Rahul Iyer"/>
    <x v="2"/>
    <s v="Telangana"/>
    <s v="Nizamabad"/>
    <x v="1"/>
    <s v="Stationery"/>
    <x v="17"/>
    <n v="2"/>
    <n v="306.48"/>
    <n v="0.05"/>
    <n v="582.30999999999995"/>
    <n v="250.05"/>
    <n v="332.26"/>
    <x v="2"/>
    <n v="0.57058954852226484"/>
    <x v="0"/>
    <x v="0"/>
    <x v="0"/>
    <s v="Q1"/>
  </r>
  <r>
    <s v="ORD102068"/>
    <x v="12"/>
    <s v="CUST1345"/>
    <s v="Nikhil Joshi"/>
    <x v="2"/>
    <s v="Telangana"/>
    <s v="Karimnagar"/>
    <x v="2"/>
    <s v="Living Room"/>
    <x v="4"/>
    <n v="1"/>
    <n v="5176.16"/>
    <n v="0.1"/>
    <n v="4658.54"/>
    <n v="3179.89"/>
    <n v="1478.65"/>
    <x v="0"/>
    <n v="0.31740631184877671"/>
    <x v="0"/>
    <x v="0"/>
    <x v="0"/>
    <s v="Q1"/>
  </r>
  <r>
    <s v="ORD100755"/>
    <x v="12"/>
    <s v="CUST1606"/>
    <s v="Diya Reddy"/>
    <x v="2"/>
    <s v="Telangana"/>
    <s v="Hyderabad"/>
    <x v="2"/>
    <s v="Office"/>
    <x v="10"/>
    <n v="3"/>
    <n v="7374.25"/>
    <n v="0.05"/>
    <n v="21016.61"/>
    <n v="14197.4"/>
    <n v="6819.21"/>
    <x v="0"/>
    <n v="0.32446764725614652"/>
    <x v="0"/>
    <x v="0"/>
    <x v="0"/>
    <s v="Q1"/>
  </r>
  <r>
    <s v="ORD100511"/>
    <x v="12"/>
    <s v="CUST1012"/>
    <s v="Ananya Das"/>
    <x v="1"/>
    <s v="Delhi"/>
    <s v="New Delhi"/>
    <x v="0"/>
    <s v="Computers"/>
    <x v="0"/>
    <n v="1"/>
    <n v="61205.07"/>
    <n v="0.1"/>
    <n v="55084.56"/>
    <n v="52255.1"/>
    <n v="2829.46"/>
    <x v="0"/>
    <n v="5.1365754759591438E-2"/>
    <x v="0"/>
    <x v="0"/>
    <x v="0"/>
    <s v="Q1"/>
  </r>
  <r>
    <s v="ORD100534"/>
    <x v="13"/>
    <s v="CUST1434"/>
    <s v="Rohan Joshi"/>
    <x v="0"/>
    <s v="Maharashtra"/>
    <s v="Nagpur"/>
    <x v="0"/>
    <s v="Computers"/>
    <x v="3"/>
    <n v="3"/>
    <n v="16005.06"/>
    <n v="0.1"/>
    <n v="43213.66"/>
    <n v="34830.370000000003"/>
    <n v="8383.2900000000009"/>
    <x v="0"/>
    <n v="0.1939962965414177"/>
    <x v="0"/>
    <x v="0"/>
    <x v="0"/>
    <s v="Q1"/>
  </r>
  <r>
    <s v="ORD101904"/>
    <x v="13"/>
    <s v="CUST1481"/>
    <s v="Sneha Verma"/>
    <x v="3"/>
    <s v="West Bengal"/>
    <s v="Kolkata"/>
    <x v="1"/>
    <s v="Storage"/>
    <x v="9"/>
    <n v="3"/>
    <n v="524.96"/>
    <n v="0.05"/>
    <n v="1496.14"/>
    <n v="732.67"/>
    <n v="763.47"/>
    <x v="0"/>
    <n v="0.51029315438394796"/>
    <x v="0"/>
    <x v="0"/>
    <x v="0"/>
    <s v="Q1"/>
  </r>
  <r>
    <s v="ORD100491"/>
    <x v="13"/>
    <s v="CUST1131"/>
    <s v="Kiran Singh"/>
    <x v="2"/>
    <s v="Telangana"/>
    <s v="Hyderabad"/>
    <x v="1"/>
    <s v="Storage"/>
    <x v="9"/>
    <n v="2"/>
    <n v="496.58"/>
    <n v="0.1"/>
    <n v="893.84"/>
    <n v="463.44"/>
    <n v="430.4"/>
    <x v="0"/>
    <n v="0.48151794504609319"/>
    <x v="0"/>
    <x v="0"/>
    <x v="0"/>
    <s v="Q1"/>
  </r>
  <r>
    <s v="ORD100014"/>
    <x v="13"/>
    <s v="CUST1494"/>
    <s v="Sneha Das"/>
    <x v="3"/>
    <s v="West Bengal"/>
    <s v="Siliguri"/>
    <x v="0"/>
    <s v="Audio"/>
    <x v="8"/>
    <n v="2"/>
    <n v="2882.68"/>
    <n v="0.1"/>
    <n v="5188.82"/>
    <n v="3083.52"/>
    <n v="2105.3000000000002"/>
    <x v="2"/>
    <n v="0.40573772071492181"/>
    <x v="0"/>
    <x v="0"/>
    <x v="0"/>
    <s v="Q1"/>
  </r>
  <r>
    <s v="ORD101221"/>
    <x v="13"/>
    <s v="CUST1481"/>
    <s v="Neha Rao"/>
    <x v="0"/>
    <s v="Maharashtra"/>
    <s v="Mumbai"/>
    <x v="3"/>
    <s v="Kitchen"/>
    <x v="13"/>
    <n v="1"/>
    <n v="3388.44"/>
    <n v="0.05"/>
    <n v="3219.02"/>
    <n v="1974.03"/>
    <n v="1244.99"/>
    <x v="2"/>
    <n v="0.3867605668806034"/>
    <x v="0"/>
    <x v="0"/>
    <x v="0"/>
    <s v="Q1"/>
  </r>
  <r>
    <s v="ORD100128"/>
    <x v="14"/>
    <s v="CUST1485"/>
    <s v="Aisha Mehta"/>
    <x v="0"/>
    <s v="Maharashtra"/>
    <s v="Nashik"/>
    <x v="0"/>
    <s v="Computers"/>
    <x v="0"/>
    <n v="5"/>
    <n v="61429.68"/>
    <n v="0.15"/>
    <n v="261076.14"/>
    <n v="280630.92"/>
    <n v="-19554.78"/>
    <x v="1"/>
    <n v="-7.4900678399795542E-2"/>
    <x v="0"/>
    <x v="0"/>
    <x v="0"/>
    <s v="Q1"/>
  </r>
  <r>
    <s v="ORD101125"/>
    <x v="14"/>
    <s v="CUST1406"/>
    <s v="Meera Patel"/>
    <x v="0"/>
    <s v="Maharashtra"/>
    <s v="Mumbai"/>
    <x v="0"/>
    <s v="Accessories"/>
    <x v="5"/>
    <n v="2"/>
    <n v="2505.46"/>
    <n v="0.1"/>
    <n v="4509.83"/>
    <n v="2794.49"/>
    <n v="1715.34"/>
    <x v="0"/>
    <n v="0.3803558005512403"/>
    <x v="0"/>
    <x v="0"/>
    <x v="0"/>
    <s v="Q1"/>
  </r>
  <r>
    <s v="ORD100983"/>
    <x v="15"/>
    <s v="CUST1481"/>
    <s v="Diya Verma"/>
    <x v="1"/>
    <s v="Delhi"/>
    <s v="New Delhi"/>
    <x v="0"/>
    <s v="Audio"/>
    <x v="8"/>
    <n v="1"/>
    <n v="3136.71"/>
    <n v="0.15"/>
    <n v="2666.2"/>
    <n v="1671.23"/>
    <n v="994.97"/>
    <x v="1"/>
    <n v="0.37317905633485859"/>
    <x v="0"/>
    <x v="0"/>
    <x v="0"/>
    <s v="Q1"/>
  </r>
  <r>
    <s v="ORD101880"/>
    <x v="15"/>
    <s v="CUST1571"/>
    <s v="Rahul Reddy"/>
    <x v="2"/>
    <s v="Karnataka"/>
    <s v="Bengaluru"/>
    <x v="1"/>
    <s v="Storage"/>
    <x v="9"/>
    <n v="2"/>
    <n v="506.58"/>
    <n v="0.1"/>
    <n v="911.84"/>
    <n v="454.78"/>
    <n v="457.06"/>
    <x v="3"/>
    <n v="0.50125021933672576"/>
    <x v="0"/>
    <x v="0"/>
    <x v="0"/>
    <s v="Q1"/>
  </r>
  <r>
    <s v="ORD101063"/>
    <x v="15"/>
    <s v="CUST1061"/>
    <s v="Sanjana Singh"/>
    <x v="2"/>
    <s v="Telangana"/>
    <s v="Karimnagar"/>
    <x v="3"/>
    <s v="Cleaning"/>
    <x v="15"/>
    <n v="1"/>
    <n v="7874.8"/>
    <n v="0.05"/>
    <n v="7481.06"/>
    <n v="5076.96"/>
    <n v="2404.1"/>
    <x v="0"/>
    <n v="0.32135820324927211"/>
    <x v="0"/>
    <x v="0"/>
    <x v="0"/>
    <s v="Q1"/>
  </r>
  <r>
    <s v="ORD101625"/>
    <x v="15"/>
    <s v="CUST1272"/>
    <s v="Arjun Das"/>
    <x v="1"/>
    <s v="Delhi"/>
    <s v="Delhi"/>
    <x v="2"/>
    <s v="Office"/>
    <x v="10"/>
    <n v="1"/>
    <n v="7090.61"/>
    <n v="0.05"/>
    <n v="6736.08"/>
    <n v="4705.9399999999996"/>
    <n v="2030.14"/>
    <x v="1"/>
    <n v="0.30138300020189779"/>
    <x v="0"/>
    <x v="0"/>
    <x v="0"/>
    <s v="Q1"/>
  </r>
  <r>
    <s v="ORD100022"/>
    <x v="15"/>
    <s v="CUST1502"/>
    <s v="Rahul Iyer"/>
    <x v="3"/>
    <s v="West Bengal"/>
    <s v="Kolkata"/>
    <x v="1"/>
    <s v="Storage"/>
    <x v="2"/>
    <n v="5"/>
    <n v="700.58"/>
    <n v="0.15"/>
    <n v="2977.47"/>
    <n v="1622.12"/>
    <n v="1355.35"/>
    <x v="0"/>
    <n v="0.45520189959932428"/>
    <x v="0"/>
    <x v="0"/>
    <x v="0"/>
    <s v="Q1"/>
  </r>
  <r>
    <s v="ORD100611"/>
    <x v="15"/>
    <s v="CUST1136"/>
    <s v="Meera Mehta"/>
    <x v="2"/>
    <s v="Telangana"/>
    <s v="Karimnagar"/>
    <x v="0"/>
    <s v="Computers"/>
    <x v="3"/>
    <n v="2"/>
    <n v="16138.17"/>
    <n v="0.15"/>
    <n v="27434.89"/>
    <n v="24417.21"/>
    <n v="3017.68"/>
    <x v="1"/>
    <n v="0.1099942445550173"/>
    <x v="0"/>
    <x v="0"/>
    <x v="0"/>
    <s v="Q1"/>
  </r>
  <r>
    <s v="ORD101283"/>
    <x v="15"/>
    <s v="CUST1239"/>
    <s v="Sneha Malhotra"/>
    <x v="2"/>
    <s v="Karnataka"/>
    <s v="Hubballi"/>
    <x v="2"/>
    <s v="Living Room"/>
    <x v="4"/>
    <n v="1"/>
    <n v="4886.47"/>
    <n v="0"/>
    <n v="4886.47"/>
    <n v="2957.61"/>
    <n v="1928.86"/>
    <x v="0"/>
    <n v="0.39473484949257842"/>
    <x v="0"/>
    <x v="0"/>
    <x v="0"/>
    <s v="Q1"/>
  </r>
  <r>
    <s v="ORD102466"/>
    <x v="15"/>
    <s v="CUST1222"/>
    <s v="Vikram Nair"/>
    <x v="3"/>
    <s v="West Bengal"/>
    <s v="Kolkata"/>
    <x v="0"/>
    <s v="Accessories"/>
    <x v="5"/>
    <n v="1"/>
    <n v="2375.89"/>
    <n v="0.15"/>
    <n v="2019.51"/>
    <n v="1301.6600000000001"/>
    <n v="717.85"/>
    <x v="2"/>
    <n v="0.35545751197072561"/>
    <x v="0"/>
    <x v="0"/>
    <x v="0"/>
    <s v="Q1"/>
  </r>
  <r>
    <s v="ORD100632"/>
    <x v="16"/>
    <s v="CUST1206"/>
    <s v="Neha Kumar"/>
    <x v="2"/>
    <s v="Telangana"/>
    <s v="Warangal"/>
    <x v="3"/>
    <s v="Kitchen"/>
    <x v="7"/>
    <n v="6"/>
    <n v="1860.32"/>
    <n v="0.05"/>
    <n v="10603.82"/>
    <n v="6185.71"/>
    <n v="4418.1099999999997"/>
    <x v="3"/>
    <n v="0.41665267799717459"/>
    <x v="0"/>
    <x v="0"/>
    <x v="0"/>
    <s v="Q1"/>
  </r>
  <r>
    <s v="ORD100447"/>
    <x v="16"/>
    <s v="CUST1320"/>
    <s v="Pooja Iyer"/>
    <x v="1"/>
    <s v="Delhi"/>
    <s v="New Delhi"/>
    <x v="0"/>
    <s v="Accessories"/>
    <x v="6"/>
    <n v="1"/>
    <n v="813.68"/>
    <n v="0.1"/>
    <n v="732.31"/>
    <n v="510.49"/>
    <n v="221.82"/>
    <x v="0"/>
    <n v="0.30290450765386251"/>
    <x v="0"/>
    <x v="0"/>
    <x v="0"/>
    <s v="Q1"/>
  </r>
  <r>
    <s v="ORD101756"/>
    <x v="17"/>
    <s v="CUST1156"/>
    <s v="Aarav Reddy"/>
    <x v="1"/>
    <s v="Delhi"/>
    <s v="New Delhi"/>
    <x v="3"/>
    <s v="Kitchen"/>
    <x v="13"/>
    <n v="2"/>
    <n v="3406.09"/>
    <n v="0.1"/>
    <n v="6130.96"/>
    <n v="3846.69"/>
    <n v="2284.27"/>
    <x v="1"/>
    <n v="0.37257949815363328"/>
    <x v="0"/>
    <x v="0"/>
    <x v="0"/>
    <s v="Q1"/>
  </r>
  <r>
    <s v="ORD100788"/>
    <x v="17"/>
    <s v="CUST1182"/>
    <s v="Kiran Rao"/>
    <x v="0"/>
    <s v="Maharashtra"/>
    <s v="Nagpur"/>
    <x v="2"/>
    <s v="Living Room"/>
    <x v="4"/>
    <n v="1"/>
    <n v="5189.8500000000004"/>
    <n v="0.15"/>
    <n v="4411.37"/>
    <n v="3154.73"/>
    <n v="1256.6400000000001"/>
    <x v="0"/>
    <n v="0.28486388582231831"/>
    <x v="0"/>
    <x v="0"/>
    <x v="0"/>
    <s v="Q1"/>
  </r>
  <r>
    <s v="ORD101664"/>
    <x v="18"/>
    <s v="CUST1115"/>
    <s v="Varun Iyer"/>
    <x v="1"/>
    <s v="Delhi"/>
    <s v="New Delhi"/>
    <x v="1"/>
    <s v="Stationery"/>
    <x v="17"/>
    <n v="6"/>
    <n v="309.5"/>
    <n v="0.05"/>
    <n v="1764.15"/>
    <n v="780.33"/>
    <n v="983.82"/>
    <x v="1"/>
    <n v="0.55767366720516964"/>
    <x v="0"/>
    <x v="0"/>
    <x v="0"/>
    <s v="Q1"/>
  </r>
  <r>
    <s v="ORD101934"/>
    <x v="18"/>
    <s v="CUST1300"/>
    <s v="Priya Nair"/>
    <x v="2"/>
    <s v="Telangana"/>
    <s v="Karimnagar"/>
    <x v="0"/>
    <s v="Computers"/>
    <x v="0"/>
    <n v="4"/>
    <n v="56652.49"/>
    <n v="0.15"/>
    <n v="192618.47"/>
    <n v="202748.84"/>
    <n v="-10130.370000000001"/>
    <x v="2"/>
    <n v="-5.2592931508593128E-2"/>
    <x v="0"/>
    <x v="0"/>
    <x v="0"/>
    <s v="Q1"/>
  </r>
  <r>
    <s v="ORD102258"/>
    <x v="18"/>
    <s v="CUST1610"/>
    <s v="Aisha Verma"/>
    <x v="2"/>
    <s v="Tamil Nadu"/>
    <s v="Coimbatore"/>
    <x v="1"/>
    <s v="Storage"/>
    <x v="9"/>
    <n v="6"/>
    <n v="507.59"/>
    <n v="0.15"/>
    <n v="2588.71"/>
    <n v="1377.42"/>
    <n v="1211.29"/>
    <x v="2"/>
    <n v="0.46791258966821309"/>
    <x v="0"/>
    <x v="0"/>
    <x v="0"/>
    <s v="Q1"/>
  </r>
  <r>
    <s v="ORD100389"/>
    <x v="18"/>
    <s v="CUST1056"/>
    <s v="Kiran Rao"/>
    <x v="3"/>
    <s v="West Bengal"/>
    <s v="Durgapur"/>
    <x v="0"/>
    <s v="Audio"/>
    <x v="11"/>
    <n v="5"/>
    <n v="1940.45"/>
    <n v="0.05"/>
    <n v="9217.14"/>
    <n v="5852.13"/>
    <n v="3365.01"/>
    <x v="0"/>
    <n v="0.36508179326775991"/>
    <x v="0"/>
    <x v="0"/>
    <x v="0"/>
    <s v="Q1"/>
  </r>
  <r>
    <s v="ORD102274"/>
    <x v="18"/>
    <s v="CUST1594"/>
    <s v="Diya Sharma"/>
    <x v="2"/>
    <s v="Karnataka"/>
    <s v="Hubballi"/>
    <x v="2"/>
    <s v="Office"/>
    <x v="10"/>
    <n v="3"/>
    <n v="7388.37"/>
    <n v="0.05"/>
    <n v="21056.85"/>
    <n v="13624.94"/>
    <n v="7431.91"/>
    <x v="0"/>
    <n v="0.35294500364489467"/>
    <x v="0"/>
    <x v="0"/>
    <x v="0"/>
    <s v="Q1"/>
  </r>
  <r>
    <s v="ORD100851"/>
    <x v="18"/>
    <s v="CUST1063"/>
    <s v="Ishaan Mehta"/>
    <x v="1"/>
    <s v="Delhi"/>
    <s v="New Delhi"/>
    <x v="1"/>
    <s v="Storage"/>
    <x v="2"/>
    <n v="2"/>
    <n v="739.99"/>
    <n v="0"/>
    <n v="1479.98"/>
    <n v="684.63"/>
    <n v="795.35"/>
    <x v="0"/>
    <n v="0.53740591089068768"/>
    <x v="0"/>
    <x v="0"/>
    <x v="0"/>
    <s v="Q1"/>
  </r>
  <r>
    <s v="ORD101518"/>
    <x v="18"/>
    <s v="CUST1158"/>
    <s v="Aarav Das"/>
    <x v="2"/>
    <s v="Telangana"/>
    <s v="Karimnagar"/>
    <x v="1"/>
    <s v="Stationery"/>
    <x v="17"/>
    <n v="1"/>
    <n v="309.42"/>
    <n v="0.1"/>
    <n v="278.48"/>
    <n v="128.4"/>
    <n v="150.08000000000001"/>
    <x v="1"/>
    <n v="0.53892559609307666"/>
    <x v="0"/>
    <x v="0"/>
    <x v="0"/>
    <s v="Q1"/>
  </r>
  <r>
    <s v="ORD102234"/>
    <x v="18"/>
    <s v="CUST1047"/>
    <s v="Nikhil Rao"/>
    <x v="1"/>
    <s v="Delhi"/>
    <s v="New Delhi"/>
    <x v="1"/>
    <s v="Stationery"/>
    <x v="17"/>
    <n v="1"/>
    <n v="310.38"/>
    <n v="0"/>
    <n v="310.38"/>
    <n v="130.1"/>
    <n v="180.28"/>
    <x v="2"/>
    <n v="0.58083639409755783"/>
    <x v="0"/>
    <x v="0"/>
    <x v="0"/>
    <s v="Q1"/>
  </r>
  <r>
    <s v="ORD101714"/>
    <x v="19"/>
    <s v="CUST1433"/>
    <s v="Ishaan Kumar"/>
    <x v="2"/>
    <s v="Karnataka"/>
    <s v="Mangaluru"/>
    <x v="3"/>
    <s v="Cleaning"/>
    <x v="15"/>
    <n v="6"/>
    <n v="7705.36"/>
    <n v="0.15"/>
    <n v="39297.339999999997"/>
    <n v="30117.45"/>
    <n v="9179.89"/>
    <x v="0"/>
    <n v="0.23360079842554229"/>
    <x v="0"/>
    <x v="0"/>
    <x v="0"/>
    <s v="Q1"/>
  </r>
  <r>
    <s v="ORD101102"/>
    <x v="20"/>
    <s v="CUST1496"/>
    <s v="Aarav Patel"/>
    <x v="0"/>
    <s v="Maharashtra"/>
    <s v="Nashik"/>
    <x v="0"/>
    <s v="Accessories"/>
    <x v="5"/>
    <n v="1"/>
    <n v="2538.17"/>
    <n v="0.05"/>
    <n v="2411.2600000000002"/>
    <n v="1397.42"/>
    <n v="1013.84"/>
    <x v="1"/>
    <n v="0.42046067201380188"/>
    <x v="0"/>
    <x v="0"/>
    <x v="0"/>
    <s v="Q1"/>
  </r>
  <r>
    <s v="ORD101858"/>
    <x v="20"/>
    <s v="CUST1464"/>
    <s v="Priya Nair"/>
    <x v="2"/>
    <s v="Karnataka"/>
    <s v="Mangaluru"/>
    <x v="0"/>
    <s v="Accessories"/>
    <x v="6"/>
    <n v="6"/>
    <n v="797.1"/>
    <n v="0.05"/>
    <n v="4543.47"/>
    <n v="3032.77"/>
    <n v="1510.7"/>
    <x v="3"/>
    <n v="0.33249916913724531"/>
    <x v="0"/>
    <x v="0"/>
    <x v="0"/>
    <s v="Q1"/>
  </r>
  <r>
    <s v="ORD101659"/>
    <x v="20"/>
    <s v="CUST1335"/>
    <s v="Vikram Malhotra"/>
    <x v="3"/>
    <s v="West Bengal"/>
    <s v="Durgapur"/>
    <x v="2"/>
    <s v="Living Room"/>
    <x v="16"/>
    <n v="2"/>
    <n v="3884.1"/>
    <n v="0.15"/>
    <n v="6602.97"/>
    <n v="5060.3500000000004"/>
    <n v="1542.62"/>
    <x v="0"/>
    <n v="0.23362517170303659"/>
    <x v="0"/>
    <x v="0"/>
    <x v="0"/>
    <s v="Q1"/>
  </r>
  <r>
    <s v="ORD102496"/>
    <x v="21"/>
    <s v="CUST1021"/>
    <s v="Ishaan Iyer"/>
    <x v="2"/>
    <s v="Karnataka"/>
    <s v="Mysuru"/>
    <x v="1"/>
    <s v="Storage"/>
    <x v="9"/>
    <n v="1"/>
    <n v="481.79"/>
    <n v="0.1"/>
    <n v="433.61"/>
    <n v="212.55"/>
    <n v="221.06"/>
    <x v="1"/>
    <n v="0.50981296556813727"/>
    <x v="0"/>
    <x v="0"/>
    <x v="0"/>
    <s v="Q1"/>
  </r>
  <r>
    <s v="ORD101023"/>
    <x v="21"/>
    <s v="CUST1437"/>
    <s v="Aarav Reddy"/>
    <x v="1"/>
    <s v="Delhi"/>
    <s v="New Delhi"/>
    <x v="0"/>
    <s v="Audio"/>
    <x v="11"/>
    <n v="4"/>
    <n v="1957.41"/>
    <n v="0.1"/>
    <n v="7046.68"/>
    <n v="4363.7"/>
    <n v="2682.98"/>
    <x v="2"/>
    <n v="0.38074383965214831"/>
    <x v="0"/>
    <x v="0"/>
    <x v="0"/>
    <s v="Q1"/>
  </r>
  <r>
    <s v="ORD101536"/>
    <x v="21"/>
    <s v="CUST1250"/>
    <s v="Aditya Singh"/>
    <x v="0"/>
    <s v="Maharashtra"/>
    <s v="Nagpur"/>
    <x v="3"/>
    <s v="Cleaning"/>
    <x v="12"/>
    <n v="1"/>
    <n v="13515.03"/>
    <n v="0"/>
    <n v="13515.03"/>
    <n v="9454.5499999999993"/>
    <n v="4060.48"/>
    <x v="0"/>
    <n v="0.30044180442070789"/>
    <x v="0"/>
    <x v="0"/>
    <x v="0"/>
    <s v="Q1"/>
  </r>
  <r>
    <s v="ORD100295"/>
    <x v="22"/>
    <s v="CUST1550"/>
    <s v="Arjun Naidu"/>
    <x v="1"/>
    <s v="Delhi"/>
    <s v="New Delhi"/>
    <x v="0"/>
    <s v="Audio"/>
    <x v="8"/>
    <n v="3"/>
    <n v="3117.45"/>
    <n v="0.2"/>
    <n v="7481.88"/>
    <n v="4776.54"/>
    <n v="2705.34"/>
    <x v="3"/>
    <n v="0.36158559078734231"/>
    <x v="0"/>
    <x v="0"/>
    <x v="0"/>
    <s v="Q1"/>
  </r>
  <r>
    <s v="ORD100936"/>
    <x v="22"/>
    <s v="CUST1039"/>
    <s v="Aditya Joshi"/>
    <x v="3"/>
    <s v="West Bengal"/>
    <s v="Siliguri"/>
    <x v="0"/>
    <s v="Computers"/>
    <x v="3"/>
    <n v="5"/>
    <n v="16217.76"/>
    <n v="0.1"/>
    <n v="72979.92"/>
    <n v="62698.19"/>
    <n v="10281.73"/>
    <x v="1"/>
    <n v="0.14088436928952511"/>
    <x v="0"/>
    <x v="0"/>
    <x v="0"/>
    <s v="Q1"/>
  </r>
  <r>
    <s v="ORD100395"/>
    <x v="22"/>
    <s v="CUST1195"/>
    <s v="Priya Naidu"/>
    <x v="2"/>
    <s v="Karnataka"/>
    <s v="Mysuru"/>
    <x v="3"/>
    <s v="Cleaning"/>
    <x v="15"/>
    <n v="1"/>
    <n v="7345.07"/>
    <n v="0"/>
    <n v="7345.07"/>
    <n v="4772.57"/>
    <n v="2572.5"/>
    <x v="2"/>
    <n v="0.35023491947660129"/>
    <x v="0"/>
    <x v="0"/>
    <x v="0"/>
    <s v="Q1"/>
  </r>
  <r>
    <s v="ORD101779"/>
    <x v="22"/>
    <s v="CUST1200"/>
    <s v="Rohan Singh"/>
    <x v="0"/>
    <s v="Maharashtra"/>
    <s v="Nashik"/>
    <x v="2"/>
    <s v="Living Room"/>
    <x v="16"/>
    <n v="2"/>
    <n v="4202.42"/>
    <n v="0"/>
    <n v="8404.84"/>
    <n v="5270.29"/>
    <n v="3134.55"/>
    <x v="2"/>
    <n v="0.37294582645237739"/>
    <x v="0"/>
    <x v="0"/>
    <x v="0"/>
    <s v="Q1"/>
  </r>
  <r>
    <s v="ORD102458"/>
    <x v="22"/>
    <s v="CUST1388"/>
    <s v="Neha Patel"/>
    <x v="2"/>
    <s v="Telangana"/>
    <s v="Warangal"/>
    <x v="0"/>
    <s v="Computers"/>
    <x v="3"/>
    <n v="2"/>
    <n v="15739.41"/>
    <n v="0.05"/>
    <n v="29904.880000000001"/>
    <n v="23938.44"/>
    <n v="5966.44"/>
    <x v="0"/>
    <n v="0.19951392548640889"/>
    <x v="0"/>
    <x v="0"/>
    <x v="0"/>
    <s v="Q1"/>
  </r>
  <r>
    <s v="ORD101740"/>
    <x v="22"/>
    <s v="CUST1578"/>
    <s v="Arjun Verma"/>
    <x v="0"/>
    <s v="Maharashtra"/>
    <s v="Nagpur"/>
    <x v="1"/>
    <s v="Stationery"/>
    <x v="17"/>
    <n v="4"/>
    <n v="295.97000000000003"/>
    <n v="0"/>
    <n v="1183.8800000000001"/>
    <n v="511.7"/>
    <n v="672.18"/>
    <x v="2"/>
    <n v="0.56777713957495679"/>
    <x v="0"/>
    <x v="0"/>
    <x v="0"/>
    <s v="Q1"/>
  </r>
  <r>
    <s v="ORD100398"/>
    <x v="22"/>
    <s v="CUST1187"/>
    <s v="Ananya Joshi"/>
    <x v="2"/>
    <s v="Telangana"/>
    <s v="Nizamabad"/>
    <x v="2"/>
    <s v="Office"/>
    <x v="10"/>
    <n v="1"/>
    <n v="6961.14"/>
    <n v="0.15"/>
    <n v="5916.97"/>
    <n v="4617.04"/>
    <n v="1299.93"/>
    <x v="3"/>
    <n v="0.2196952156255651"/>
    <x v="0"/>
    <x v="0"/>
    <x v="0"/>
    <s v="Q1"/>
  </r>
  <r>
    <s v="ORD102193"/>
    <x v="22"/>
    <s v="CUST1037"/>
    <s v="Neha Mehta"/>
    <x v="2"/>
    <s v="Telangana"/>
    <s v="Nizamabad"/>
    <x v="0"/>
    <s v="Audio"/>
    <x v="11"/>
    <n v="5"/>
    <n v="2070.02"/>
    <n v="0.15"/>
    <n v="8797.59"/>
    <n v="6151.55"/>
    <n v="2646.04"/>
    <x v="0"/>
    <n v="0.30076873325535741"/>
    <x v="0"/>
    <x v="0"/>
    <x v="0"/>
    <s v="Q1"/>
  </r>
  <r>
    <s v="ORD101656"/>
    <x v="23"/>
    <s v="CUST1369"/>
    <s v="Pooja Gupta"/>
    <x v="3"/>
    <s v="West Bengal"/>
    <s v="Kolkata"/>
    <x v="1"/>
    <s v="Stationery"/>
    <x v="1"/>
    <n v="3"/>
    <n v="254.68"/>
    <n v="0.1"/>
    <n v="687.64"/>
    <n v="290.25"/>
    <n v="397.39"/>
    <x v="2"/>
    <n v="0.57790413588505618"/>
    <x v="0"/>
    <x v="0"/>
    <x v="0"/>
    <s v="Q1"/>
  </r>
  <r>
    <s v="ORD101549"/>
    <x v="23"/>
    <s v="CUST1052"/>
    <s v="Kavya Reddy"/>
    <x v="2"/>
    <s v="Tamil Nadu"/>
    <s v="Salem"/>
    <x v="1"/>
    <s v="Storage"/>
    <x v="9"/>
    <n v="1"/>
    <n v="518.62"/>
    <n v="0.05"/>
    <n v="492.69"/>
    <n v="226.9"/>
    <n v="265.79000000000002"/>
    <x v="0"/>
    <n v="0.53946700765187039"/>
    <x v="0"/>
    <x v="0"/>
    <x v="0"/>
    <s v="Q1"/>
  </r>
  <r>
    <s v="ORD100771"/>
    <x v="23"/>
    <s v="CUST1232"/>
    <s v="Ishaan Reddy"/>
    <x v="2"/>
    <s v="Telangana"/>
    <s v="Karimnagar"/>
    <x v="3"/>
    <s v="Cleaning"/>
    <x v="12"/>
    <n v="2"/>
    <n v="12655.79"/>
    <n v="0.1"/>
    <n v="22780.42"/>
    <n v="18754.29"/>
    <n v="4026.13"/>
    <x v="0"/>
    <n v="0.17673642540392151"/>
    <x v="0"/>
    <x v="0"/>
    <x v="0"/>
    <s v="Q1"/>
  </r>
  <r>
    <s v="ORD100739"/>
    <x v="23"/>
    <s v="CUST1275"/>
    <s v="Arjun Rao"/>
    <x v="1"/>
    <s v="Delhi"/>
    <s v="New Delhi"/>
    <x v="0"/>
    <s v="Accessories"/>
    <x v="5"/>
    <n v="3"/>
    <n v="2545.91"/>
    <n v="0.05"/>
    <n v="7255.84"/>
    <n v="4284.74"/>
    <n v="2971.1"/>
    <x v="0"/>
    <n v="0.40947705572338972"/>
    <x v="0"/>
    <x v="0"/>
    <x v="0"/>
    <s v="Q1"/>
  </r>
  <r>
    <s v="ORD100324"/>
    <x v="23"/>
    <s v="CUST1471"/>
    <s v="Vikram Joshi"/>
    <x v="2"/>
    <s v="Tamil Nadu"/>
    <s v="Chennai"/>
    <x v="0"/>
    <s v="Audio"/>
    <x v="8"/>
    <n v="1"/>
    <n v="2830.91"/>
    <n v="0.1"/>
    <n v="2547.8200000000002"/>
    <n v="1439.72"/>
    <n v="1108.0999999999999"/>
    <x v="0"/>
    <n v="0.43492083428185663"/>
    <x v="0"/>
    <x v="0"/>
    <x v="0"/>
    <s v="Q1"/>
  </r>
  <r>
    <s v="ORD102076"/>
    <x v="24"/>
    <s v="CUST1578"/>
    <s v="Kiran Kumar"/>
    <x v="2"/>
    <s v="Karnataka"/>
    <s v="Mysuru"/>
    <x v="3"/>
    <s v="Cleaning"/>
    <x v="12"/>
    <n v="4"/>
    <n v="13699.57"/>
    <n v="0.1"/>
    <n v="49318.45"/>
    <n v="39465.51"/>
    <n v="9852.94"/>
    <x v="0"/>
    <n v="0.19978202883505061"/>
    <x v="0"/>
    <x v="0"/>
    <x v="0"/>
    <s v="Q1"/>
  </r>
  <r>
    <s v="ORD101912"/>
    <x v="24"/>
    <s v="CUST1530"/>
    <s v="Varun Kumar"/>
    <x v="3"/>
    <s v="West Bengal"/>
    <s v="Durgapur"/>
    <x v="0"/>
    <s v="Computers"/>
    <x v="0"/>
    <n v="2"/>
    <n v="55967.86"/>
    <n v="0.1"/>
    <n v="100742.15"/>
    <n v="97628.46"/>
    <n v="3113.69"/>
    <x v="1"/>
    <n v="3.0907519841496339E-2"/>
    <x v="0"/>
    <x v="0"/>
    <x v="0"/>
    <s v="Q1"/>
  </r>
  <r>
    <s v="ORD100891"/>
    <x v="24"/>
    <s v="CUST1085"/>
    <s v="Varun Iyer"/>
    <x v="3"/>
    <s v="West Bengal"/>
    <s v="Siliguri"/>
    <x v="3"/>
    <s v="Cleaning"/>
    <x v="15"/>
    <n v="3"/>
    <n v="7927.95"/>
    <n v="0.15"/>
    <n v="20216.27"/>
    <n v="15645.18"/>
    <n v="4571.09"/>
    <x v="0"/>
    <n v="0.22610946529701079"/>
    <x v="0"/>
    <x v="0"/>
    <x v="0"/>
    <s v="Q1"/>
  </r>
  <r>
    <s v="ORD100626"/>
    <x v="24"/>
    <s v="CUST1265"/>
    <s v="Pooja Singh"/>
    <x v="2"/>
    <s v="Karnataka"/>
    <s v="Mysuru"/>
    <x v="1"/>
    <s v="Stationery"/>
    <x v="1"/>
    <n v="2"/>
    <n v="235.26"/>
    <n v="0.05"/>
    <n v="446.99"/>
    <n v="184.78"/>
    <n v="262.20999999999998"/>
    <x v="0"/>
    <n v="0.58661267589878963"/>
    <x v="0"/>
    <x v="0"/>
    <x v="0"/>
    <s v="Q1"/>
  </r>
  <r>
    <s v="ORD101839"/>
    <x v="25"/>
    <s v="CUST1323"/>
    <s v="Rahul Naidu"/>
    <x v="0"/>
    <s v="Maharashtra"/>
    <s v="Nagpur"/>
    <x v="0"/>
    <s v="Computers"/>
    <x v="0"/>
    <n v="2"/>
    <n v="59882.98"/>
    <n v="0.1"/>
    <n v="107789.36"/>
    <n v="107342.57"/>
    <n v="446.79"/>
    <x v="2"/>
    <n v="4.145028785772548E-3"/>
    <x v="0"/>
    <x v="0"/>
    <x v="0"/>
    <s v="Q1"/>
  </r>
  <r>
    <s v="ORD100214"/>
    <x v="25"/>
    <s v="CUST1495"/>
    <s v="Aisha Verma"/>
    <x v="2"/>
    <s v="Telangana"/>
    <s v="Warangal"/>
    <x v="2"/>
    <s v="Office"/>
    <x v="10"/>
    <n v="3"/>
    <n v="7275.95"/>
    <n v="0.05"/>
    <n v="20736.46"/>
    <n v="14021.01"/>
    <n v="6715.45"/>
    <x v="2"/>
    <n v="0.32384746480353932"/>
    <x v="0"/>
    <x v="0"/>
    <x v="0"/>
    <s v="Q1"/>
  </r>
  <r>
    <s v="ORD101973"/>
    <x v="25"/>
    <s v="CUST1609"/>
    <s v="Rohan Naidu"/>
    <x v="2"/>
    <s v="Telangana"/>
    <s v="Warangal"/>
    <x v="1"/>
    <s v="Stationery"/>
    <x v="17"/>
    <n v="5"/>
    <n v="285.62"/>
    <n v="0.2"/>
    <n v="1142.48"/>
    <n v="608.71"/>
    <n v="533.77"/>
    <x v="3"/>
    <n v="0.46720292696589871"/>
    <x v="0"/>
    <x v="0"/>
    <x v="0"/>
    <s v="Q1"/>
  </r>
  <r>
    <s v="ORD100435"/>
    <x v="26"/>
    <s v="CUST1645"/>
    <s v="Rohan Singh"/>
    <x v="2"/>
    <s v="Tamil Nadu"/>
    <s v="Coimbatore"/>
    <x v="1"/>
    <s v="Storage"/>
    <x v="9"/>
    <n v="3"/>
    <n v="501.55"/>
    <n v="0"/>
    <n v="1504.65"/>
    <n v="690.74"/>
    <n v="813.91"/>
    <x v="0"/>
    <n v="0.54092978433522743"/>
    <x v="0"/>
    <x v="0"/>
    <x v="0"/>
    <s v="Q1"/>
  </r>
  <r>
    <s v="ORD100263"/>
    <x v="26"/>
    <s v="CUST1520"/>
    <s v="Varun Nair"/>
    <x v="0"/>
    <s v="Maharashtra"/>
    <s v="Mumbai"/>
    <x v="1"/>
    <s v="Stationery"/>
    <x v="17"/>
    <n v="3"/>
    <n v="304.58"/>
    <n v="0.05"/>
    <n v="868.05"/>
    <n v="371.31"/>
    <n v="496.74"/>
    <x v="4"/>
    <n v="0.57224814238811128"/>
    <x v="0"/>
    <x v="0"/>
    <x v="0"/>
    <s v="Q1"/>
  </r>
  <r>
    <s v="ORD102346"/>
    <x v="27"/>
    <s v="CUST1230"/>
    <s v="Sanjana Rao"/>
    <x v="0"/>
    <s v="Maharashtra"/>
    <s v="Mumbai"/>
    <x v="0"/>
    <s v="Audio"/>
    <x v="11"/>
    <n v="3"/>
    <n v="1983.66"/>
    <n v="0.2"/>
    <n v="4760.78"/>
    <n v="3340.58"/>
    <n v="1420.2"/>
    <x v="3"/>
    <n v="0.29831246140338352"/>
    <x v="0"/>
    <x v="0"/>
    <x v="0"/>
    <s v="Q1"/>
  </r>
  <r>
    <s v="ORD102363"/>
    <x v="28"/>
    <s v="CUST1025"/>
    <s v="Ishaan Reddy"/>
    <x v="0"/>
    <s v="Maharashtra"/>
    <s v="Nagpur"/>
    <x v="1"/>
    <s v="Stationery"/>
    <x v="1"/>
    <n v="1"/>
    <n v="253.04"/>
    <n v="0.1"/>
    <n v="227.74"/>
    <n v="97.54"/>
    <n v="130.19999999999999"/>
    <x v="2"/>
    <n v="0.57170457539299191"/>
    <x v="0"/>
    <x v="0"/>
    <x v="0"/>
    <s v="Q1"/>
  </r>
  <r>
    <s v="ORD100229"/>
    <x v="29"/>
    <s v="CUST1091"/>
    <s v="Nikhil Naidu"/>
    <x v="1"/>
    <s v="Delhi"/>
    <s v="New Delhi"/>
    <x v="0"/>
    <s v="Audio"/>
    <x v="8"/>
    <n v="1"/>
    <n v="2968.03"/>
    <n v="0.1"/>
    <n v="2671.23"/>
    <n v="1503.45"/>
    <n v="1167.78"/>
    <x v="0"/>
    <n v="0.43716939387473192"/>
    <x v="0"/>
    <x v="1"/>
    <x v="1"/>
    <s v="Q1"/>
  </r>
  <r>
    <s v="ORD100473"/>
    <x v="29"/>
    <s v="CUST1627"/>
    <s v="Arjun Singh"/>
    <x v="2"/>
    <s v="Karnataka"/>
    <s v="Hubballi"/>
    <x v="2"/>
    <s v="Living Room"/>
    <x v="16"/>
    <n v="3"/>
    <n v="3879.32"/>
    <n v="0.1"/>
    <n v="10474.16"/>
    <n v="7304.21"/>
    <n v="3169.95"/>
    <x v="0"/>
    <n v="0.30264479442742898"/>
    <x v="0"/>
    <x v="1"/>
    <x v="1"/>
    <s v="Q1"/>
  </r>
  <r>
    <s v="ORD101852"/>
    <x v="29"/>
    <s v="CUST1322"/>
    <s v="Aditya Naidu"/>
    <x v="2"/>
    <s v="Karnataka"/>
    <s v="Hubballi"/>
    <x v="3"/>
    <s v="Kitchen"/>
    <x v="7"/>
    <n v="4"/>
    <n v="1899.01"/>
    <n v="0.05"/>
    <n v="7216.24"/>
    <n v="3977.28"/>
    <n v="3238.96"/>
    <x v="2"/>
    <n v="0.44884316486147913"/>
    <x v="0"/>
    <x v="1"/>
    <x v="1"/>
    <s v="Q1"/>
  </r>
  <r>
    <s v="ORD102423"/>
    <x v="29"/>
    <s v="CUST1222"/>
    <s v="Aisha Mehta"/>
    <x v="3"/>
    <s v="West Bengal"/>
    <s v="Durgapur"/>
    <x v="3"/>
    <s v="Cleaning"/>
    <x v="12"/>
    <n v="1"/>
    <n v="12788.57"/>
    <n v="0.05"/>
    <n v="12149.14"/>
    <n v="9240.64"/>
    <n v="2908.5"/>
    <x v="2"/>
    <n v="0.23939966121058781"/>
    <x v="0"/>
    <x v="1"/>
    <x v="1"/>
    <s v="Q1"/>
  </r>
  <r>
    <s v="ORD100268"/>
    <x v="30"/>
    <s v="CUST1024"/>
    <s v="Arjun Naidu"/>
    <x v="1"/>
    <s v="Delhi"/>
    <s v="Delhi"/>
    <x v="1"/>
    <s v="Stationery"/>
    <x v="1"/>
    <n v="3"/>
    <n v="259.23"/>
    <n v="0.15"/>
    <n v="661.04"/>
    <n v="304.25"/>
    <n v="356.79"/>
    <x v="0"/>
    <n v="0.53974040905240228"/>
    <x v="0"/>
    <x v="1"/>
    <x v="1"/>
    <s v="Q1"/>
  </r>
  <r>
    <s v="ORD101153"/>
    <x v="30"/>
    <s v="CUST1614"/>
    <s v="Arjun Kumar"/>
    <x v="2"/>
    <s v="Karnataka"/>
    <s v="Bengaluru"/>
    <x v="3"/>
    <s v="Kitchen"/>
    <x v="7"/>
    <n v="1"/>
    <n v="1694.87"/>
    <n v="0.1"/>
    <n v="1525.38"/>
    <n v="899.62"/>
    <n v="625.76"/>
    <x v="0"/>
    <n v="0.41023220443430491"/>
    <x v="0"/>
    <x v="1"/>
    <x v="1"/>
    <s v="Q1"/>
  </r>
  <r>
    <s v="ORD102361"/>
    <x v="30"/>
    <s v="CUST1289"/>
    <s v="Sneha Verma"/>
    <x v="0"/>
    <s v="Maharashtra"/>
    <s v="Nashik"/>
    <x v="0"/>
    <s v="Audio"/>
    <x v="11"/>
    <n v="1"/>
    <n v="1987.46"/>
    <n v="0"/>
    <n v="1987.46"/>
    <n v="1164.0999999999999"/>
    <n v="823.36"/>
    <x v="2"/>
    <n v="0.414277520050718"/>
    <x v="0"/>
    <x v="1"/>
    <x v="1"/>
    <s v="Q1"/>
  </r>
  <r>
    <s v="ORD101199"/>
    <x v="30"/>
    <s v="CUST1350"/>
    <s v="Ishaan Reddy"/>
    <x v="2"/>
    <s v="Karnataka"/>
    <s v="Bengaluru"/>
    <x v="2"/>
    <s v="Office"/>
    <x v="14"/>
    <n v="1"/>
    <n v="8344.2000000000007"/>
    <n v="0.1"/>
    <n v="7509.78"/>
    <n v="5557.45"/>
    <n v="1952.33"/>
    <x v="0"/>
    <n v="0.25997166361730972"/>
    <x v="0"/>
    <x v="1"/>
    <x v="1"/>
    <s v="Q1"/>
  </r>
  <r>
    <s v="ORD100048"/>
    <x v="30"/>
    <s v="CUST1572"/>
    <s v="Meera Singh"/>
    <x v="2"/>
    <s v="Tamil Nadu"/>
    <s v="Chennai"/>
    <x v="0"/>
    <s v="Computers"/>
    <x v="3"/>
    <n v="5"/>
    <n v="15251.38"/>
    <n v="0.15"/>
    <n v="64818.36"/>
    <n v="59466.81"/>
    <n v="5351.55"/>
    <x v="4"/>
    <n v="8.2562255509087246E-2"/>
    <x v="0"/>
    <x v="1"/>
    <x v="1"/>
    <s v="Q1"/>
  </r>
  <r>
    <s v="ORD101699"/>
    <x v="30"/>
    <s v="CUST1603"/>
    <s v="Kiran Patel"/>
    <x v="2"/>
    <s v="Telangana"/>
    <s v="Karimnagar"/>
    <x v="2"/>
    <s v="Office"/>
    <x v="10"/>
    <n v="4"/>
    <n v="7165.52"/>
    <n v="0"/>
    <n v="28662.080000000002"/>
    <n v="18155.400000000001"/>
    <n v="10506.68"/>
    <x v="1"/>
    <n v="0.3665707443423506"/>
    <x v="0"/>
    <x v="1"/>
    <x v="1"/>
    <s v="Q1"/>
  </r>
  <r>
    <s v="ORD101702"/>
    <x v="31"/>
    <s v="CUST1499"/>
    <s v="Varun Iyer"/>
    <x v="2"/>
    <s v="Karnataka"/>
    <s v="Mysuru"/>
    <x v="2"/>
    <s v="Office"/>
    <x v="14"/>
    <n v="3"/>
    <n v="8659.24"/>
    <n v="0.1"/>
    <n v="23379.95"/>
    <n v="17314.830000000002"/>
    <n v="6065.12"/>
    <x v="0"/>
    <n v="0.25941543929734667"/>
    <x v="0"/>
    <x v="1"/>
    <x v="1"/>
    <s v="Q1"/>
  </r>
  <r>
    <s v="ORD100228"/>
    <x v="31"/>
    <s v="CUST1067"/>
    <s v="Sanjana Verma"/>
    <x v="2"/>
    <s v="Telangana"/>
    <s v="Nizamabad"/>
    <x v="1"/>
    <s v="Stationery"/>
    <x v="1"/>
    <n v="3"/>
    <n v="258.27999999999997"/>
    <n v="0.15"/>
    <n v="658.61"/>
    <n v="299.43"/>
    <n v="359.18"/>
    <x v="2"/>
    <n v="0.54536068386450254"/>
    <x v="0"/>
    <x v="1"/>
    <x v="1"/>
    <s v="Q1"/>
  </r>
  <r>
    <s v="ORD100107"/>
    <x v="31"/>
    <s v="CUST1575"/>
    <s v="Ananya Patel"/>
    <x v="2"/>
    <s v="Tamil Nadu"/>
    <s v="Coimbatore"/>
    <x v="0"/>
    <s v="Audio"/>
    <x v="11"/>
    <n v="2"/>
    <n v="2035.59"/>
    <n v="0.2"/>
    <n v="3256.94"/>
    <n v="2360.44"/>
    <n v="896.5"/>
    <x v="0"/>
    <n v="0.27525837135470721"/>
    <x v="0"/>
    <x v="1"/>
    <x v="1"/>
    <s v="Q1"/>
  </r>
  <r>
    <s v="ORD101080"/>
    <x v="31"/>
    <s v="CUST1322"/>
    <s v="Neha Mehta"/>
    <x v="2"/>
    <s v="Karnataka"/>
    <s v="Mysuru"/>
    <x v="0"/>
    <s v="Accessories"/>
    <x v="6"/>
    <n v="1"/>
    <n v="846.7"/>
    <n v="0.15"/>
    <n v="719.7"/>
    <n v="524.42999999999995"/>
    <n v="195.27"/>
    <x v="0"/>
    <n v="0.27132138390996252"/>
    <x v="0"/>
    <x v="1"/>
    <x v="1"/>
    <s v="Q1"/>
  </r>
  <r>
    <s v="ORD101941"/>
    <x v="31"/>
    <s v="CUST1133"/>
    <s v="Kiran Verma"/>
    <x v="2"/>
    <s v="Tamil Nadu"/>
    <s v="Coimbatore"/>
    <x v="1"/>
    <s v="Storage"/>
    <x v="2"/>
    <n v="2"/>
    <n v="666.25"/>
    <n v="0.1"/>
    <n v="1199.25"/>
    <n v="614.03"/>
    <n v="585.22"/>
    <x v="3"/>
    <n v="0.48798832603710662"/>
    <x v="0"/>
    <x v="1"/>
    <x v="1"/>
    <s v="Q1"/>
  </r>
  <r>
    <s v="ORD101098"/>
    <x v="32"/>
    <s v="CUST1406"/>
    <s v="Rohan Sharma"/>
    <x v="1"/>
    <s v="Delhi"/>
    <s v="Delhi"/>
    <x v="2"/>
    <s v="Living Room"/>
    <x v="16"/>
    <n v="2"/>
    <n v="3783.72"/>
    <n v="0"/>
    <n v="7567.44"/>
    <n v="4806.07"/>
    <n v="2761.37"/>
    <x v="0"/>
    <n v="0.36490147262482431"/>
    <x v="0"/>
    <x v="1"/>
    <x v="1"/>
    <s v="Q1"/>
  </r>
  <r>
    <s v="ORD101078"/>
    <x v="32"/>
    <s v="CUST1212"/>
    <s v="Sanjana Joshi"/>
    <x v="3"/>
    <s v="West Bengal"/>
    <s v="Kolkata"/>
    <x v="3"/>
    <s v="Cleaning"/>
    <x v="15"/>
    <n v="2"/>
    <n v="7256.17"/>
    <n v="0"/>
    <n v="14512.34"/>
    <n v="9363.23"/>
    <n v="5149.1099999999997"/>
    <x v="1"/>
    <n v="0.35480907972112008"/>
    <x v="0"/>
    <x v="1"/>
    <x v="1"/>
    <s v="Q1"/>
  </r>
  <r>
    <s v="ORD100365"/>
    <x v="32"/>
    <s v="CUST1610"/>
    <s v="Aisha Patel"/>
    <x v="2"/>
    <s v="Telangana"/>
    <s v="Warangal"/>
    <x v="3"/>
    <s v="Cleaning"/>
    <x v="15"/>
    <n v="1"/>
    <n v="7280.95"/>
    <n v="0.05"/>
    <n v="6916.9"/>
    <n v="4607.6499999999996"/>
    <n v="2309.25"/>
    <x v="3"/>
    <n v="0.33385620726047799"/>
    <x v="0"/>
    <x v="1"/>
    <x v="1"/>
    <s v="Q1"/>
  </r>
  <r>
    <s v="ORD100535"/>
    <x v="33"/>
    <s v="CUST1341"/>
    <s v="Kavya Das"/>
    <x v="2"/>
    <s v="Telangana"/>
    <s v="Warangal"/>
    <x v="3"/>
    <s v="Cleaning"/>
    <x v="15"/>
    <n v="1"/>
    <n v="7493.13"/>
    <n v="0.2"/>
    <n v="5994.5"/>
    <n v="4814.24"/>
    <n v="1180.26"/>
    <x v="0"/>
    <n v="0.19689048294269751"/>
    <x v="0"/>
    <x v="1"/>
    <x v="1"/>
    <s v="Q1"/>
  </r>
  <r>
    <s v="ORD101137"/>
    <x v="33"/>
    <s v="CUST1385"/>
    <s v="Kavya Gupta"/>
    <x v="2"/>
    <s v="Telangana"/>
    <s v="Warangal"/>
    <x v="2"/>
    <s v="Living Room"/>
    <x v="4"/>
    <n v="5"/>
    <n v="4915.6000000000004"/>
    <n v="0.05"/>
    <n v="23349.1"/>
    <n v="15303.84"/>
    <n v="8045.26"/>
    <x v="0"/>
    <n v="0.34456403030523658"/>
    <x v="0"/>
    <x v="1"/>
    <x v="1"/>
    <s v="Q1"/>
  </r>
  <r>
    <s v="ORD100256"/>
    <x v="34"/>
    <s v="CUST1099"/>
    <s v="Pooja Rao"/>
    <x v="3"/>
    <s v="West Bengal"/>
    <s v="Siliguri"/>
    <x v="0"/>
    <s v="Computers"/>
    <x v="3"/>
    <n v="2"/>
    <n v="15533.18"/>
    <n v="0.05"/>
    <n v="29513.040000000001"/>
    <n v="23304.76"/>
    <n v="6208.28"/>
    <x v="2"/>
    <n v="0.21035718448523091"/>
    <x v="0"/>
    <x v="1"/>
    <x v="1"/>
    <s v="Q1"/>
  </r>
  <r>
    <s v="ORD100117"/>
    <x v="34"/>
    <s v="CUST1415"/>
    <s v="Pooja Joshi"/>
    <x v="1"/>
    <s v="Delhi"/>
    <s v="New Delhi"/>
    <x v="1"/>
    <s v="Stationery"/>
    <x v="17"/>
    <n v="2"/>
    <n v="303.39999999999998"/>
    <n v="0.15"/>
    <n v="515.78"/>
    <n v="259.97000000000003"/>
    <n v="255.81"/>
    <x v="3"/>
    <n v="0.49596727286827719"/>
    <x v="0"/>
    <x v="1"/>
    <x v="1"/>
    <s v="Q1"/>
  </r>
  <r>
    <s v="ORD102434"/>
    <x v="34"/>
    <s v="CUST1624"/>
    <s v="Diya Singh"/>
    <x v="2"/>
    <s v="Karnataka"/>
    <s v="Bengaluru"/>
    <x v="1"/>
    <s v="Storage"/>
    <x v="2"/>
    <n v="2"/>
    <n v="662.9"/>
    <n v="0.15"/>
    <n v="1126.93"/>
    <n v="614.91999999999996"/>
    <n v="512.01"/>
    <x v="1"/>
    <n v="0.4543405535392615"/>
    <x v="0"/>
    <x v="1"/>
    <x v="1"/>
    <s v="Q1"/>
  </r>
  <r>
    <s v="ORD101325"/>
    <x v="34"/>
    <s v="CUST1466"/>
    <s v="Neha Das"/>
    <x v="1"/>
    <s v="Delhi"/>
    <s v="New Delhi"/>
    <x v="3"/>
    <s v="Kitchen"/>
    <x v="13"/>
    <n v="1"/>
    <n v="3294.1"/>
    <n v="0.05"/>
    <n v="3129.39"/>
    <n v="1843"/>
    <n v="1286.3900000000001"/>
    <x v="2"/>
    <n v="0.41106733261114792"/>
    <x v="0"/>
    <x v="1"/>
    <x v="1"/>
    <s v="Q1"/>
  </r>
  <r>
    <s v="ORD100448"/>
    <x v="34"/>
    <s v="CUST1103"/>
    <s v="Sneha Iyer"/>
    <x v="2"/>
    <s v="Tamil Nadu"/>
    <s v="Chennai"/>
    <x v="0"/>
    <s v="Accessories"/>
    <x v="6"/>
    <n v="1"/>
    <n v="768.15"/>
    <n v="0.05"/>
    <n v="729.74"/>
    <n v="457.97"/>
    <n v="271.77"/>
    <x v="1"/>
    <n v="0.37242031408446841"/>
    <x v="0"/>
    <x v="1"/>
    <x v="1"/>
    <s v="Q1"/>
  </r>
  <r>
    <s v="ORD102365"/>
    <x v="34"/>
    <s v="CUST1173"/>
    <s v="Arjun Joshi"/>
    <x v="2"/>
    <s v="Telangana"/>
    <s v="Hyderabad"/>
    <x v="2"/>
    <s v="Office"/>
    <x v="14"/>
    <n v="4"/>
    <n v="8109.33"/>
    <n v="0.05"/>
    <n v="30815.45"/>
    <n v="21800.05"/>
    <n v="9015.4"/>
    <x v="0"/>
    <n v="0.29256103675266792"/>
    <x v="0"/>
    <x v="1"/>
    <x v="1"/>
    <s v="Q1"/>
  </r>
  <r>
    <s v="ORD102071"/>
    <x v="35"/>
    <s v="CUST1426"/>
    <s v="Ishaan Singh"/>
    <x v="2"/>
    <s v="Karnataka"/>
    <s v="Mysuru"/>
    <x v="3"/>
    <s v="Kitchen"/>
    <x v="7"/>
    <n v="5"/>
    <n v="1793.61"/>
    <n v="0"/>
    <n v="8968.0499999999993"/>
    <n v="4860.0600000000004"/>
    <n v="4107.99"/>
    <x v="0"/>
    <n v="0.4580694799872882"/>
    <x v="0"/>
    <x v="1"/>
    <x v="1"/>
    <s v="Q1"/>
  </r>
  <r>
    <s v="ORD101951"/>
    <x v="35"/>
    <s v="CUST1163"/>
    <s v="Sanjana Rao"/>
    <x v="2"/>
    <s v="Tamil Nadu"/>
    <s v="Coimbatore"/>
    <x v="0"/>
    <s v="Computers"/>
    <x v="3"/>
    <n v="1"/>
    <n v="15115.82"/>
    <n v="0.1"/>
    <n v="13604.24"/>
    <n v="11590.4"/>
    <n v="2013.84"/>
    <x v="4"/>
    <n v="0.14803031995907159"/>
    <x v="0"/>
    <x v="1"/>
    <x v="1"/>
    <s v="Q1"/>
  </r>
  <r>
    <s v="ORD100513"/>
    <x v="35"/>
    <s v="CUST1455"/>
    <s v="Sneha Iyer"/>
    <x v="1"/>
    <s v="Delhi"/>
    <s v="Delhi"/>
    <x v="1"/>
    <s v="Stationery"/>
    <x v="17"/>
    <n v="5"/>
    <n v="315.22000000000003"/>
    <n v="0.1"/>
    <n v="1418.49"/>
    <n v="652.11"/>
    <n v="766.38"/>
    <x v="0"/>
    <n v="0.54027874711841462"/>
    <x v="0"/>
    <x v="1"/>
    <x v="1"/>
    <s v="Q1"/>
  </r>
  <r>
    <s v="ORD101455"/>
    <x v="35"/>
    <s v="CUST1149"/>
    <s v="Sanjana Rao"/>
    <x v="2"/>
    <s v="Karnataka"/>
    <s v="Hubballi"/>
    <x v="0"/>
    <s v="Audio"/>
    <x v="8"/>
    <n v="2"/>
    <n v="3042.8"/>
    <n v="0"/>
    <n v="6085.6"/>
    <n v="3288.45"/>
    <n v="2797.15"/>
    <x v="0"/>
    <n v="0.4596342184829762"/>
    <x v="0"/>
    <x v="1"/>
    <x v="1"/>
    <s v="Q1"/>
  </r>
  <r>
    <s v="ORD101601"/>
    <x v="36"/>
    <s v="CUST1390"/>
    <s v="Aarav Das"/>
    <x v="3"/>
    <s v="West Bengal"/>
    <s v="Durgapur"/>
    <x v="0"/>
    <s v="Audio"/>
    <x v="8"/>
    <n v="2"/>
    <n v="2890.88"/>
    <n v="0.05"/>
    <n v="5492.67"/>
    <n v="3043.79"/>
    <n v="2448.88"/>
    <x v="2"/>
    <n v="0.44584509901377661"/>
    <x v="0"/>
    <x v="1"/>
    <x v="1"/>
    <s v="Q1"/>
  </r>
  <r>
    <s v="ORD102397"/>
    <x v="36"/>
    <s v="CUST1102"/>
    <s v="Ishaan Reddy"/>
    <x v="2"/>
    <s v="Karnataka"/>
    <s v="Bengaluru"/>
    <x v="0"/>
    <s v="Accessories"/>
    <x v="5"/>
    <n v="6"/>
    <n v="2546.34"/>
    <n v="0.05"/>
    <n v="14514.14"/>
    <n v="8152.26"/>
    <n v="6361.88"/>
    <x v="1"/>
    <n v="0.43832290442285943"/>
    <x v="0"/>
    <x v="1"/>
    <x v="1"/>
    <s v="Q1"/>
  </r>
  <r>
    <s v="ORD102409"/>
    <x v="36"/>
    <s v="CUST1555"/>
    <s v="Nikhil Malhotra"/>
    <x v="3"/>
    <s v="West Bengal"/>
    <s v="Siliguri"/>
    <x v="3"/>
    <s v="Kitchen"/>
    <x v="7"/>
    <n v="3"/>
    <n v="1757.8"/>
    <n v="0.2"/>
    <n v="4218.72"/>
    <n v="2941.6"/>
    <n v="1277.1199999999999"/>
    <x v="3"/>
    <n v="0.30272689346531639"/>
    <x v="0"/>
    <x v="1"/>
    <x v="1"/>
    <s v="Q1"/>
  </r>
  <r>
    <s v="ORD101822"/>
    <x v="36"/>
    <s v="CUST1066"/>
    <s v="Vikram Joshi"/>
    <x v="1"/>
    <s v="Delhi"/>
    <s v="Delhi"/>
    <x v="0"/>
    <s v="Computers"/>
    <x v="3"/>
    <n v="1"/>
    <n v="16165.26"/>
    <n v="0.05"/>
    <n v="15357"/>
    <n v="11761.16"/>
    <n v="3595.84"/>
    <x v="0"/>
    <n v="0.23414989906882849"/>
    <x v="0"/>
    <x v="1"/>
    <x v="1"/>
    <s v="Q1"/>
  </r>
  <r>
    <s v="ORD100915"/>
    <x v="36"/>
    <s v="CUST1572"/>
    <s v="Rohan Gupta"/>
    <x v="3"/>
    <s v="West Bengal"/>
    <s v="Siliguri"/>
    <x v="2"/>
    <s v="Office"/>
    <x v="10"/>
    <n v="1"/>
    <n v="7379.15"/>
    <n v="0"/>
    <n v="7379.15"/>
    <n v="4792.1899999999996"/>
    <n v="2586.96"/>
    <x v="4"/>
    <n v="0.35057696347140249"/>
    <x v="0"/>
    <x v="1"/>
    <x v="1"/>
    <s v="Q1"/>
  </r>
  <r>
    <s v="ORD101076"/>
    <x v="36"/>
    <s v="CUST1440"/>
    <s v="Vikram Sharma"/>
    <x v="2"/>
    <s v="Tamil Nadu"/>
    <s v="Salem"/>
    <x v="0"/>
    <s v="Computers"/>
    <x v="3"/>
    <n v="1"/>
    <n v="16851.39"/>
    <n v="0.05"/>
    <n v="16008.82"/>
    <n v="12363.32"/>
    <n v="3645.5"/>
    <x v="1"/>
    <n v="0.2277182203310425"/>
    <x v="0"/>
    <x v="1"/>
    <x v="1"/>
    <s v="Q1"/>
  </r>
  <r>
    <s v="ORD100603"/>
    <x v="37"/>
    <s v="CUST1169"/>
    <s v="Neha Mehta"/>
    <x v="1"/>
    <s v="Delhi"/>
    <s v="Delhi"/>
    <x v="3"/>
    <s v="Cleaning"/>
    <x v="12"/>
    <n v="2"/>
    <n v="12697.68"/>
    <n v="0.1"/>
    <n v="22855.82"/>
    <n v="18184.68"/>
    <n v="4671.1400000000003"/>
    <x v="0"/>
    <n v="0.20437420315700769"/>
    <x v="0"/>
    <x v="1"/>
    <x v="1"/>
    <s v="Q1"/>
  </r>
  <r>
    <s v="ORD102277"/>
    <x v="37"/>
    <s v="CUST1583"/>
    <s v="Kiran Verma"/>
    <x v="2"/>
    <s v="Tamil Nadu"/>
    <s v="Salem"/>
    <x v="0"/>
    <s v="Audio"/>
    <x v="8"/>
    <n v="4"/>
    <n v="2901.3"/>
    <n v="0.15"/>
    <n v="9864.42"/>
    <n v="5811.5"/>
    <n v="4052.92"/>
    <x v="3"/>
    <n v="0.41086247341455451"/>
    <x v="0"/>
    <x v="1"/>
    <x v="1"/>
    <s v="Q1"/>
  </r>
  <r>
    <s v="ORD101277"/>
    <x v="38"/>
    <s v="CUST1088"/>
    <s v="Aditya Patel"/>
    <x v="1"/>
    <s v="Delhi"/>
    <s v="Delhi"/>
    <x v="2"/>
    <s v="Office"/>
    <x v="14"/>
    <n v="4"/>
    <n v="8450.7099999999991"/>
    <n v="0.1"/>
    <n v="30422.560000000001"/>
    <n v="22839.759999999998"/>
    <n v="7582.8"/>
    <x v="4"/>
    <n v="0.24924924135247001"/>
    <x v="0"/>
    <x v="1"/>
    <x v="1"/>
    <s v="Q1"/>
  </r>
  <r>
    <s v="ORD100326"/>
    <x v="38"/>
    <s v="CUST1547"/>
    <s v="Nikhil Malhotra"/>
    <x v="3"/>
    <s v="West Bengal"/>
    <s v="Durgapur"/>
    <x v="0"/>
    <s v="Computers"/>
    <x v="3"/>
    <n v="1"/>
    <n v="15893.92"/>
    <n v="0.2"/>
    <n v="12715.14"/>
    <n v="12087.65"/>
    <n v="627.49"/>
    <x v="0"/>
    <n v="4.9349830202420113E-2"/>
    <x v="0"/>
    <x v="1"/>
    <x v="1"/>
    <s v="Q1"/>
  </r>
  <r>
    <s v="ORD102247"/>
    <x v="38"/>
    <s v="CUST1036"/>
    <s v="Sneha Nair"/>
    <x v="1"/>
    <s v="Delhi"/>
    <s v="Delhi"/>
    <x v="3"/>
    <s v="Kitchen"/>
    <x v="7"/>
    <n v="3"/>
    <n v="1795.99"/>
    <n v="0"/>
    <n v="5387.97"/>
    <n v="2902.18"/>
    <n v="2485.79"/>
    <x v="0"/>
    <n v="0.46135928744963312"/>
    <x v="0"/>
    <x v="1"/>
    <x v="1"/>
    <s v="Q1"/>
  </r>
  <r>
    <s v="ORD100403"/>
    <x v="39"/>
    <s v="CUST1072"/>
    <s v="Rohan Rao"/>
    <x v="2"/>
    <s v="Telangana"/>
    <s v="Karimnagar"/>
    <x v="1"/>
    <s v="Storage"/>
    <x v="9"/>
    <n v="4"/>
    <n v="489.56"/>
    <n v="0.15"/>
    <n v="1664.5"/>
    <n v="892.42"/>
    <n v="772.08"/>
    <x v="2"/>
    <n v="0.4638510063082007"/>
    <x v="0"/>
    <x v="1"/>
    <x v="1"/>
    <s v="Q1"/>
  </r>
  <r>
    <s v="ORD102088"/>
    <x v="39"/>
    <s v="CUST1413"/>
    <s v="Vikram Nair"/>
    <x v="2"/>
    <s v="Tamil Nadu"/>
    <s v="Coimbatore"/>
    <x v="0"/>
    <s v="Audio"/>
    <x v="8"/>
    <n v="3"/>
    <n v="3137.66"/>
    <n v="0"/>
    <n v="9412.98"/>
    <n v="4876.7299999999996"/>
    <n v="4536.25"/>
    <x v="1"/>
    <n v="0.48191433531145289"/>
    <x v="0"/>
    <x v="1"/>
    <x v="1"/>
    <s v="Q1"/>
  </r>
  <r>
    <s v="ORD101781"/>
    <x v="40"/>
    <s v="CUST1439"/>
    <s v="Arjun Das"/>
    <x v="2"/>
    <s v="Tamil Nadu"/>
    <s v="Salem"/>
    <x v="1"/>
    <s v="Storage"/>
    <x v="9"/>
    <n v="4"/>
    <n v="502.7"/>
    <n v="0.1"/>
    <n v="1809.72"/>
    <n v="909.52"/>
    <n v="900.2"/>
    <x v="1"/>
    <n v="0.49742501602457839"/>
    <x v="0"/>
    <x v="1"/>
    <x v="1"/>
    <s v="Q1"/>
  </r>
  <r>
    <s v="ORD101038"/>
    <x v="40"/>
    <s v="CUST1250"/>
    <s v="Arjun Gupta"/>
    <x v="3"/>
    <s v="West Bengal"/>
    <s v="Durgapur"/>
    <x v="0"/>
    <s v="Computers"/>
    <x v="3"/>
    <n v="4"/>
    <n v="16528.5"/>
    <n v="0.15"/>
    <n v="56196.9"/>
    <n v="51157.48"/>
    <n v="5039.42"/>
    <x v="1"/>
    <n v="8.9674341467233951E-2"/>
    <x v="0"/>
    <x v="1"/>
    <x v="1"/>
    <s v="Q1"/>
  </r>
  <r>
    <s v="ORD101203"/>
    <x v="41"/>
    <s v="CUST1539"/>
    <s v="Kiran Mehta"/>
    <x v="0"/>
    <s v="Maharashtra"/>
    <s v="Mumbai"/>
    <x v="0"/>
    <s v="Computers"/>
    <x v="0"/>
    <n v="3"/>
    <n v="60540.3"/>
    <n v="0.15"/>
    <n v="154377.76999999999"/>
    <n v="161910.68"/>
    <n v="-7532.91"/>
    <x v="1"/>
    <n v="-4.8795302587930897E-2"/>
    <x v="0"/>
    <x v="1"/>
    <x v="1"/>
    <s v="Q1"/>
  </r>
  <r>
    <s v="ORD100663"/>
    <x v="41"/>
    <s v="CUST1098"/>
    <s v="Arjun Joshi"/>
    <x v="0"/>
    <s v="Maharashtra"/>
    <s v="Nashik"/>
    <x v="0"/>
    <s v="Accessories"/>
    <x v="5"/>
    <n v="2"/>
    <n v="2402.9699999999998"/>
    <n v="0.05"/>
    <n v="4565.6400000000003"/>
    <n v="2626.51"/>
    <n v="1939.13"/>
    <x v="1"/>
    <n v="0.42472249235594572"/>
    <x v="0"/>
    <x v="1"/>
    <x v="1"/>
    <s v="Q1"/>
  </r>
  <r>
    <s v="ORD102182"/>
    <x v="41"/>
    <s v="CUST1533"/>
    <s v="Aarav Iyer"/>
    <x v="1"/>
    <s v="Delhi"/>
    <s v="New Delhi"/>
    <x v="0"/>
    <s v="Computers"/>
    <x v="0"/>
    <n v="3"/>
    <n v="60718.43"/>
    <n v="0.1"/>
    <n v="163939.76"/>
    <n v="160818.03"/>
    <n v="3121.73"/>
    <x v="0"/>
    <n v="1.9041933451653219E-2"/>
    <x v="0"/>
    <x v="1"/>
    <x v="1"/>
    <s v="Q1"/>
  </r>
  <r>
    <s v="ORD102301"/>
    <x v="42"/>
    <s v="CUST1297"/>
    <s v="Aarav Malhotra"/>
    <x v="3"/>
    <s v="West Bengal"/>
    <s v="Siliguri"/>
    <x v="0"/>
    <s v="Audio"/>
    <x v="8"/>
    <n v="3"/>
    <n v="2893.81"/>
    <n v="0"/>
    <n v="8681.43"/>
    <n v="4418.01"/>
    <n v="4263.42"/>
    <x v="1"/>
    <n v="0.49109651290167627"/>
    <x v="0"/>
    <x v="1"/>
    <x v="1"/>
    <s v="Q1"/>
  </r>
  <r>
    <s v="ORD102158"/>
    <x v="42"/>
    <s v="CUST1239"/>
    <s v="Aarav Mehta"/>
    <x v="3"/>
    <s v="West Bengal"/>
    <s v="Durgapur"/>
    <x v="2"/>
    <s v="Living Room"/>
    <x v="4"/>
    <n v="2"/>
    <n v="5183.9799999999996"/>
    <n v="0.1"/>
    <n v="9331.16"/>
    <n v="6317.88"/>
    <n v="3013.28"/>
    <x v="0"/>
    <n v="0.3229266243425255"/>
    <x v="0"/>
    <x v="1"/>
    <x v="1"/>
    <s v="Q1"/>
  </r>
  <r>
    <s v="ORD101012"/>
    <x v="42"/>
    <s v="CUST1267"/>
    <s v="Sanjana Naidu"/>
    <x v="3"/>
    <s v="West Bengal"/>
    <s v="Kolkata"/>
    <x v="0"/>
    <s v="Accessories"/>
    <x v="5"/>
    <n v="4"/>
    <n v="2543.81"/>
    <n v="0.1"/>
    <n v="9157.7199999999993"/>
    <n v="5563.66"/>
    <n v="3594.06"/>
    <x v="0"/>
    <n v="0.39246231594763759"/>
    <x v="0"/>
    <x v="1"/>
    <x v="1"/>
    <s v="Q1"/>
  </r>
  <r>
    <s v="ORD100781"/>
    <x v="42"/>
    <s v="CUST1319"/>
    <s v="Ananya Nair"/>
    <x v="0"/>
    <s v="Maharashtra"/>
    <s v="Nagpur"/>
    <x v="1"/>
    <s v="Stationery"/>
    <x v="17"/>
    <n v="5"/>
    <n v="309.49"/>
    <n v="0.1"/>
    <n v="1392.71"/>
    <n v="637.6"/>
    <n v="755.11"/>
    <x v="1"/>
    <n v="0.5421875336574018"/>
    <x v="0"/>
    <x v="1"/>
    <x v="1"/>
    <s v="Q1"/>
  </r>
  <r>
    <s v="ORD101794"/>
    <x v="42"/>
    <s v="CUST1526"/>
    <s v="Sanjana Singh"/>
    <x v="2"/>
    <s v="Karnataka"/>
    <s v="Hubballi"/>
    <x v="3"/>
    <s v="Kitchen"/>
    <x v="13"/>
    <n v="1"/>
    <n v="3454.14"/>
    <n v="0.2"/>
    <n v="2763.31"/>
    <n v="2041.79"/>
    <n v="721.52"/>
    <x v="2"/>
    <n v="0.26110715048257338"/>
    <x v="0"/>
    <x v="1"/>
    <x v="1"/>
    <s v="Q1"/>
  </r>
  <r>
    <s v="ORD102383"/>
    <x v="43"/>
    <s v="CUST1176"/>
    <s v="Diya Iyer"/>
    <x v="2"/>
    <s v="Telangana"/>
    <s v="Nizamabad"/>
    <x v="3"/>
    <s v="Kitchen"/>
    <x v="7"/>
    <n v="2"/>
    <n v="1890.06"/>
    <n v="0.1"/>
    <n v="3402.11"/>
    <n v="2011.16"/>
    <n v="1390.95"/>
    <x v="0"/>
    <n v="0.40884921416415099"/>
    <x v="0"/>
    <x v="1"/>
    <x v="1"/>
    <s v="Q1"/>
  </r>
  <r>
    <s v="ORD102143"/>
    <x v="43"/>
    <s v="CUST1392"/>
    <s v="Ishaan Gupta"/>
    <x v="3"/>
    <s v="West Bengal"/>
    <s v="Siliguri"/>
    <x v="2"/>
    <s v="Living Room"/>
    <x v="4"/>
    <n v="1"/>
    <n v="5158.74"/>
    <n v="0"/>
    <n v="5158.74"/>
    <n v="3072.54"/>
    <n v="2086.1999999999998"/>
    <x v="4"/>
    <n v="0.40440107468102682"/>
    <x v="0"/>
    <x v="1"/>
    <x v="1"/>
    <s v="Q1"/>
  </r>
  <r>
    <s v="ORD101339"/>
    <x v="43"/>
    <s v="CUST1038"/>
    <s v="Kavya Singh"/>
    <x v="2"/>
    <s v="Karnataka"/>
    <s v="Hubballi"/>
    <x v="3"/>
    <s v="Kitchen"/>
    <x v="7"/>
    <n v="1"/>
    <n v="1755.99"/>
    <n v="0.15"/>
    <n v="1492.59"/>
    <n v="955.59"/>
    <n v="537"/>
    <x v="0"/>
    <n v="0.3597772998613149"/>
    <x v="0"/>
    <x v="1"/>
    <x v="1"/>
    <s v="Q1"/>
  </r>
  <r>
    <s v="ORD100706"/>
    <x v="44"/>
    <s v="CUST1560"/>
    <s v="Priya Joshi"/>
    <x v="1"/>
    <s v="Delhi"/>
    <s v="New Delhi"/>
    <x v="3"/>
    <s v="Cleaning"/>
    <x v="15"/>
    <n v="3"/>
    <n v="7571.6"/>
    <n v="0.05"/>
    <n v="21579.06"/>
    <n v="15137.79"/>
    <n v="6441.27"/>
    <x v="2"/>
    <n v="0.29849632004359777"/>
    <x v="0"/>
    <x v="1"/>
    <x v="1"/>
    <s v="Q1"/>
  </r>
  <r>
    <s v="ORD102048"/>
    <x v="44"/>
    <s v="CUST1398"/>
    <s v="Diya Patel"/>
    <x v="1"/>
    <s v="Delhi"/>
    <s v="New Delhi"/>
    <x v="3"/>
    <s v="Kitchen"/>
    <x v="7"/>
    <n v="4"/>
    <n v="1744"/>
    <n v="0.1"/>
    <n v="6278.4"/>
    <n v="3703.18"/>
    <n v="2575.2199999999998"/>
    <x v="0"/>
    <n v="0.41017138124362901"/>
    <x v="0"/>
    <x v="1"/>
    <x v="1"/>
    <s v="Q1"/>
  </r>
  <r>
    <s v="ORD101065"/>
    <x v="45"/>
    <s v="CUST1308"/>
    <s v="Arjun Rao"/>
    <x v="2"/>
    <s v="Telangana"/>
    <s v="Warangal"/>
    <x v="0"/>
    <s v="Accessories"/>
    <x v="6"/>
    <n v="1"/>
    <n v="846.2"/>
    <n v="0.05"/>
    <n v="803.89"/>
    <n v="520.15"/>
    <n v="283.74"/>
    <x v="3"/>
    <n v="0.35295873813581458"/>
    <x v="0"/>
    <x v="1"/>
    <x v="1"/>
    <s v="Q1"/>
  </r>
  <r>
    <s v="ORD100462"/>
    <x v="45"/>
    <s v="CUST1135"/>
    <s v="Rahul Naidu"/>
    <x v="0"/>
    <s v="Maharashtra"/>
    <s v="Nashik"/>
    <x v="2"/>
    <s v="Office"/>
    <x v="10"/>
    <n v="1"/>
    <n v="6869.66"/>
    <n v="0.15"/>
    <n v="5839.21"/>
    <n v="4545.34"/>
    <n v="1293.8699999999999"/>
    <x v="2"/>
    <n v="0.2215830566121102"/>
    <x v="0"/>
    <x v="1"/>
    <x v="1"/>
    <s v="Q1"/>
  </r>
  <r>
    <s v="ORD101540"/>
    <x v="45"/>
    <s v="CUST1086"/>
    <s v="Pooja Joshi"/>
    <x v="2"/>
    <s v="Tamil Nadu"/>
    <s v="Salem"/>
    <x v="0"/>
    <s v="Computers"/>
    <x v="3"/>
    <n v="3"/>
    <n v="16438.189999999999"/>
    <n v="0.1"/>
    <n v="44383.11"/>
    <n v="36561.360000000001"/>
    <n v="7821.75"/>
    <x v="4"/>
    <n v="0.1762325803667206"/>
    <x v="0"/>
    <x v="1"/>
    <x v="1"/>
    <s v="Q1"/>
  </r>
  <r>
    <s v="ORD102196"/>
    <x v="46"/>
    <s v="CUST1433"/>
    <s v="Pooja Rao"/>
    <x v="1"/>
    <s v="Delhi"/>
    <s v="New Delhi"/>
    <x v="2"/>
    <s v="Office"/>
    <x v="14"/>
    <n v="2"/>
    <n v="8090.1"/>
    <n v="0.1"/>
    <n v="14562.18"/>
    <n v="11036.56"/>
    <n v="3525.62"/>
    <x v="2"/>
    <n v="0.24210798108524961"/>
    <x v="0"/>
    <x v="1"/>
    <x v="1"/>
    <s v="Q1"/>
  </r>
  <r>
    <s v="ORD102002"/>
    <x v="46"/>
    <s v="CUST1541"/>
    <s v="Vikram Sharma"/>
    <x v="2"/>
    <s v="Tamil Nadu"/>
    <s v="Coimbatore"/>
    <x v="0"/>
    <s v="Computers"/>
    <x v="3"/>
    <n v="1"/>
    <n v="16907.169999999998"/>
    <n v="0"/>
    <n v="16907.169999999998"/>
    <n v="12805.75"/>
    <n v="4101.42"/>
    <x v="1"/>
    <n v="0.24258465491267911"/>
    <x v="0"/>
    <x v="1"/>
    <x v="1"/>
    <s v="Q1"/>
  </r>
  <r>
    <s v="ORD101439"/>
    <x v="46"/>
    <s v="CUST1420"/>
    <s v="Aditya Kumar"/>
    <x v="2"/>
    <s v="Telangana"/>
    <s v="Nizamabad"/>
    <x v="1"/>
    <s v="Stationery"/>
    <x v="17"/>
    <n v="1"/>
    <n v="299.35000000000002"/>
    <n v="0"/>
    <n v="299.35000000000002"/>
    <n v="129.51"/>
    <n v="169.84"/>
    <x v="3"/>
    <n v="0.56736261900785034"/>
    <x v="0"/>
    <x v="1"/>
    <x v="1"/>
    <s v="Q1"/>
  </r>
  <r>
    <s v="ORD100499"/>
    <x v="47"/>
    <s v="CUST1407"/>
    <s v="Meera Iyer"/>
    <x v="2"/>
    <s v="Tamil Nadu"/>
    <s v="Salem"/>
    <x v="1"/>
    <s v="Storage"/>
    <x v="9"/>
    <n v="1"/>
    <n v="521.04999999999995"/>
    <n v="0.05"/>
    <n v="495"/>
    <n v="235.17"/>
    <n v="259.83"/>
    <x v="4"/>
    <n v="0.52490909090909088"/>
    <x v="0"/>
    <x v="1"/>
    <x v="1"/>
    <s v="Q1"/>
  </r>
  <r>
    <s v="ORD101491"/>
    <x v="47"/>
    <s v="CUST1334"/>
    <s v="Varun Rao"/>
    <x v="1"/>
    <s v="Delhi"/>
    <s v="New Delhi"/>
    <x v="0"/>
    <s v="Audio"/>
    <x v="8"/>
    <n v="3"/>
    <n v="3139.95"/>
    <n v="0.05"/>
    <n v="8948.86"/>
    <n v="4809.76"/>
    <n v="4139.1000000000004"/>
    <x v="2"/>
    <n v="0.46252818794796208"/>
    <x v="0"/>
    <x v="1"/>
    <x v="1"/>
    <s v="Q1"/>
  </r>
  <r>
    <s v="ORD101385"/>
    <x v="47"/>
    <s v="CUST1478"/>
    <s v="Priya Patel"/>
    <x v="2"/>
    <s v="Telangana"/>
    <s v="Karimnagar"/>
    <x v="2"/>
    <s v="Living Room"/>
    <x v="16"/>
    <n v="3"/>
    <n v="3764.75"/>
    <n v="0.15"/>
    <n v="9600.11"/>
    <n v="6957.56"/>
    <n v="2642.55"/>
    <x v="0"/>
    <n v="0.27526247095085371"/>
    <x v="0"/>
    <x v="1"/>
    <x v="1"/>
    <s v="Q1"/>
  </r>
  <r>
    <s v="ORD102377"/>
    <x v="48"/>
    <s v="CUST1047"/>
    <s v="Varun Sharma"/>
    <x v="0"/>
    <s v="Maharashtra"/>
    <s v="Pune"/>
    <x v="0"/>
    <s v="Accessories"/>
    <x v="5"/>
    <n v="2"/>
    <n v="2438.77"/>
    <n v="0.1"/>
    <n v="4389.79"/>
    <n v="2605.5500000000002"/>
    <n v="1784.24"/>
    <x v="1"/>
    <n v="0.40645224486820553"/>
    <x v="0"/>
    <x v="1"/>
    <x v="1"/>
    <s v="Q1"/>
  </r>
  <r>
    <s v="ORD101840"/>
    <x v="48"/>
    <s v="CUST1160"/>
    <s v="Aarav Gupta"/>
    <x v="0"/>
    <s v="Maharashtra"/>
    <s v="Pune"/>
    <x v="0"/>
    <s v="Audio"/>
    <x v="11"/>
    <n v="5"/>
    <n v="2100.15"/>
    <n v="0.15"/>
    <n v="8925.64"/>
    <n v="6197.82"/>
    <n v="2727.82"/>
    <x v="2"/>
    <n v="0.30561617990418621"/>
    <x v="0"/>
    <x v="1"/>
    <x v="1"/>
    <s v="Q1"/>
  </r>
  <r>
    <s v="ORD101913"/>
    <x v="49"/>
    <s v="CUST1337"/>
    <s v="Nikhil Rao"/>
    <x v="1"/>
    <s v="Delhi"/>
    <s v="New Delhi"/>
    <x v="0"/>
    <s v="Computers"/>
    <x v="3"/>
    <n v="1"/>
    <n v="16228.84"/>
    <n v="0"/>
    <n v="16228.84"/>
    <n v="11769.8"/>
    <n v="4459.04"/>
    <x v="0"/>
    <n v="0.27476024164388829"/>
    <x v="0"/>
    <x v="1"/>
    <x v="1"/>
    <s v="Q1"/>
  </r>
  <r>
    <s v="ORD102407"/>
    <x v="49"/>
    <s v="CUST1159"/>
    <s v="Pooja Reddy"/>
    <x v="0"/>
    <s v="Maharashtra"/>
    <s v="Pune"/>
    <x v="3"/>
    <s v="Kitchen"/>
    <x v="13"/>
    <n v="2"/>
    <n v="3375.63"/>
    <n v="0"/>
    <n v="6751.26"/>
    <n v="3974.87"/>
    <n v="2776.39"/>
    <x v="4"/>
    <n v="0.41124027218622888"/>
    <x v="0"/>
    <x v="1"/>
    <x v="1"/>
    <s v="Q1"/>
  </r>
  <r>
    <s v="ORD100497"/>
    <x v="50"/>
    <s v="CUST1486"/>
    <s v="Rahul Verma"/>
    <x v="2"/>
    <s v="Telangana"/>
    <s v="Nizamabad"/>
    <x v="2"/>
    <s v="Office"/>
    <x v="14"/>
    <n v="6"/>
    <n v="8174.4"/>
    <n v="0.1"/>
    <n v="44141.760000000002"/>
    <n v="32055.1"/>
    <n v="12086.66"/>
    <x v="0"/>
    <n v="0.27381463720522242"/>
    <x v="0"/>
    <x v="1"/>
    <x v="1"/>
    <s v="Q1"/>
  </r>
  <r>
    <s v="ORD100792"/>
    <x v="50"/>
    <s v="CUST1376"/>
    <s v="Meera Joshi"/>
    <x v="2"/>
    <s v="Tamil Nadu"/>
    <s v="Coimbatore"/>
    <x v="2"/>
    <s v="Office"/>
    <x v="10"/>
    <n v="2"/>
    <n v="6810.14"/>
    <n v="0"/>
    <n v="13620.28"/>
    <n v="8892.65"/>
    <n v="4727.63"/>
    <x v="2"/>
    <n v="0.34710226221487372"/>
    <x v="0"/>
    <x v="1"/>
    <x v="1"/>
    <s v="Q1"/>
  </r>
  <r>
    <s v="ORD101459"/>
    <x v="50"/>
    <s v="CUST1468"/>
    <s v="Neha Iyer"/>
    <x v="2"/>
    <s v="Karnataka"/>
    <s v="Bengaluru"/>
    <x v="2"/>
    <s v="Living Room"/>
    <x v="4"/>
    <n v="2"/>
    <n v="4923.8"/>
    <n v="0.05"/>
    <n v="9355.2199999999993"/>
    <n v="5811.81"/>
    <n v="3543.41"/>
    <x v="1"/>
    <n v="0.37876287249257629"/>
    <x v="0"/>
    <x v="1"/>
    <x v="1"/>
    <s v="Q1"/>
  </r>
  <r>
    <s v="ORD100559"/>
    <x v="50"/>
    <s v="CUST1597"/>
    <s v="Ananya Nair"/>
    <x v="2"/>
    <s v="Tamil Nadu"/>
    <s v="Coimbatore"/>
    <x v="2"/>
    <s v="Living Room"/>
    <x v="16"/>
    <n v="1"/>
    <n v="4055.21"/>
    <n v="0.05"/>
    <n v="3852.45"/>
    <n v="2630.18"/>
    <n v="1222.27"/>
    <x v="2"/>
    <n v="0.31727082765512848"/>
    <x v="0"/>
    <x v="1"/>
    <x v="1"/>
    <s v="Q1"/>
  </r>
  <r>
    <s v="ORD101315"/>
    <x v="50"/>
    <s v="CUST1219"/>
    <s v="Vikram Mehta"/>
    <x v="2"/>
    <s v="Tamil Nadu"/>
    <s v="Salem"/>
    <x v="1"/>
    <s v="Stationery"/>
    <x v="1"/>
    <n v="3"/>
    <n v="262.64"/>
    <n v="0.15"/>
    <n v="669.73"/>
    <n v="301.33999999999997"/>
    <n v="368.39"/>
    <x v="1"/>
    <n v="0.55005748585250769"/>
    <x v="0"/>
    <x v="1"/>
    <x v="1"/>
    <s v="Q1"/>
  </r>
  <r>
    <s v="ORD101423"/>
    <x v="51"/>
    <s v="CUST1170"/>
    <s v="Priya Rao"/>
    <x v="1"/>
    <s v="Delhi"/>
    <s v="New Delhi"/>
    <x v="0"/>
    <s v="Accessories"/>
    <x v="5"/>
    <n v="3"/>
    <n v="2420.44"/>
    <n v="0.1"/>
    <n v="6535.19"/>
    <n v="3927.52"/>
    <n v="2607.67"/>
    <x v="2"/>
    <n v="0.39901976836174619"/>
    <x v="0"/>
    <x v="1"/>
    <x v="1"/>
    <s v="Q1"/>
  </r>
  <r>
    <s v="ORD101860"/>
    <x v="51"/>
    <s v="CUST1015"/>
    <s v="Rohan Sharma"/>
    <x v="1"/>
    <s v="Delhi"/>
    <s v="New Delhi"/>
    <x v="2"/>
    <s v="Office"/>
    <x v="10"/>
    <n v="6"/>
    <n v="7257.09"/>
    <n v="0.1"/>
    <n v="39188.29"/>
    <n v="28592.63"/>
    <n v="10595.66"/>
    <x v="0"/>
    <n v="0.27037821757468877"/>
    <x v="0"/>
    <x v="1"/>
    <x v="1"/>
    <s v="Q1"/>
  </r>
  <r>
    <s v="ORD100624"/>
    <x v="51"/>
    <s v="CUST1399"/>
    <s v="Pooja Das"/>
    <x v="1"/>
    <s v="Delhi"/>
    <s v="New Delhi"/>
    <x v="3"/>
    <s v="Cleaning"/>
    <x v="12"/>
    <n v="1"/>
    <n v="12363.44"/>
    <n v="0.05"/>
    <n v="11745.27"/>
    <n v="8940.15"/>
    <n v="2805.12"/>
    <x v="0"/>
    <n v="0.23882975870286499"/>
    <x v="0"/>
    <x v="1"/>
    <x v="1"/>
    <s v="Q1"/>
  </r>
  <r>
    <s v="ORD102388"/>
    <x v="51"/>
    <s v="CUST1164"/>
    <s v="Vikram Singh"/>
    <x v="1"/>
    <s v="Delhi"/>
    <s v="New Delhi"/>
    <x v="3"/>
    <s v="Kitchen"/>
    <x v="13"/>
    <n v="3"/>
    <n v="3133"/>
    <n v="0.05"/>
    <n v="8929.0499999999993"/>
    <n v="5171.7700000000004"/>
    <n v="3757.28"/>
    <x v="3"/>
    <n v="0.42079280550562498"/>
    <x v="0"/>
    <x v="1"/>
    <x v="1"/>
    <s v="Q1"/>
  </r>
  <r>
    <s v="ORD101256"/>
    <x v="52"/>
    <s v="CUST1493"/>
    <s v="Rohan Malhotra"/>
    <x v="2"/>
    <s v="Karnataka"/>
    <s v="Bengaluru"/>
    <x v="0"/>
    <s v="Audio"/>
    <x v="8"/>
    <n v="1"/>
    <n v="3105.38"/>
    <n v="0"/>
    <n v="3105.38"/>
    <n v="1588.03"/>
    <n v="1517.35"/>
    <x v="2"/>
    <n v="0.48861975023990623"/>
    <x v="0"/>
    <x v="1"/>
    <x v="1"/>
    <s v="Q1"/>
  </r>
  <r>
    <s v="ORD102070"/>
    <x v="52"/>
    <s v="CUST1072"/>
    <s v="Neha Naidu"/>
    <x v="3"/>
    <s v="West Bengal"/>
    <s v="Siliguri"/>
    <x v="0"/>
    <s v="Accessories"/>
    <x v="5"/>
    <n v="3"/>
    <n v="2563.71"/>
    <n v="0"/>
    <n v="7691.13"/>
    <n v="4224.74"/>
    <n v="3466.39"/>
    <x v="3"/>
    <n v="0.4506997021243952"/>
    <x v="0"/>
    <x v="1"/>
    <x v="1"/>
    <s v="Q1"/>
  </r>
  <r>
    <s v="ORD100074"/>
    <x v="52"/>
    <s v="CUST1516"/>
    <s v="Aditya Reddy"/>
    <x v="2"/>
    <s v="Telangana"/>
    <s v="Karimnagar"/>
    <x v="2"/>
    <s v="Living Room"/>
    <x v="4"/>
    <n v="6"/>
    <n v="5285.69"/>
    <n v="0.1"/>
    <n v="28542.73"/>
    <n v="19208.78"/>
    <n v="9333.9500000000007"/>
    <x v="2"/>
    <n v="0.32701672194635911"/>
    <x v="0"/>
    <x v="1"/>
    <x v="1"/>
    <s v="Q1"/>
  </r>
  <r>
    <s v="ORD101474"/>
    <x v="52"/>
    <s v="CUST1464"/>
    <s v="Rohan Sharma"/>
    <x v="2"/>
    <s v="Karnataka"/>
    <s v="Hubballi"/>
    <x v="2"/>
    <s v="Living Room"/>
    <x v="16"/>
    <n v="5"/>
    <n v="4078.7"/>
    <n v="0.05"/>
    <n v="19373.830000000002"/>
    <n v="12490.78"/>
    <n v="6883.05"/>
    <x v="1"/>
    <n v="0.35527564761330099"/>
    <x v="0"/>
    <x v="1"/>
    <x v="1"/>
    <s v="Q1"/>
  </r>
  <r>
    <s v="ORD101028"/>
    <x v="53"/>
    <s v="CUST1179"/>
    <s v="Pooja Naidu"/>
    <x v="2"/>
    <s v="Telangana"/>
    <s v="Hyderabad"/>
    <x v="0"/>
    <s v="Computers"/>
    <x v="0"/>
    <n v="2"/>
    <n v="58860.58"/>
    <n v="0.05"/>
    <n v="111835.1"/>
    <n v="105775.81"/>
    <n v="6059.29"/>
    <x v="0"/>
    <n v="5.4180574792708193E-2"/>
    <x v="0"/>
    <x v="1"/>
    <x v="1"/>
    <s v="Q1"/>
  </r>
  <r>
    <s v="ORD101268"/>
    <x v="53"/>
    <s v="CUST1218"/>
    <s v="Pooja Nair"/>
    <x v="1"/>
    <s v="Delhi"/>
    <s v="New Delhi"/>
    <x v="0"/>
    <s v="Accessories"/>
    <x v="6"/>
    <n v="2"/>
    <n v="807.21"/>
    <n v="0.05"/>
    <n v="1533.7"/>
    <n v="972.88"/>
    <n v="560.82000000000005"/>
    <x v="2"/>
    <n v="0.36566473234661279"/>
    <x v="0"/>
    <x v="1"/>
    <x v="1"/>
    <s v="Q1"/>
  </r>
  <r>
    <s v="ORD100590"/>
    <x v="54"/>
    <s v="CUST1133"/>
    <s v="Aisha Das"/>
    <x v="2"/>
    <s v="Tamil Nadu"/>
    <s v="Madurai"/>
    <x v="1"/>
    <s v="Stationery"/>
    <x v="1"/>
    <n v="3"/>
    <n v="241.08"/>
    <n v="0.05"/>
    <n v="687.08"/>
    <n v="275.52999999999997"/>
    <n v="411.55"/>
    <x v="0"/>
    <n v="0.59898410665424695"/>
    <x v="0"/>
    <x v="1"/>
    <x v="1"/>
    <s v="Q1"/>
  </r>
  <r>
    <s v="ORD101687"/>
    <x v="54"/>
    <s v="CUST1351"/>
    <s v="Nikhil Malhotra"/>
    <x v="2"/>
    <s v="Telangana"/>
    <s v="Nizamabad"/>
    <x v="3"/>
    <s v="Kitchen"/>
    <x v="7"/>
    <n v="1"/>
    <n v="1717.67"/>
    <n v="0"/>
    <n v="1717.67"/>
    <n v="922.29"/>
    <n v="795.38"/>
    <x v="2"/>
    <n v="0.46305751395786149"/>
    <x v="0"/>
    <x v="1"/>
    <x v="1"/>
    <s v="Q1"/>
  </r>
  <r>
    <s v="ORD102421"/>
    <x v="54"/>
    <s v="CUST1535"/>
    <s v="Rahul Verma"/>
    <x v="2"/>
    <s v="Karnataka"/>
    <s v="Mysuru"/>
    <x v="3"/>
    <s v="Kitchen"/>
    <x v="7"/>
    <n v="2"/>
    <n v="1768.48"/>
    <n v="0.15"/>
    <n v="3006.42"/>
    <n v="1837.7"/>
    <n v="1168.72"/>
    <x v="0"/>
    <n v="0.38874142668023759"/>
    <x v="0"/>
    <x v="1"/>
    <x v="1"/>
    <s v="Q1"/>
  </r>
  <r>
    <s v="ORD101585"/>
    <x v="54"/>
    <s v="CUST1440"/>
    <s v="Meera Joshi"/>
    <x v="2"/>
    <s v="Karnataka"/>
    <s v="Mangaluru"/>
    <x v="0"/>
    <s v="Audio"/>
    <x v="8"/>
    <n v="1"/>
    <n v="2872.04"/>
    <n v="0.1"/>
    <n v="2584.84"/>
    <n v="1463.06"/>
    <n v="1121.78"/>
    <x v="0"/>
    <n v="0.43398430850652259"/>
    <x v="0"/>
    <x v="1"/>
    <x v="1"/>
    <s v="Q1"/>
  </r>
  <r>
    <s v="ORD101874"/>
    <x v="55"/>
    <s v="CUST1535"/>
    <s v="Varun Das"/>
    <x v="3"/>
    <s v="West Bengal"/>
    <s v="Durgapur"/>
    <x v="1"/>
    <s v="Storage"/>
    <x v="2"/>
    <n v="1"/>
    <n v="709.14"/>
    <n v="0.1"/>
    <n v="638.23"/>
    <n v="342.97"/>
    <n v="295.26"/>
    <x v="2"/>
    <n v="0.46262319226611093"/>
    <x v="0"/>
    <x v="1"/>
    <x v="1"/>
    <s v="Q1"/>
  </r>
  <r>
    <s v="ORD100410"/>
    <x v="56"/>
    <s v="CUST1545"/>
    <s v="Varun Naidu"/>
    <x v="2"/>
    <s v="Tamil Nadu"/>
    <s v="Coimbatore"/>
    <x v="3"/>
    <s v="Cleaning"/>
    <x v="15"/>
    <n v="5"/>
    <n v="7446.94"/>
    <n v="0.1"/>
    <n v="33511.230000000003"/>
    <n v="24599.94"/>
    <n v="8911.2900000000009"/>
    <x v="1"/>
    <n v="0.26591951414495979"/>
    <x v="0"/>
    <x v="1"/>
    <x v="1"/>
    <s v="Q1"/>
  </r>
  <r>
    <s v="ORD101122"/>
    <x v="56"/>
    <s v="CUST1597"/>
    <s v="Nikhil Rao"/>
    <x v="2"/>
    <s v="Telangana"/>
    <s v="Hyderabad"/>
    <x v="0"/>
    <s v="Computers"/>
    <x v="0"/>
    <n v="2"/>
    <n v="62272.06"/>
    <n v="0.1"/>
    <n v="112089.71"/>
    <n v="109544.57"/>
    <n v="2545.14"/>
    <x v="4"/>
    <n v="2.2706276963335881E-2"/>
    <x v="0"/>
    <x v="1"/>
    <x v="1"/>
    <s v="Q1"/>
  </r>
  <r>
    <s v="ORD102148"/>
    <x v="56"/>
    <s v="CUST1198"/>
    <s v="Neha Verma"/>
    <x v="3"/>
    <s v="West Bengal"/>
    <s v="Siliguri"/>
    <x v="0"/>
    <s v="Computers"/>
    <x v="0"/>
    <n v="1"/>
    <n v="56912.959999999999"/>
    <n v="0.1"/>
    <n v="51221.66"/>
    <n v="51561.45"/>
    <n v="-339.79"/>
    <x v="2"/>
    <n v="-6.6337170642263446E-3"/>
    <x v="0"/>
    <x v="1"/>
    <x v="1"/>
    <s v="Q1"/>
  </r>
  <r>
    <s v="ORD101692"/>
    <x v="56"/>
    <s v="CUST1320"/>
    <s v="Varun Naidu"/>
    <x v="3"/>
    <s v="West Bengal"/>
    <s v="Kolkata"/>
    <x v="0"/>
    <s v="Audio"/>
    <x v="8"/>
    <n v="2"/>
    <n v="3040.65"/>
    <n v="0.05"/>
    <n v="5777.23"/>
    <n v="3264.81"/>
    <n v="2512.42"/>
    <x v="2"/>
    <n v="0.43488315334511529"/>
    <x v="0"/>
    <x v="1"/>
    <x v="1"/>
    <s v="Q1"/>
  </r>
  <r>
    <s v="ORD101669"/>
    <x v="56"/>
    <s v="CUST1104"/>
    <s v="Varun Naidu"/>
    <x v="3"/>
    <s v="West Bengal"/>
    <s v="Durgapur"/>
    <x v="2"/>
    <s v="Living Room"/>
    <x v="4"/>
    <n v="2"/>
    <n v="5041.74"/>
    <n v="0.15"/>
    <n v="8570.9599999999991"/>
    <n v="6061.79"/>
    <n v="2509.17"/>
    <x v="0"/>
    <n v="0.29275250380354129"/>
    <x v="0"/>
    <x v="1"/>
    <x v="1"/>
    <s v="Q1"/>
  </r>
  <r>
    <s v="ORD101150"/>
    <x v="57"/>
    <s v="CUST1470"/>
    <s v="Priya Naidu"/>
    <x v="0"/>
    <s v="Maharashtra"/>
    <s v="Nashik"/>
    <x v="1"/>
    <s v="Stationery"/>
    <x v="1"/>
    <n v="3"/>
    <n v="245.23"/>
    <n v="0"/>
    <n v="735.69"/>
    <n v="285.02999999999997"/>
    <n v="450.66"/>
    <x v="1"/>
    <n v="0.61256779349997958"/>
    <x v="0"/>
    <x v="2"/>
    <x v="2"/>
    <s v="Q1"/>
  </r>
  <r>
    <s v="ORD100602"/>
    <x v="57"/>
    <s v="CUST1076"/>
    <s v="Aarav Nair"/>
    <x v="2"/>
    <s v="Karnataka"/>
    <s v="Mangaluru"/>
    <x v="3"/>
    <s v="Kitchen"/>
    <x v="7"/>
    <n v="1"/>
    <n v="1853.7"/>
    <n v="0.1"/>
    <n v="1668.33"/>
    <n v="1035.92"/>
    <n v="632.41"/>
    <x v="2"/>
    <n v="0.37906769044493588"/>
    <x v="0"/>
    <x v="2"/>
    <x v="2"/>
    <s v="Q1"/>
  </r>
  <r>
    <s v="ORD101407"/>
    <x v="57"/>
    <s v="CUST1064"/>
    <s v="Ananya Kumar"/>
    <x v="3"/>
    <s v="West Bengal"/>
    <s v="Durgapur"/>
    <x v="2"/>
    <s v="Office"/>
    <x v="14"/>
    <n v="6"/>
    <n v="8662.23"/>
    <n v="0.15"/>
    <n v="44177.37"/>
    <n v="36066.620000000003"/>
    <n v="8110.75"/>
    <x v="0"/>
    <n v="0.1835951302669217"/>
    <x v="0"/>
    <x v="2"/>
    <x v="2"/>
    <s v="Q1"/>
  </r>
  <r>
    <s v="ORD102470"/>
    <x v="58"/>
    <s v="CUST1095"/>
    <s v="Diya Joshi"/>
    <x v="0"/>
    <s v="Maharashtra"/>
    <s v="Nashik"/>
    <x v="0"/>
    <s v="Computers"/>
    <x v="0"/>
    <n v="2"/>
    <n v="56990.81"/>
    <n v="0"/>
    <n v="113981.62"/>
    <n v="103367.98"/>
    <n v="10613.64"/>
    <x v="0"/>
    <n v="9.3117118356450798E-2"/>
    <x v="0"/>
    <x v="2"/>
    <x v="2"/>
    <s v="Q1"/>
  </r>
  <r>
    <s v="ORD101685"/>
    <x v="58"/>
    <s v="CUST1122"/>
    <s v="Neha Nair"/>
    <x v="3"/>
    <s v="West Bengal"/>
    <s v="Siliguri"/>
    <x v="2"/>
    <s v="Office"/>
    <x v="10"/>
    <n v="3"/>
    <n v="7100.78"/>
    <n v="0.1"/>
    <n v="19172.11"/>
    <n v="13666.08"/>
    <n v="5506.03"/>
    <x v="4"/>
    <n v="0.28718956859730088"/>
    <x v="0"/>
    <x v="2"/>
    <x v="2"/>
    <s v="Q1"/>
  </r>
  <r>
    <s v="ORD101774"/>
    <x v="58"/>
    <s v="CUST1367"/>
    <s v="Meera Das"/>
    <x v="2"/>
    <s v="Tamil Nadu"/>
    <s v="Salem"/>
    <x v="3"/>
    <s v="Kitchen"/>
    <x v="7"/>
    <n v="1"/>
    <n v="1814.25"/>
    <n v="0.1"/>
    <n v="1632.83"/>
    <n v="989.53"/>
    <n v="643.29999999999995"/>
    <x v="1"/>
    <n v="0.39397855257436482"/>
    <x v="0"/>
    <x v="2"/>
    <x v="2"/>
    <s v="Q1"/>
  </r>
  <r>
    <s v="ORD100769"/>
    <x v="58"/>
    <s v="CUST1326"/>
    <s v="Rohan Verma"/>
    <x v="2"/>
    <s v="Telangana"/>
    <s v="Nizamabad"/>
    <x v="0"/>
    <s v="Computers"/>
    <x v="0"/>
    <n v="1"/>
    <n v="60447.82"/>
    <n v="0.2"/>
    <n v="48358.26"/>
    <n v="51281.93"/>
    <n v="-2923.67"/>
    <x v="0"/>
    <n v="-6.0458544207339128E-2"/>
    <x v="0"/>
    <x v="2"/>
    <x v="2"/>
    <s v="Q1"/>
  </r>
  <r>
    <s v="ORD101237"/>
    <x v="58"/>
    <s v="CUST1144"/>
    <s v="Diya Reddy"/>
    <x v="2"/>
    <s v="Tamil Nadu"/>
    <s v="Madurai"/>
    <x v="3"/>
    <s v="Cleaning"/>
    <x v="15"/>
    <n v="1"/>
    <n v="7543.43"/>
    <n v="0.15"/>
    <n v="6411.92"/>
    <n v="5014.13"/>
    <n v="1397.79"/>
    <x v="3"/>
    <n v="0.2179986649864627"/>
    <x v="0"/>
    <x v="2"/>
    <x v="2"/>
    <s v="Q1"/>
  </r>
  <r>
    <s v="ORD102176"/>
    <x v="58"/>
    <s v="CUST1596"/>
    <s v="Neha Singh"/>
    <x v="3"/>
    <s v="West Bengal"/>
    <s v="Siliguri"/>
    <x v="1"/>
    <s v="Stationery"/>
    <x v="17"/>
    <n v="1"/>
    <n v="313.19"/>
    <n v="0.05"/>
    <n v="297.52999999999997"/>
    <n v="126.4"/>
    <n v="171.13"/>
    <x v="1"/>
    <n v="0.57516889053204723"/>
    <x v="0"/>
    <x v="2"/>
    <x v="2"/>
    <s v="Q1"/>
  </r>
  <r>
    <s v="ORD101734"/>
    <x v="59"/>
    <s v="CUST1486"/>
    <s v="Nikhil Verma"/>
    <x v="2"/>
    <s v="Tamil Nadu"/>
    <s v="Salem"/>
    <x v="0"/>
    <s v="Audio"/>
    <x v="8"/>
    <n v="1"/>
    <n v="3061.56"/>
    <n v="0.1"/>
    <n v="2755.4"/>
    <n v="1563.24"/>
    <n v="1192.1600000000001"/>
    <x v="0"/>
    <n v="0.43266313420918923"/>
    <x v="0"/>
    <x v="2"/>
    <x v="2"/>
    <s v="Q1"/>
  </r>
  <r>
    <s v="ORD100316"/>
    <x v="59"/>
    <s v="CUST1379"/>
    <s v="Meera Singh"/>
    <x v="2"/>
    <s v="Tamil Nadu"/>
    <s v="Madurai"/>
    <x v="1"/>
    <s v="Storage"/>
    <x v="2"/>
    <n v="2"/>
    <n v="728.66"/>
    <n v="0.15"/>
    <n v="1238.72"/>
    <n v="665.95"/>
    <n v="572.77"/>
    <x v="1"/>
    <n v="0.46238859467837767"/>
    <x v="0"/>
    <x v="2"/>
    <x v="2"/>
    <s v="Q1"/>
  </r>
  <r>
    <s v="ORD102110"/>
    <x v="59"/>
    <s v="CUST1055"/>
    <s v="Aarav Malhotra"/>
    <x v="2"/>
    <s v="Tamil Nadu"/>
    <s v="Coimbatore"/>
    <x v="3"/>
    <s v="Cleaning"/>
    <x v="15"/>
    <n v="3"/>
    <n v="7420.48"/>
    <n v="0.15"/>
    <n v="18922.22"/>
    <n v="14362.28"/>
    <n v="4559.9399999999996"/>
    <x v="0"/>
    <n v="0.24098335184772179"/>
    <x v="0"/>
    <x v="2"/>
    <x v="2"/>
    <s v="Q1"/>
  </r>
  <r>
    <s v="ORD101378"/>
    <x v="59"/>
    <s v="CUST1400"/>
    <s v="Varun Sharma"/>
    <x v="0"/>
    <s v="Maharashtra"/>
    <s v="Nagpur"/>
    <x v="2"/>
    <s v="Office"/>
    <x v="10"/>
    <n v="2"/>
    <n v="6967.6"/>
    <n v="0"/>
    <n v="13935.2"/>
    <n v="9026.74"/>
    <n v="4908.46"/>
    <x v="0"/>
    <n v="0.35223462885355072"/>
    <x v="0"/>
    <x v="2"/>
    <x v="2"/>
    <s v="Q1"/>
  </r>
  <r>
    <s v="ORD102204"/>
    <x v="60"/>
    <s v="CUST1072"/>
    <s v="Diya Nair"/>
    <x v="2"/>
    <s v="Telangana"/>
    <s v="Nizamabad"/>
    <x v="1"/>
    <s v="Storage"/>
    <x v="9"/>
    <n v="1"/>
    <n v="508.73"/>
    <n v="0.1"/>
    <n v="457.86"/>
    <n v="236.21"/>
    <n v="221.65"/>
    <x v="3"/>
    <n v="0.4840999432140829"/>
    <x v="0"/>
    <x v="2"/>
    <x v="2"/>
    <s v="Q1"/>
  </r>
  <r>
    <s v="ORD100235"/>
    <x v="60"/>
    <s v="CUST1491"/>
    <s v="Pooja Kumar"/>
    <x v="0"/>
    <s v="Maharashtra"/>
    <s v="Mumbai"/>
    <x v="2"/>
    <s v="Living Room"/>
    <x v="4"/>
    <n v="3"/>
    <n v="4741.8"/>
    <n v="0.05"/>
    <n v="13514.13"/>
    <n v="8660.35"/>
    <n v="4853.78"/>
    <x v="0"/>
    <n v="0.35916333496865871"/>
    <x v="0"/>
    <x v="2"/>
    <x v="2"/>
    <s v="Q1"/>
  </r>
  <r>
    <s v="ORD102064"/>
    <x v="60"/>
    <s v="CUST1117"/>
    <s v="Nikhil Singh"/>
    <x v="2"/>
    <s v="Telangana"/>
    <s v="Warangal"/>
    <x v="1"/>
    <s v="Storage"/>
    <x v="9"/>
    <n v="1"/>
    <n v="514.82000000000005"/>
    <n v="0.1"/>
    <n v="463.34"/>
    <n v="239.95"/>
    <n v="223.39"/>
    <x v="0"/>
    <n v="0.48212975352872622"/>
    <x v="0"/>
    <x v="2"/>
    <x v="2"/>
    <s v="Q1"/>
  </r>
  <r>
    <s v="ORD100728"/>
    <x v="60"/>
    <s v="CUST1474"/>
    <s v="Aarav Das"/>
    <x v="2"/>
    <s v="Tamil Nadu"/>
    <s v="Chennai"/>
    <x v="0"/>
    <s v="Accessories"/>
    <x v="6"/>
    <n v="2"/>
    <n v="814.4"/>
    <n v="0.15"/>
    <n v="1384.48"/>
    <n v="985.49"/>
    <n v="398.99"/>
    <x v="0"/>
    <n v="0.28818762278978388"/>
    <x v="0"/>
    <x v="2"/>
    <x v="2"/>
    <s v="Q1"/>
  </r>
  <r>
    <s v="ORD100824"/>
    <x v="61"/>
    <s v="CUST1587"/>
    <s v="Vikram Naidu"/>
    <x v="1"/>
    <s v="Delhi"/>
    <s v="Delhi"/>
    <x v="1"/>
    <s v="Storage"/>
    <x v="2"/>
    <n v="2"/>
    <n v="719.3"/>
    <n v="0.15"/>
    <n v="1222.81"/>
    <n v="689.29"/>
    <n v="533.52"/>
    <x v="2"/>
    <n v="0.43630653985492429"/>
    <x v="0"/>
    <x v="2"/>
    <x v="2"/>
    <s v="Q1"/>
  </r>
  <r>
    <s v="ORD101324"/>
    <x v="61"/>
    <s v="CUST1508"/>
    <s v="Rahul Patel"/>
    <x v="1"/>
    <s v="Delhi"/>
    <s v="Delhi"/>
    <x v="0"/>
    <s v="Computers"/>
    <x v="0"/>
    <n v="2"/>
    <n v="59202.37"/>
    <n v="0.05"/>
    <n v="112484.5"/>
    <n v="103883.65"/>
    <n v="8600.85"/>
    <x v="0"/>
    <n v="7.6462534838133256E-2"/>
    <x v="0"/>
    <x v="2"/>
    <x v="2"/>
    <s v="Q1"/>
  </r>
  <r>
    <s v="ORD102046"/>
    <x v="61"/>
    <s v="CUST1392"/>
    <s v="Kiran Malhotra"/>
    <x v="2"/>
    <s v="Tamil Nadu"/>
    <s v="Coimbatore"/>
    <x v="3"/>
    <s v="Kitchen"/>
    <x v="13"/>
    <n v="1"/>
    <n v="3394.35"/>
    <n v="0"/>
    <n v="3394.35"/>
    <n v="1963.54"/>
    <n v="1430.81"/>
    <x v="2"/>
    <n v="0.42152694919498579"/>
    <x v="0"/>
    <x v="2"/>
    <x v="2"/>
    <s v="Q1"/>
  </r>
  <r>
    <s v="ORD101026"/>
    <x v="62"/>
    <s v="CUST1346"/>
    <s v="Aisha Sharma"/>
    <x v="2"/>
    <s v="Telangana"/>
    <s v="Hyderabad"/>
    <x v="1"/>
    <s v="Storage"/>
    <x v="9"/>
    <n v="1"/>
    <n v="480.74"/>
    <n v="0"/>
    <n v="480.74"/>
    <n v="208.65"/>
    <n v="272.08999999999997"/>
    <x v="1"/>
    <n v="0.56598161168199024"/>
    <x v="0"/>
    <x v="2"/>
    <x v="2"/>
    <s v="Q1"/>
  </r>
  <r>
    <s v="ORD101514"/>
    <x v="62"/>
    <s v="CUST1173"/>
    <s v="Kiran Das"/>
    <x v="0"/>
    <s v="Maharashtra"/>
    <s v="Nashik"/>
    <x v="3"/>
    <s v="Kitchen"/>
    <x v="7"/>
    <n v="1"/>
    <n v="1823.57"/>
    <n v="0"/>
    <n v="1823.57"/>
    <n v="1014.85"/>
    <n v="808.72"/>
    <x v="0"/>
    <n v="0.44348174185800382"/>
    <x v="0"/>
    <x v="2"/>
    <x v="2"/>
    <s v="Q1"/>
  </r>
  <r>
    <s v="ORD100618"/>
    <x v="63"/>
    <s v="CUST1312"/>
    <s v="Meera Sharma"/>
    <x v="2"/>
    <s v="Karnataka"/>
    <s v="Hubballi"/>
    <x v="1"/>
    <s v="Stationery"/>
    <x v="1"/>
    <n v="2"/>
    <n v="237.14"/>
    <n v="0.05"/>
    <n v="450.57"/>
    <n v="184.87"/>
    <n v="265.7"/>
    <x v="0"/>
    <n v="0.58969749428501672"/>
    <x v="0"/>
    <x v="2"/>
    <x v="2"/>
    <s v="Q1"/>
  </r>
  <r>
    <s v="ORD100408"/>
    <x v="63"/>
    <s v="CUST1516"/>
    <s v="Arjun Iyer"/>
    <x v="2"/>
    <s v="Telangana"/>
    <s v="Warangal"/>
    <x v="2"/>
    <s v="Living Room"/>
    <x v="4"/>
    <n v="4"/>
    <n v="4871.9399999999996"/>
    <n v="0"/>
    <n v="19487.759999999998"/>
    <n v="12126.54"/>
    <n v="7361.22"/>
    <x v="0"/>
    <n v="0.37773556324585278"/>
    <x v="0"/>
    <x v="2"/>
    <x v="2"/>
    <s v="Q1"/>
  </r>
  <r>
    <s v="ORD102279"/>
    <x v="63"/>
    <s v="CUST1539"/>
    <s v="Aditya Singh"/>
    <x v="1"/>
    <s v="Delhi"/>
    <s v="New Delhi"/>
    <x v="0"/>
    <s v="Audio"/>
    <x v="8"/>
    <n v="4"/>
    <n v="3140.62"/>
    <n v="0.05"/>
    <n v="11934.36"/>
    <n v="6730.18"/>
    <n v="5204.18"/>
    <x v="3"/>
    <n v="0.43606695289902431"/>
    <x v="0"/>
    <x v="2"/>
    <x v="2"/>
    <s v="Q1"/>
  </r>
  <r>
    <s v="ORD101771"/>
    <x v="64"/>
    <s v="CUST1137"/>
    <s v="Nikhil Malhotra"/>
    <x v="2"/>
    <s v="Karnataka"/>
    <s v="Hubballi"/>
    <x v="2"/>
    <s v="Office"/>
    <x v="10"/>
    <n v="2"/>
    <n v="7402.08"/>
    <n v="0.1"/>
    <n v="13323.74"/>
    <n v="9738.64"/>
    <n v="3585.1"/>
    <x v="2"/>
    <n v="0.26907610025413292"/>
    <x v="0"/>
    <x v="2"/>
    <x v="2"/>
    <s v="Q1"/>
  </r>
  <r>
    <s v="ORD100377"/>
    <x v="64"/>
    <s v="CUST1529"/>
    <s v="Varun Mehta"/>
    <x v="2"/>
    <s v="Karnataka"/>
    <s v="Mangaluru"/>
    <x v="1"/>
    <s v="Stationery"/>
    <x v="17"/>
    <n v="1"/>
    <n v="308.38"/>
    <n v="0.2"/>
    <n v="246.7"/>
    <n v="133.9"/>
    <n v="112.8"/>
    <x v="3"/>
    <n v="0.45723550871503849"/>
    <x v="0"/>
    <x v="2"/>
    <x v="2"/>
    <s v="Q1"/>
  </r>
  <r>
    <s v="ORD101075"/>
    <x v="64"/>
    <s v="CUST1268"/>
    <s v="Meera Reddy"/>
    <x v="2"/>
    <s v="Karnataka"/>
    <s v="Mangaluru"/>
    <x v="0"/>
    <s v="Accessories"/>
    <x v="6"/>
    <n v="3"/>
    <n v="807.37"/>
    <n v="0.05"/>
    <n v="2301"/>
    <n v="1444.75"/>
    <n v="856.25"/>
    <x v="1"/>
    <n v="0.37212081703607119"/>
    <x v="0"/>
    <x v="2"/>
    <x v="2"/>
    <s v="Q1"/>
  </r>
  <r>
    <s v="ORD101184"/>
    <x v="64"/>
    <s v="CUST1315"/>
    <s v="Aisha Joshi"/>
    <x v="3"/>
    <s v="West Bengal"/>
    <s v="Durgapur"/>
    <x v="0"/>
    <s v="Accessories"/>
    <x v="6"/>
    <n v="2"/>
    <n v="844.23"/>
    <n v="0.1"/>
    <n v="1519.61"/>
    <n v="1078.98"/>
    <n v="440.63"/>
    <x v="0"/>
    <n v="0.28996255618217842"/>
    <x v="0"/>
    <x v="2"/>
    <x v="2"/>
    <s v="Q1"/>
  </r>
  <r>
    <s v="ORD101683"/>
    <x v="65"/>
    <s v="CUST1380"/>
    <s v="Kavya Rao"/>
    <x v="2"/>
    <s v="Karnataka"/>
    <s v="Mysuru"/>
    <x v="3"/>
    <s v="Kitchen"/>
    <x v="13"/>
    <n v="3"/>
    <n v="3361.13"/>
    <n v="0.2"/>
    <n v="8066.71"/>
    <n v="5805.5"/>
    <n v="2261.21"/>
    <x v="2"/>
    <n v="0.28031378343835339"/>
    <x v="0"/>
    <x v="2"/>
    <x v="2"/>
    <s v="Q1"/>
  </r>
  <r>
    <s v="ORD100471"/>
    <x v="65"/>
    <s v="CUST1174"/>
    <s v="Priya Malhotra"/>
    <x v="2"/>
    <s v="Karnataka"/>
    <s v="Bengaluru"/>
    <x v="1"/>
    <s v="Storage"/>
    <x v="9"/>
    <n v="2"/>
    <n v="479.86"/>
    <n v="0.05"/>
    <n v="911.73"/>
    <n v="439.34"/>
    <n v="472.39"/>
    <x v="0"/>
    <n v="0.51812488346330599"/>
    <x v="0"/>
    <x v="2"/>
    <x v="2"/>
    <s v="Q1"/>
  </r>
  <r>
    <s v="ORD100362"/>
    <x v="66"/>
    <s v="CUST1565"/>
    <s v="Aarav Nair"/>
    <x v="2"/>
    <s v="Karnataka"/>
    <s v="Bengaluru"/>
    <x v="2"/>
    <s v="Living Room"/>
    <x v="4"/>
    <n v="1"/>
    <n v="5188.42"/>
    <n v="0.2"/>
    <n v="4150.74"/>
    <n v="3221.54"/>
    <n v="929.2"/>
    <x v="0"/>
    <n v="0.22386369659386041"/>
    <x v="0"/>
    <x v="2"/>
    <x v="2"/>
    <s v="Q1"/>
  </r>
  <r>
    <s v="ORD101612"/>
    <x v="66"/>
    <s v="CUST1040"/>
    <s v="Arjun Nair"/>
    <x v="2"/>
    <s v="Telangana"/>
    <s v="Karimnagar"/>
    <x v="0"/>
    <s v="Audio"/>
    <x v="8"/>
    <n v="2"/>
    <n v="2943.92"/>
    <n v="0"/>
    <n v="5887.84"/>
    <n v="2998.79"/>
    <n v="2889.05"/>
    <x v="0"/>
    <n v="0.49068079295633038"/>
    <x v="0"/>
    <x v="2"/>
    <x v="2"/>
    <s v="Q1"/>
  </r>
  <r>
    <s v="ORD100725"/>
    <x v="66"/>
    <s v="CUST1100"/>
    <s v="Meera Sharma"/>
    <x v="3"/>
    <s v="West Bengal"/>
    <s v="Durgapur"/>
    <x v="0"/>
    <s v="Audio"/>
    <x v="8"/>
    <n v="2"/>
    <n v="2820.48"/>
    <n v="0"/>
    <n v="5640.96"/>
    <n v="3034.56"/>
    <n v="2606.4"/>
    <x v="0"/>
    <n v="0.46204901293396872"/>
    <x v="0"/>
    <x v="2"/>
    <x v="2"/>
    <s v="Q1"/>
  </r>
  <r>
    <s v="ORD101370"/>
    <x v="67"/>
    <s v="CUST1264"/>
    <s v="Diya Iyer"/>
    <x v="0"/>
    <s v="Maharashtra"/>
    <s v="Pune"/>
    <x v="1"/>
    <s v="Storage"/>
    <x v="9"/>
    <n v="5"/>
    <n v="512.64"/>
    <n v="0.2"/>
    <n v="2050.56"/>
    <n v="1114.3599999999999"/>
    <n v="936.2"/>
    <x v="2"/>
    <n v="0.45655820848938827"/>
    <x v="0"/>
    <x v="2"/>
    <x v="2"/>
    <s v="Q1"/>
  </r>
  <r>
    <s v="ORD100760"/>
    <x v="68"/>
    <s v="CUST1471"/>
    <s v="Nikhil Verma"/>
    <x v="2"/>
    <s v="Karnataka"/>
    <s v="Hubballi"/>
    <x v="2"/>
    <s v="Living Room"/>
    <x v="4"/>
    <n v="1"/>
    <n v="5147.01"/>
    <n v="0.1"/>
    <n v="4632.3100000000004"/>
    <n v="3132.65"/>
    <n v="1499.66"/>
    <x v="1"/>
    <n v="0.32373912799445631"/>
    <x v="0"/>
    <x v="2"/>
    <x v="2"/>
    <s v="Q1"/>
  </r>
  <r>
    <s v="ORD100103"/>
    <x v="68"/>
    <s v="CUST1643"/>
    <s v="Priya Joshi"/>
    <x v="3"/>
    <s v="West Bengal"/>
    <s v="Siliguri"/>
    <x v="2"/>
    <s v="Living Room"/>
    <x v="16"/>
    <n v="1"/>
    <n v="3770.16"/>
    <n v="0.1"/>
    <n v="3393.14"/>
    <n v="2466.2600000000002"/>
    <n v="926.88"/>
    <x v="4"/>
    <n v="0.27316291104994189"/>
    <x v="0"/>
    <x v="2"/>
    <x v="2"/>
    <s v="Q1"/>
  </r>
  <r>
    <s v="ORD101081"/>
    <x v="68"/>
    <s v="CUST1313"/>
    <s v="Kiran Mehta"/>
    <x v="2"/>
    <s v="Tamil Nadu"/>
    <s v="Coimbatore"/>
    <x v="1"/>
    <s v="Stationery"/>
    <x v="1"/>
    <n v="2"/>
    <n v="256.58"/>
    <n v="0.2"/>
    <n v="410.53"/>
    <n v="202.57"/>
    <n v="207.96"/>
    <x v="1"/>
    <n v="0.50656468467590676"/>
    <x v="0"/>
    <x v="2"/>
    <x v="2"/>
    <s v="Q1"/>
  </r>
  <r>
    <s v="ORD102140"/>
    <x v="68"/>
    <s v="CUST1362"/>
    <s v="Aarav Naidu"/>
    <x v="2"/>
    <s v="Tamil Nadu"/>
    <s v="Salem"/>
    <x v="2"/>
    <s v="Living Room"/>
    <x v="16"/>
    <n v="4"/>
    <n v="3826.15"/>
    <n v="0.1"/>
    <n v="13774.14"/>
    <n v="9535.6299999999992"/>
    <n v="4238.51"/>
    <x v="4"/>
    <n v="0.30771503701864511"/>
    <x v="0"/>
    <x v="2"/>
    <x v="2"/>
    <s v="Q1"/>
  </r>
  <r>
    <s v="ORD101693"/>
    <x v="69"/>
    <s v="CUST1635"/>
    <s v="Rahul Joshi"/>
    <x v="1"/>
    <s v="Delhi"/>
    <s v="Delhi"/>
    <x v="2"/>
    <s v="Living Room"/>
    <x v="16"/>
    <n v="1"/>
    <n v="4015.74"/>
    <n v="0.1"/>
    <n v="3614.17"/>
    <n v="2511.17"/>
    <n v="1103"/>
    <x v="1"/>
    <n v="0.30518763644211527"/>
    <x v="0"/>
    <x v="2"/>
    <x v="2"/>
    <s v="Q1"/>
  </r>
  <r>
    <s v="ORD102141"/>
    <x v="69"/>
    <s v="CUST1101"/>
    <s v="Aarav Gupta"/>
    <x v="3"/>
    <s v="West Bengal"/>
    <s v="Siliguri"/>
    <x v="3"/>
    <s v="Cleaning"/>
    <x v="15"/>
    <n v="1"/>
    <n v="7315.78"/>
    <n v="0.05"/>
    <n v="6949.99"/>
    <n v="4720.37"/>
    <n v="2229.62"/>
    <x v="4"/>
    <n v="0.32080909468934488"/>
    <x v="0"/>
    <x v="2"/>
    <x v="2"/>
    <s v="Q1"/>
  </r>
  <r>
    <s v="ORD102369"/>
    <x v="69"/>
    <s v="CUST1490"/>
    <s v="Kiran Sharma"/>
    <x v="2"/>
    <s v="Tamil Nadu"/>
    <s v="Chennai"/>
    <x v="1"/>
    <s v="Stationery"/>
    <x v="17"/>
    <n v="2"/>
    <n v="310.89999999999998"/>
    <n v="0.1"/>
    <n v="559.62"/>
    <n v="256.07"/>
    <n v="303.55"/>
    <x v="0"/>
    <n v="0.54242164325792508"/>
    <x v="0"/>
    <x v="2"/>
    <x v="2"/>
    <s v="Q1"/>
  </r>
  <r>
    <s v="ORD100615"/>
    <x v="70"/>
    <s v="CUST1520"/>
    <s v="Rohan Malhotra"/>
    <x v="2"/>
    <s v="Telangana"/>
    <s v="Hyderabad"/>
    <x v="2"/>
    <s v="Living Room"/>
    <x v="4"/>
    <n v="3"/>
    <n v="4760.8100000000004"/>
    <n v="0"/>
    <n v="14282.43"/>
    <n v="8698.7000000000007"/>
    <n v="5583.73"/>
    <x v="0"/>
    <n v="0.39095097963021702"/>
    <x v="0"/>
    <x v="2"/>
    <x v="2"/>
    <s v="Q1"/>
  </r>
  <r>
    <s v="ORD102339"/>
    <x v="70"/>
    <s v="CUST1353"/>
    <s v="Aditya Mehta"/>
    <x v="2"/>
    <s v="Tamil Nadu"/>
    <s v="Chennai"/>
    <x v="0"/>
    <s v="Accessories"/>
    <x v="6"/>
    <n v="3"/>
    <n v="812.13"/>
    <n v="0.2"/>
    <n v="1949.11"/>
    <n v="1467.37"/>
    <n v="481.74"/>
    <x v="0"/>
    <n v="0.2471589597303385"/>
    <x v="0"/>
    <x v="2"/>
    <x v="2"/>
    <s v="Q1"/>
  </r>
  <r>
    <s v="ORD102493"/>
    <x v="70"/>
    <s v="CUST1067"/>
    <s v="Sneha Naidu"/>
    <x v="2"/>
    <s v="Tamil Nadu"/>
    <s v="Salem"/>
    <x v="1"/>
    <s v="Storage"/>
    <x v="9"/>
    <n v="2"/>
    <n v="514.52"/>
    <n v="0.05"/>
    <n v="977.59"/>
    <n v="476.15"/>
    <n v="501.44"/>
    <x v="3"/>
    <n v="0.51293487044671082"/>
    <x v="0"/>
    <x v="2"/>
    <x v="2"/>
    <s v="Q1"/>
  </r>
  <r>
    <s v="ORD101452"/>
    <x v="70"/>
    <s v="CUST1404"/>
    <s v="Sanjana Gupta"/>
    <x v="1"/>
    <s v="Delhi"/>
    <s v="New Delhi"/>
    <x v="0"/>
    <s v="Accessories"/>
    <x v="5"/>
    <n v="2"/>
    <n v="2503.5700000000002"/>
    <n v="0"/>
    <n v="5007.1400000000003"/>
    <n v="2803.77"/>
    <n v="2203.37"/>
    <x v="3"/>
    <n v="0.44004561486197702"/>
    <x v="0"/>
    <x v="2"/>
    <x v="2"/>
    <s v="Q1"/>
  </r>
  <r>
    <s v="ORD102290"/>
    <x v="70"/>
    <s v="CUST1298"/>
    <s v="Kavya Reddy"/>
    <x v="3"/>
    <s v="West Bengal"/>
    <s v="Durgapur"/>
    <x v="3"/>
    <s v="Cleaning"/>
    <x v="15"/>
    <n v="3"/>
    <n v="7134.47"/>
    <n v="0.05"/>
    <n v="20333.240000000002"/>
    <n v="14263.2"/>
    <n v="6070.04"/>
    <x v="0"/>
    <n v="0.29852792766917619"/>
    <x v="0"/>
    <x v="2"/>
    <x v="2"/>
    <s v="Q1"/>
  </r>
  <r>
    <s v="ORD101507"/>
    <x v="71"/>
    <s v="CUST1144"/>
    <s v="Varun Naidu"/>
    <x v="2"/>
    <s v="Karnataka"/>
    <s v="Mangaluru"/>
    <x v="2"/>
    <s v="Living Room"/>
    <x v="16"/>
    <n v="1"/>
    <n v="3862.53"/>
    <n v="0.1"/>
    <n v="3476.28"/>
    <n v="2516.77"/>
    <n v="959.51"/>
    <x v="0"/>
    <n v="0.27601631629212842"/>
    <x v="0"/>
    <x v="2"/>
    <x v="2"/>
    <s v="Q1"/>
  </r>
  <r>
    <s v="ORD101971"/>
    <x v="71"/>
    <s v="CUST1369"/>
    <s v="Vikram Singh"/>
    <x v="3"/>
    <s v="West Bengal"/>
    <s v="Durgapur"/>
    <x v="3"/>
    <s v="Cleaning"/>
    <x v="15"/>
    <n v="5"/>
    <n v="7549.07"/>
    <n v="0.1"/>
    <n v="33970.82"/>
    <n v="23941.37"/>
    <n v="10029.450000000001"/>
    <x v="1"/>
    <n v="0.29523720652018409"/>
    <x v="0"/>
    <x v="2"/>
    <x v="2"/>
    <s v="Q1"/>
  </r>
  <r>
    <s v="ORD100206"/>
    <x v="71"/>
    <s v="CUST1310"/>
    <s v="Ananya Gupta"/>
    <x v="2"/>
    <s v="Karnataka"/>
    <s v="Mysuru"/>
    <x v="3"/>
    <s v="Cleaning"/>
    <x v="12"/>
    <n v="3"/>
    <n v="13379.6"/>
    <n v="0.1"/>
    <n v="36124.92"/>
    <n v="28973.02"/>
    <n v="7151.9"/>
    <x v="1"/>
    <n v="0.19797690901460821"/>
    <x v="0"/>
    <x v="2"/>
    <x v="2"/>
    <s v="Q1"/>
  </r>
  <r>
    <s v="ORD102462"/>
    <x v="72"/>
    <s v="CUST1410"/>
    <s v="Priya Nair"/>
    <x v="2"/>
    <s v="Telangana"/>
    <s v="Nizamabad"/>
    <x v="2"/>
    <s v="Office"/>
    <x v="10"/>
    <n v="3"/>
    <n v="7062.12"/>
    <n v="0"/>
    <n v="21186.36"/>
    <n v="13427.47"/>
    <n v="7758.89"/>
    <x v="2"/>
    <n v="0.36622100256957779"/>
    <x v="0"/>
    <x v="2"/>
    <x v="2"/>
    <s v="Q1"/>
  </r>
  <r>
    <s v="ORD100998"/>
    <x v="72"/>
    <s v="CUST1013"/>
    <s v="Nikhil Kumar"/>
    <x v="2"/>
    <s v="Telangana"/>
    <s v="Warangal"/>
    <x v="0"/>
    <s v="Computers"/>
    <x v="0"/>
    <n v="4"/>
    <n v="57443.63"/>
    <n v="0.05"/>
    <n v="218285.79"/>
    <n v="207227.58"/>
    <n v="11058.21"/>
    <x v="4"/>
    <n v="5.0659321433612327E-2"/>
    <x v="0"/>
    <x v="2"/>
    <x v="2"/>
    <s v="Q1"/>
  </r>
  <r>
    <s v="ORD102348"/>
    <x v="72"/>
    <s v="CUST1620"/>
    <s v="Vikram Reddy"/>
    <x v="2"/>
    <s v="Tamil Nadu"/>
    <s v="Salem"/>
    <x v="3"/>
    <s v="Kitchen"/>
    <x v="13"/>
    <n v="3"/>
    <n v="3494.11"/>
    <n v="0.1"/>
    <n v="9434.1"/>
    <n v="6081.14"/>
    <n v="3352.96"/>
    <x v="0"/>
    <n v="0.3554085710348629"/>
    <x v="0"/>
    <x v="2"/>
    <x v="2"/>
    <s v="Q1"/>
  </r>
  <r>
    <s v="ORD102006"/>
    <x v="73"/>
    <s v="CUST1251"/>
    <s v="Varun Sharma"/>
    <x v="1"/>
    <s v="Delhi"/>
    <s v="Delhi"/>
    <x v="0"/>
    <s v="Accessories"/>
    <x v="6"/>
    <n v="3"/>
    <n v="760.15"/>
    <n v="0.2"/>
    <n v="1824.36"/>
    <n v="1455.09"/>
    <n v="369.27"/>
    <x v="2"/>
    <n v="0.20241070841281331"/>
    <x v="0"/>
    <x v="2"/>
    <x v="2"/>
    <s v="Q1"/>
  </r>
  <r>
    <s v="ORD101182"/>
    <x v="73"/>
    <s v="CUST1216"/>
    <s v="Meera Verma"/>
    <x v="0"/>
    <s v="Maharashtra"/>
    <s v="Pune"/>
    <x v="2"/>
    <s v="Living Room"/>
    <x v="16"/>
    <n v="1"/>
    <n v="4058.39"/>
    <n v="0.1"/>
    <n v="3652.55"/>
    <n v="2589.25"/>
    <n v="1063.3"/>
    <x v="1"/>
    <n v="0.29111168909392071"/>
    <x v="0"/>
    <x v="2"/>
    <x v="2"/>
    <s v="Q1"/>
  </r>
  <r>
    <s v="ORD100543"/>
    <x v="73"/>
    <s v="CUST1469"/>
    <s v="Sneha Joshi"/>
    <x v="3"/>
    <s v="West Bengal"/>
    <s v="Kolkata"/>
    <x v="1"/>
    <s v="Storage"/>
    <x v="9"/>
    <n v="6"/>
    <n v="487.24"/>
    <n v="0.15"/>
    <n v="2484.92"/>
    <n v="1333.98"/>
    <n v="1150.94"/>
    <x v="0"/>
    <n v="0.46316984047776188"/>
    <x v="0"/>
    <x v="2"/>
    <x v="2"/>
    <s v="Q1"/>
  </r>
  <r>
    <s v="ORD102154"/>
    <x v="73"/>
    <s v="CUST1396"/>
    <s v="Ishaan Singh"/>
    <x v="2"/>
    <s v="Karnataka"/>
    <s v="Mangaluru"/>
    <x v="0"/>
    <s v="Audio"/>
    <x v="11"/>
    <n v="1"/>
    <n v="2057.98"/>
    <n v="0.1"/>
    <n v="1852.18"/>
    <n v="1216.49"/>
    <n v="635.69000000000005"/>
    <x v="2"/>
    <n v="0.3432117828720751"/>
    <x v="0"/>
    <x v="2"/>
    <x v="2"/>
    <s v="Q1"/>
  </r>
  <r>
    <s v="ORD100688"/>
    <x v="73"/>
    <s v="CUST1578"/>
    <s v="Kiran Malhotra"/>
    <x v="2"/>
    <s v="Tamil Nadu"/>
    <s v="Coimbatore"/>
    <x v="2"/>
    <s v="Office"/>
    <x v="14"/>
    <n v="2"/>
    <n v="8567.75"/>
    <n v="0.05"/>
    <n v="16278.72"/>
    <n v="11616.97"/>
    <n v="4661.75"/>
    <x v="0"/>
    <n v="0.28637079573823992"/>
    <x v="0"/>
    <x v="2"/>
    <x v="2"/>
    <s v="Q1"/>
  </r>
  <r>
    <s v="ORD101620"/>
    <x v="73"/>
    <s v="CUST1246"/>
    <s v="Sanjana Rao"/>
    <x v="2"/>
    <s v="Tamil Nadu"/>
    <s v="Salem"/>
    <x v="0"/>
    <s v="Computers"/>
    <x v="0"/>
    <n v="2"/>
    <n v="59861.29"/>
    <n v="0.1"/>
    <n v="107750.32"/>
    <n v="106722.15"/>
    <n v="1028.17"/>
    <x v="0"/>
    <n v="9.5421526358343989E-3"/>
    <x v="0"/>
    <x v="2"/>
    <x v="2"/>
    <s v="Q1"/>
  </r>
  <r>
    <s v="ORD102444"/>
    <x v="73"/>
    <s v="CUST1171"/>
    <s v="Kiran Joshi"/>
    <x v="2"/>
    <s v="Telangana"/>
    <s v="Nizamabad"/>
    <x v="3"/>
    <s v="Kitchen"/>
    <x v="7"/>
    <n v="1"/>
    <n v="1864.51"/>
    <n v="0"/>
    <n v="1864.51"/>
    <n v="972.85"/>
    <n v="891.66"/>
    <x v="3"/>
    <n v="0.47822752358528509"/>
    <x v="0"/>
    <x v="2"/>
    <x v="2"/>
    <s v="Q1"/>
  </r>
  <r>
    <s v="ORD101644"/>
    <x v="73"/>
    <s v="CUST1192"/>
    <s v="Rahul Sharma"/>
    <x v="3"/>
    <s v="West Bengal"/>
    <s v="Siliguri"/>
    <x v="2"/>
    <s v="Office"/>
    <x v="10"/>
    <n v="3"/>
    <n v="7251.62"/>
    <n v="0.05"/>
    <n v="20667.12"/>
    <n v="14279.46"/>
    <n v="6387.66"/>
    <x v="2"/>
    <n v="0.30907354290292988"/>
    <x v="0"/>
    <x v="2"/>
    <x v="2"/>
    <s v="Q1"/>
  </r>
  <r>
    <s v="ORD100450"/>
    <x v="74"/>
    <s v="CUST1350"/>
    <s v="Neha Sharma"/>
    <x v="2"/>
    <s v="Tamil Nadu"/>
    <s v="Chennai"/>
    <x v="0"/>
    <s v="Computers"/>
    <x v="3"/>
    <n v="3"/>
    <n v="16514.52"/>
    <n v="0.15"/>
    <n v="42112.03"/>
    <n v="37537.43"/>
    <n v="4574.6000000000004"/>
    <x v="1"/>
    <n v="0.1086292919149231"/>
    <x v="0"/>
    <x v="2"/>
    <x v="2"/>
    <s v="Q1"/>
  </r>
  <r>
    <s v="ORD102023"/>
    <x v="74"/>
    <s v="CUST1572"/>
    <s v="Rahul Iyer"/>
    <x v="1"/>
    <s v="Delhi"/>
    <s v="Delhi"/>
    <x v="2"/>
    <s v="Living Room"/>
    <x v="4"/>
    <n v="1"/>
    <n v="5007.58"/>
    <n v="0.1"/>
    <n v="4506.82"/>
    <n v="2997.07"/>
    <n v="1509.75"/>
    <x v="4"/>
    <n v="0.33499230055782131"/>
    <x v="0"/>
    <x v="2"/>
    <x v="2"/>
    <s v="Q1"/>
  </r>
  <r>
    <s v="ORD100432"/>
    <x v="74"/>
    <s v="CUST1375"/>
    <s v="Sanjana Rao"/>
    <x v="3"/>
    <s v="West Bengal"/>
    <s v="Durgapur"/>
    <x v="0"/>
    <s v="Computers"/>
    <x v="0"/>
    <n v="2"/>
    <n v="56369.45"/>
    <n v="0.05"/>
    <n v="107101.95"/>
    <n v="98257.8"/>
    <n v="8844.15"/>
    <x v="1"/>
    <n v="8.2576927871061176E-2"/>
    <x v="0"/>
    <x v="2"/>
    <x v="2"/>
    <s v="Q1"/>
  </r>
  <r>
    <s v="ORD100617"/>
    <x v="74"/>
    <s v="CUST1072"/>
    <s v="Rahul Nair"/>
    <x v="1"/>
    <s v="Delhi"/>
    <s v="New Delhi"/>
    <x v="2"/>
    <s v="Office"/>
    <x v="10"/>
    <n v="2"/>
    <n v="6695.56"/>
    <n v="0.1"/>
    <n v="12052.01"/>
    <n v="8428.58"/>
    <n v="3623.43"/>
    <x v="2"/>
    <n v="0.30064943523943299"/>
    <x v="0"/>
    <x v="2"/>
    <x v="2"/>
    <s v="Q1"/>
  </r>
  <r>
    <s v="ORD100285"/>
    <x v="74"/>
    <s v="CUST1496"/>
    <s v="Ananya Reddy"/>
    <x v="3"/>
    <s v="West Bengal"/>
    <s v="Durgapur"/>
    <x v="2"/>
    <s v="Office"/>
    <x v="14"/>
    <n v="1"/>
    <n v="8057.77"/>
    <n v="0.1"/>
    <n v="7251.99"/>
    <n v="5668.41"/>
    <n v="1583.58"/>
    <x v="1"/>
    <n v="0.21836489018876201"/>
    <x v="0"/>
    <x v="2"/>
    <x v="2"/>
    <s v="Q1"/>
  </r>
  <r>
    <s v="ORD100987"/>
    <x v="75"/>
    <s v="CUST1203"/>
    <s v="Neha Naidu"/>
    <x v="2"/>
    <s v="Telangana"/>
    <s v="Nizamabad"/>
    <x v="0"/>
    <s v="Computers"/>
    <x v="0"/>
    <n v="2"/>
    <n v="58190.85"/>
    <n v="0"/>
    <n v="116381.7"/>
    <n v="106294.21"/>
    <n v="10087.49"/>
    <x v="2"/>
    <n v="8.6675912106456601E-2"/>
    <x v="0"/>
    <x v="2"/>
    <x v="2"/>
    <s v="Q1"/>
  </r>
  <r>
    <s v="ORD100332"/>
    <x v="75"/>
    <s v="CUST1601"/>
    <s v="Pooja Singh"/>
    <x v="1"/>
    <s v="Delhi"/>
    <s v="New Delhi"/>
    <x v="0"/>
    <s v="Accessories"/>
    <x v="6"/>
    <n v="2"/>
    <n v="808.27"/>
    <n v="0.05"/>
    <n v="1535.71"/>
    <n v="997.01"/>
    <n v="538.70000000000005"/>
    <x v="1"/>
    <n v="0.35078237427639342"/>
    <x v="0"/>
    <x v="2"/>
    <x v="2"/>
    <s v="Q1"/>
  </r>
  <r>
    <s v="ORD100029"/>
    <x v="75"/>
    <s v="CUST1498"/>
    <s v="Aditya Nair"/>
    <x v="3"/>
    <s v="West Bengal"/>
    <s v="Kolkata"/>
    <x v="1"/>
    <s v="Stationery"/>
    <x v="1"/>
    <n v="4"/>
    <n v="241.01"/>
    <n v="0.15"/>
    <n v="819.43"/>
    <n v="367.24"/>
    <n v="452.19"/>
    <x v="2"/>
    <n v="0.55183481200346585"/>
    <x v="0"/>
    <x v="2"/>
    <x v="2"/>
    <s v="Q1"/>
  </r>
  <r>
    <s v="ORD100019"/>
    <x v="75"/>
    <s v="CUST1611"/>
    <s v="Pooja Singh"/>
    <x v="2"/>
    <s v="Karnataka"/>
    <s v="Mangaluru"/>
    <x v="0"/>
    <s v="Computers"/>
    <x v="3"/>
    <n v="3"/>
    <n v="16305.07"/>
    <n v="0.05"/>
    <n v="46469.45"/>
    <n v="37352.620000000003"/>
    <n v="9116.83"/>
    <x v="3"/>
    <n v="0.19618975477437331"/>
    <x v="0"/>
    <x v="2"/>
    <x v="2"/>
    <s v="Q1"/>
  </r>
  <r>
    <s v="ORD102233"/>
    <x v="75"/>
    <s v="CUST1508"/>
    <s v="Ananya Kumar"/>
    <x v="2"/>
    <s v="Tamil Nadu"/>
    <s v="Chennai"/>
    <x v="0"/>
    <s v="Audio"/>
    <x v="8"/>
    <n v="3"/>
    <n v="2872.81"/>
    <n v="0"/>
    <n v="8618.43"/>
    <n v="4613.21"/>
    <n v="4005.22"/>
    <x v="2"/>
    <n v="0.46472733432887431"/>
    <x v="0"/>
    <x v="2"/>
    <x v="2"/>
    <s v="Q1"/>
  </r>
  <r>
    <s v="ORD101411"/>
    <x v="75"/>
    <s v="CUST1444"/>
    <s v="Kavya Verma"/>
    <x v="0"/>
    <s v="Maharashtra"/>
    <s v="Pune"/>
    <x v="0"/>
    <s v="Computers"/>
    <x v="3"/>
    <n v="1"/>
    <n v="16319.24"/>
    <n v="0.2"/>
    <n v="13055.39"/>
    <n v="12651.75"/>
    <n v="403.64"/>
    <x v="0"/>
    <n v="3.0917498443171751E-2"/>
    <x v="0"/>
    <x v="2"/>
    <x v="2"/>
    <s v="Q1"/>
  </r>
  <r>
    <s v="ORD101446"/>
    <x v="76"/>
    <s v="CUST1611"/>
    <s v="Meera Rao"/>
    <x v="3"/>
    <s v="West Bengal"/>
    <s v="Durgapur"/>
    <x v="0"/>
    <s v="Computers"/>
    <x v="0"/>
    <n v="3"/>
    <n v="59335.09"/>
    <n v="0.05"/>
    <n v="169105.01"/>
    <n v="160038.04999999999"/>
    <n v="9066.9599999999991"/>
    <x v="1"/>
    <n v="5.3617335169431103E-2"/>
    <x v="0"/>
    <x v="2"/>
    <x v="2"/>
    <s v="Q1"/>
  </r>
  <r>
    <s v="ORD101786"/>
    <x v="76"/>
    <s v="CUST1366"/>
    <s v="Ishaan Patel"/>
    <x v="1"/>
    <s v="Delhi"/>
    <s v="New Delhi"/>
    <x v="3"/>
    <s v="Kitchen"/>
    <x v="7"/>
    <n v="1"/>
    <n v="1749.06"/>
    <n v="0.15"/>
    <n v="1486.7"/>
    <n v="909.93"/>
    <n v="576.77"/>
    <x v="2"/>
    <n v="0.38795318490616798"/>
    <x v="0"/>
    <x v="2"/>
    <x v="2"/>
    <s v="Q1"/>
  </r>
  <r>
    <s v="ORD100737"/>
    <x v="76"/>
    <s v="CUST1429"/>
    <s v="Arjun Gupta"/>
    <x v="3"/>
    <s v="West Bengal"/>
    <s v="Durgapur"/>
    <x v="3"/>
    <s v="Kitchen"/>
    <x v="13"/>
    <n v="2"/>
    <n v="3451.38"/>
    <n v="0.05"/>
    <n v="6557.62"/>
    <n v="3820.75"/>
    <n v="2736.87"/>
    <x v="2"/>
    <n v="0.41735721191529851"/>
    <x v="0"/>
    <x v="2"/>
    <x v="2"/>
    <s v="Q1"/>
  </r>
  <r>
    <s v="ORD102495"/>
    <x v="76"/>
    <s v="CUST1383"/>
    <s v="Vikram Reddy"/>
    <x v="3"/>
    <s v="West Bengal"/>
    <s v="Durgapur"/>
    <x v="3"/>
    <s v="Cleaning"/>
    <x v="15"/>
    <n v="1"/>
    <n v="7537.07"/>
    <n v="0.15"/>
    <n v="6406.51"/>
    <n v="5068.2299999999996"/>
    <n v="1338.28"/>
    <x v="1"/>
    <n v="0.2088937658725265"/>
    <x v="0"/>
    <x v="2"/>
    <x v="2"/>
    <s v="Q1"/>
  </r>
  <r>
    <s v="ORD101797"/>
    <x v="76"/>
    <s v="CUST1033"/>
    <s v="Arjun Kumar"/>
    <x v="2"/>
    <s v="Tamil Nadu"/>
    <s v="Coimbatore"/>
    <x v="2"/>
    <s v="Office"/>
    <x v="14"/>
    <n v="1"/>
    <n v="8313.91"/>
    <n v="0"/>
    <n v="8313.91"/>
    <n v="5766.92"/>
    <n v="2546.9899999999998"/>
    <x v="1"/>
    <n v="0.30635284721629169"/>
    <x v="0"/>
    <x v="2"/>
    <x v="2"/>
    <s v="Q1"/>
  </r>
  <r>
    <s v="ORD101887"/>
    <x v="76"/>
    <s v="CUST1193"/>
    <s v="Rahul Mehta"/>
    <x v="2"/>
    <s v="Tamil Nadu"/>
    <s v="Salem"/>
    <x v="3"/>
    <s v="Cleaning"/>
    <x v="15"/>
    <n v="2"/>
    <n v="7818.69"/>
    <n v="0.05"/>
    <n v="14855.51"/>
    <n v="9947.39"/>
    <n v="4908.12"/>
    <x v="0"/>
    <n v="0.33039054196052509"/>
    <x v="0"/>
    <x v="2"/>
    <x v="2"/>
    <s v="Q1"/>
  </r>
  <r>
    <s v="ORD101725"/>
    <x v="77"/>
    <s v="CUST1356"/>
    <s v="Aditya Rao"/>
    <x v="3"/>
    <s v="West Bengal"/>
    <s v="Kolkata"/>
    <x v="0"/>
    <s v="Accessories"/>
    <x v="6"/>
    <n v="6"/>
    <n v="784.59"/>
    <n v="0.05"/>
    <n v="4472.16"/>
    <n v="2860.66"/>
    <n v="1611.5"/>
    <x v="1"/>
    <n v="0.36034041715859899"/>
    <x v="0"/>
    <x v="2"/>
    <x v="2"/>
    <s v="Q1"/>
  </r>
  <r>
    <s v="ORD100087"/>
    <x v="77"/>
    <s v="CUST1636"/>
    <s v="Rahul Verma"/>
    <x v="2"/>
    <s v="Telangana"/>
    <s v="Hyderabad"/>
    <x v="3"/>
    <s v="Kitchen"/>
    <x v="7"/>
    <n v="2"/>
    <n v="1841.79"/>
    <n v="0"/>
    <n v="3683.58"/>
    <n v="1942.51"/>
    <n v="1741.07"/>
    <x v="2"/>
    <n v="0.47265703473251558"/>
    <x v="0"/>
    <x v="2"/>
    <x v="2"/>
    <s v="Q1"/>
  </r>
  <r>
    <s v="ORD100551"/>
    <x v="77"/>
    <s v="CUST1611"/>
    <s v="Aarav Rao"/>
    <x v="1"/>
    <s v="Delhi"/>
    <s v="New Delhi"/>
    <x v="0"/>
    <s v="Accessories"/>
    <x v="6"/>
    <n v="1"/>
    <n v="834.92"/>
    <n v="0"/>
    <n v="834.92"/>
    <n v="536.04"/>
    <n v="298.88"/>
    <x v="1"/>
    <n v="0.35797441671058311"/>
    <x v="0"/>
    <x v="2"/>
    <x v="2"/>
    <s v="Q1"/>
  </r>
  <r>
    <s v="ORD100381"/>
    <x v="77"/>
    <s v="CUST1292"/>
    <s v="Aisha Patel"/>
    <x v="2"/>
    <s v="Karnataka"/>
    <s v="Mysuru"/>
    <x v="0"/>
    <s v="Computers"/>
    <x v="0"/>
    <n v="2"/>
    <n v="56621.95"/>
    <n v="0"/>
    <n v="113243.9"/>
    <n v="96725.16"/>
    <n v="16518.740000000002"/>
    <x v="0"/>
    <n v="0.14586869579730119"/>
    <x v="0"/>
    <x v="2"/>
    <x v="2"/>
    <s v="Q1"/>
  </r>
  <r>
    <s v="ORD100356"/>
    <x v="78"/>
    <s v="CUST1371"/>
    <s v="Diya Singh"/>
    <x v="3"/>
    <s v="West Bengal"/>
    <s v="Durgapur"/>
    <x v="0"/>
    <s v="Computers"/>
    <x v="3"/>
    <n v="1"/>
    <n v="16464.25"/>
    <n v="0.05"/>
    <n v="15641.04"/>
    <n v="12322.74"/>
    <n v="3318.3"/>
    <x v="0"/>
    <n v="0.21215341179358921"/>
    <x v="0"/>
    <x v="2"/>
    <x v="2"/>
    <s v="Q1"/>
  </r>
  <r>
    <s v="ORD102131"/>
    <x v="78"/>
    <s v="CUST1234"/>
    <s v="Varun Gupta"/>
    <x v="3"/>
    <s v="West Bengal"/>
    <s v="Durgapur"/>
    <x v="0"/>
    <s v="Computers"/>
    <x v="3"/>
    <n v="2"/>
    <n v="16639.62"/>
    <n v="0.1"/>
    <n v="29951.32"/>
    <n v="25407.8"/>
    <n v="4543.5200000000004"/>
    <x v="0"/>
    <n v="0.15169682003998489"/>
    <x v="0"/>
    <x v="2"/>
    <x v="2"/>
    <s v="Q1"/>
  </r>
  <r>
    <s v="ORD101533"/>
    <x v="78"/>
    <s v="CUST1131"/>
    <s v="Ishaan Nair"/>
    <x v="1"/>
    <s v="Delhi"/>
    <s v="Delhi"/>
    <x v="1"/>
    <s v="Stationery"/>
    <x v="17"/>
    <n v="1"/>
    <n v="294.24"/>
    <n v="0"/>
    <n v="294.24"/>
    <n v="123.31"/>
    <n v="170.93"/>
    <x v="0"/>
    <n v="0.58092033713974989"/>
    <x v="0"/>
    <x v="2"/>
    <x v="2"/>
    <s v="Q1"/>
  </r>
  <r>
    <s v="ORD100698"/>
    <x v="79"/>
    <s v="CUST1646"/>
    <s v="Aditya Patel"/>
    <x v="2"/>
    <s v="Karnataka"/>
    <s v="Mysuru"/>
    <x v="0"/>
    <s v="Audio"/>
    <x v="8"/>
    <n v="4"/>
    <n v="3134.84"/>
    <n v="0.15"/>
    <n v="10658.46"/>
    <n v="6283.61"/>
    <n v="4374.8500000000004"/>
    <x v="0"/>
    <n v="0.41045798361114089"/>
    <x v="0"/>
    <x v="2"/>
    <x v="2"/>
    <s v="Q1"/>
  </r>
  <r>
    <s v="ORD102437"/>
    <x v="79"/>
    <s v="CUST1011"/>
    <s v="Sneha Naidu"/>
    <x v="2"/>
    <s v="Tamil Nadu"/>
    <s v="Madurai"/>
    <x v="3"/>
    <s v="Kitchen"/>
    <x v="7"/>
    <n v="5"/>
    <n v="1878.86"/>
    <n v="0.1"/>
    <n v="8454.8700000000008"/>
    <n v="5042.38"/>
    <n v="3412.49"/>
    <x v="1"/>
    <n v="0.4036123559557982"/>
    <x v="0"/>
    <x v="2"/>
    <x v="2"/>
    <s v="Q1"/>
  </r>
  <r>
    <s v="ORD102111"/>
    <x v="79"/>
    <s v="CUST1149"/>
    <s v="Ananya Kumar"/>
    <x v="1"/>
    <s v="Delhi"/>
    <s v="New Delhi"/>
    <x v="2"/>
    <s v="Office"/>
    <x v="14"/>
    <n v="3"/>
    <n v="8771.98"/>
    <n v="0.05"/>
    <n v="25000.14"/>
    <n v="17935.47"/>
    <n v="7064.67"/>
    <x v="0"/>
    <n v="0.28258521752278187"/>
    <x v="0"/>
    <x v="2"/>
    <x v="2"/>
    <s v="Q1"/>
  </r>
  <r>
    <s v="ORD100078"/>
    <x v="79"/>
    <s v="CUST1179"/>
    <s v="Vikram Nair"/>
    <x v="2"/>
    <s v="Karnataka"/>
    <s v="Mangaluru"/>
    <x v="2"/>
    <s v="Office"/>
    <x v="14"/>
    <n v="4"/>
    <n v="8591.1200000000008"/>
    <n v="0.05"/>
    <n v="32646.26"/>
    <n v="23175.18"/>
    <n v="9471.08"/>
    <x v="0"/>
    <n v="0.29011225175563748"/>
    <x v="0"/>
    <x v="2"/>
    <x v="2"/>
    <s v="Q1"/>
  </r>
  <r>
    <s v="ORD100131"/>
    <x v="80"/>
    <s v="CUST1018"/>
    <s v="Rohan Gupta"/>
    <x v="1"/>
    <s v="Delhi"/>
    <s v="Delhi"/>
    <x v="1"/>
    <s v="Stationery"/>
    <x v="17"/>
    <n v="2"/>
    <n v="287.97000000000003"/>
    <n v="0.2"/>
    <n v="460.75"/>
    <n v="235.2"/>
    <n v="225.55"/>
    <x v="3"/>
    <n v="0.48952794357026591"/>
    <x v="0"/>
    <x v="2"/>
    <x v="2"/>
    <s v="Q1"/>
  </r>
  <r>
    <s v="ORD101770"/>
    <x v="80"/>
    <s v="CUST1066"/>
    <s v="Arjun Verma"/>
    <x v="2"/>
    <s v="Telangana"/>
    <s v="Nizamabad"/>
    <x v="0"/>
    <s v="Accessories"/>
    <x v="5"/>
    <n v="2"/>
    <n v="2471.3000000000002"/>
    <n v="0.15"/>
    <n v="4201.21"/>
    <n v="2788.53"/>
    <n v="1412.68"/>
    <x v="2"/>
    <n v="0.33625550734193238"/>
    <x v="0"/>
    <x v="2"/>
    <x v="2"/>
    <s v="Q1"/>
  </r>
  <r>
    <s v="ORD100158"/>
    <x v="81"/>
    <s v="CUST1066"/>
    <s v="Priya Joshi"/>
    <x v="3"/>
    <s v="West Bengal"/>
    <s v="Siliguri"/>
    <x v="3"/>
    <s v="Kitchen"/>
    <x v="7"/>
    <n v="1"/>
    <n v="1880.63"/>
    <n v="0.1"/>
    <n v="1692.57"/>
    <n v="1005.34"/>
    <n v="687.23"/>
    <x v="2"/>
    <n v="0.4060275202798112"/>
    <x v="0"/>
    <x v="2"/>
    <x v="2"/>
    <s v="Q1"/>
  </r>
  <r>
    <s v="ORD102265"/>
    <x v="81"/>
    <s v="CUST1281"/>
    <s v="Rohan Sharma"/>
    <x v="2"/>
    <s v="Karnataka"/>
    <s v="Mangaluru"/>
    <x v="0"/>
    <s v="Computers"/>
    <x v="3"/>
    <n v="1"/>
    <n v="16412.810000000001"/>
    <n v="0.1"/>
    <n v="14771.53"/>
    <n v="11924.43"/>
    <n v="2847.1"/>
    <x v="2"/>
    <n v="0.19274239026018289"/>
    <x v="0"/>
    <x v="2"/>
    <x v="2"/>
    <s v="Q1"/>
  </r>
  <r>
    <s v="ORD101582"/>
    <x v="81"/>
    <s v="CUST1263"/>
    <s v="Ishaan Singh"/>
    <x v="2"/>
    <s v="Karnataka"/>
    <s v="Mangaluru"/>
    <x v="0"/>
    <s v="Audio"/>
    <x v="11"/>
    <n v="4"/>
    <n v="1974.61"/>
    <n v="0"/>
    <n v="7898.44"/>
    <n v="4703.8500000000004"/>
    <n v="3194.59"/>
    <x v="3"/>
    <n v="0.40445834873721898"/>
    <x v="0"/>
    <x v="2"/>
    <x v="2"/>
    <s v="Q1"/>
  </r>
  <r>
    <s v="ORD101901"/>
    <x v="81"/>
    <s v="CUST1418"/>
    <s v="Kavya Reddy"/>
    <x v="1"/>
    <s v="Delhi"/>
    <s v="New Delhi"/>
    <x v="2"/>
    <s v="Living Room"/>
    <x v="16"/>
    <n v="2"/>
    <n v="3977.54"/>
    <n v="0.1"/>
    <n v="7159.57"/>
    <n v="5143.6899999999996"/>
    <n v="2015.88"/>
    <x v="3"/>
    <n v="0.28156439562711172"/>
    <x v="0"/>
    <x v="2"/>
    <x v="2"/>
    <s v="Q1"/>
  </r>
  <r>
    <s v="ORD100899"/>
    <x v="81"/>
    <s v="CUST1317"/>
    <s v="Priya Reddy"/>
    <x v="0"/>
    <s v="Maharashtra"/>
    <s v="Nagpur"/>
    <x v="2"/>
    <s v="Office"/>
    <x v="14"/>
    <n v="1"/>
    <n v="8957.16"/>
    <n v="0.1"/>
    <n v="8061.44"/>
    <n v="6126.26"/>
    <n v="1935.18"/>
    <x v="3"/>
    <n v="0.24005388615433471"/>
    <x v="0"/>
    <x v="2"/>
    <x v="2"/>
    <s v="Q1"/>
  </r>
  <r>
    <s v="ORD100479"/>
    <x v="82"/>
    <s v="CUST1574"/>
    <s v="Diya Mehta"/>
    <x v="2"/>
    <s v="Tamil Nadu"/>
    <s v="Madurai"/>
    <x v="0"/>
    <s v="Audio"/>
    <x v="8"/>
    <n v="4"/>
    <n v="3069.25"/>
    <n v="0.05"/>
    <n v="11663.15"/>
    <n v="6593.48"/>
    <n v="5069.67"/>
    <x v="1"/>
    <n v="0.43467416607005832"/>
    <x v="0"/>
    <x v="2"/>
    <x v="2"/>
    <s v="Q1"/>
  </r>
  <r>
    <s v="ORD101614"/>
    <x v="82"/>
    <s v="CUST1417"/>
    <s v="Varun Patel"/>
    <x v="2"/>
    <s v="Telangana"/>
    <s v="Karimnagar"/>
    <x v="1"/>
    <s v="Stationery"/>
    <x v="17"/>
    <n v="6"/>
    <n v="304.33"/>
    <n v="0.05"/>
    <n v="1734.68"/>
    <n v="745.58"/>
    <n v="989.1"/>
    <x v="1"/>
    <n v="0.57019162035649229"/>
    <x v="0"/>
    <x v="2"/>
    <x v="2"/>
    <s v="Q1"/>
  </r>
  <r>
    <s v="ORD101334"/>
    <x v="82"/>
    <s v="CUST1159"/>
    <s v="Vikram Verma"/>
    <x v="3"/>
    <s v="West Bengal"/>
    <s v="Siliguri"/>
    <x v="3"/>
    <s v="Cleaning"/>
    <x v="12"/>
    <n v="2"/>
    <n v="12384.8"/>
    <n v="0.05"/>
    <n v="23531.119999999999"/>
    <n v="17171.32"/>
    <n v="6359.8"/>
    <x v="2"/>
    <n v="0.27027187826163818"/>
    <x v="0"/>
    <x v="2"/>
    <x v="2"/>
    <s v="Q1"/>
  </r>
  <r>
    <s v="ORD102347"/>
    <x v="82"/>
    <s v="CUST1468"/>
    <s v="Arjun Sharma"/>
    <x v="2"/>
    <s v="Tamil Nadu"/>
    <s v="Madurai"/>
    <x v="3"/>
    <s v="Cleaning"/>
    <x v="12"/>
    <n v="2"/>
    <n v="13237.76"/>
    <n v="0"/>
    <n v="26475.52"/>
    <n v="19325.8"/>
    <n v="7149.72"/>
    <x v="3"/>
    <n v="0.27005021997679368"/>
    <x v="0"/>
    <x v="2"/>
    <x v="2"/>
    <s v="Q1"/>
  </r>
  <r>
    <s v="ORD101319"/>
    <x v="82"/>
    <s v="CUST1632"/>
    <s v="Ananya Patel"/>
    <x v="3"/>
    <s v="West Bengal"/>
    <s v="Kolkata"/>
    <x v="2"/>
    <s v="Office"/>
    <x v="14"/>
    <n v="1"/>
    <n v="8647.3700000000008"/>
    <n v="0.1"/>
    <n v="7782.63"/>
    <n v="6026.95"/>
    <n v="1755.68"/>
    <x v="1"/>
    <n v="0.2255895500621255"/>
    <x v="0"/>
    <x v="2"/>
    <x v="2"/>
    <s v="Q1"/>
  </r>
  <r>
    <s v="ORD100339"/>
    <x v="82"/>
    <s v="CUST1350"/>
    <s v="Aarav Reddy"/>
    <x v="2"/>
    <s v="Tamil Nadu"/>
    <s v="Chennai"/>
    <x v="3"/>
    <s v="Cleaning"/>
    <x v="15"/>
    <n v="1"/>
    <n v="7410.19"/>
    <n v="0.05"/>
    <n v="7039.68"/>
    <n v="4827.8100000000004"/>
    <n v="2211.87"/>
    <x v="0"/>
    <n v="0.31420036138006269"/>
    <x v="0"/>
    <x v="2"/>
    <x v="2"/>
    <s v="Q1"/>
  </r>
  <r>
    <s v="ORD101151"/>
    <x v="82"/>
    <s v="CUST1492"/>
    <s v="Vikram Rao"/>
    <x v="2"/>
    <s v="Karnataka"/>
    <s v="Bengaluru"/>
    <x v="2"/>
    <s v="Office"/>
    <x v="10"/>
    <n v="3"/>
    <n v="7263.16"/>
    <n v="0.1"/>
    <n v="19610.53"/>
    <n v="13589.43"/>
    <n v="6021.1"/>
    <x v="0"/>
    <n v="0.3070340271272628"/>
    <x v="0"/>
    <x v="2"/>
    <x v="2"/>
    <s v="Q1"/>
  </r>
  <r>
    <s v="ORD100199"/>
    <x v="82"/>
    <s v="CUST1558"/>
    <s v="Priya Joshi"/>
    <x v="0"/>
    <s v="Maharashtra"/>
    <s v="Pune"/>
    <x v="2"/>
    <s v="Office"/>
    <x v="10"/>
    <n v="1"/>
    <n v="7003.43"/>
    <n v="0.1"/>
    <n v="6303.09"/>
    <n v="4511.83"/>
    <n v="1791.26"/>
    <x v="3"/>
    <n v="0.28418759687708728"/>
    <x v="0"/>
    <x v="2"/>
    <x v="2"/>
    <s v="Q1"/>
  </r>
  <r>
    <s v="ORD101172"/>
    <x v="83"/>
    <s v="CUST1219"/>
    <s v="Ishaan Gupta"/>
    <x v="1"/>
    <s v="Delhi"/>
    <s v="New Delhi"/>
    <x v="1"/>
    <s v="Storage"/>
    <x v="9"/>
    <n v="2"/>
    <n v="477.1"/>
    <n v="0.1"/>
    <n v="858.78"/>
    <n v="427.55"/>
    <n v="431.23"/>
    <x v="2"/>
    <n v="0.50214257434965881"/>
    <x v="0"/>
    <x v="2"/>
    <x v="2"/>
    <s v="Q1"/>
  </r>
  <r>
    <s v="ORD101866"/>
    <x v="83"/>
    <s v="CUST1457"/>
    <s v="Priya Malhotra"/>
    <x v="2"/>
    <s v="Karnataka"/>
    <s v="Mangaluru"/>
    <x v="2"/>
    <s v="Office"/>
    <x v="10"/>
    <n v="6"/>
    <n v="7216.91"/>
    <n v="0.15"/>
    <n v="36806.239999999998"/>
    <n v="26803.78"/>
    <n v="10002.459999999999"/>
    <x v="0"/>
    <n v="0.27175989723481669"/>
    <x v="0"/>
    <x v="2"/>
    <x v="2"/>
    <s v="Q1"/>
  </r>
  <r>
    <s v="ORD101546"/>
    <x v="84"/>
    <s v="CUST1195"/>
    <s v="Aditya Joshi"/>
    <x v="1"/>
    <s v="Delhi"/>
    <s v="Delhi"/>
    <x v="2"/>
    <s v="Living Room"/>
    <x v="16"/>
    <n v="1"/>
    <n v="3811.63"/>
    <n v="0.2"/>
    <n v="3049.3"/>
    <n v="2345.3000000000002"/>
    <n v="704"/>
    <x v="1"/>
    <n v="0.23087265929885539"/>
    <x v="0"/>
    <x v="2"/>
    <x v="2"/>
    <s v="Q1"/>
  </r>
  <r>
    <s v="ORD102218"/>
    <x v="84"/>
    <s v="CUST1193"/>
    <s v="Varun Gupta"/>
    <x v="2"/>
    <s v="Telangana"/>
    <s v="Warangal"/>
    <x v="2"/>
    <s v="Office"/>
    <x v="10"/>
    <n v="4"/>
    <n v="7379.95"/>
    <n v="0.15"/>
    <n v="25091.83"/>
    <n v="18288.509999999998"/>
    <n v="6803.32"/>
    <x v="1"/>
    <n v="0.27113686008553378"/>
    <x v="0"/>
    <x v="2"/>
    <x v="2"/>
    <s v="Q1"/>
  </r>
  <r>
    <s v="ORD101116"/>
    <x v="85"/>
    <s v="CUST1415"/>
    <s v="Aditya Mehta"/>
    <x v="0"/>
    <s v="Maharashtra"/>
    <s v="Nagpur"/>
    <x v="0"/>
    <s v="Computers"/>
    <x v="3"/>
    <n v="3"/>
    <n v="15725.92"/>
    <n v="0.2"/>
    <n v="37742.21"/>
    <n v="36795.99"/>
    <n v="946.22"/>
    <x v="0"/>
    <n v="2.5070603973641189E-2"/>
    <x v="0"/>
    <x v="2"/>
    <x v="2"/>
    <s v="Q1"/>
  </r>
  <r>
    <s v="ORD100671"/>
    <x v="86"/>
    <s v="CUST1029"/>
    <s v="Arjun Joshi"/>
    <x v="2"/>
    <s v="Telangana"/>
    <s v="Warangal"/>
    <x v="0"/>
    <s v="Audio"/>
    <x v="8"/>
    <n v="5"/>
    <n v="2838.39"/>
    <n v="0.15"/>
    <n v="12063.16"/>
    <n v="7570.91"/>
    <n v="4492.25"/>
    <x v="1"/>
    <n v="0.37239413221742901"/>
    <x v="0"/>
    <x v="2"/>
    <x v="2"/>
    <s v="Q1"/>
  </r>
  <r>
    <s v="ORD100803"/>
    <x v="86"/>
    <s v="CUST1301"/>
    <s v="Aarav Mehta"/>
    <x v="0"/>
    <s v="Maharashtra"/>
    <s v="Mumbai"/>
    <x v="0"/>
    <s v="Audio"/>
    <x v="11"/>
    <n v="6"/>
    <n v="2103.6999999999998"/>
    <n v="0.1"/>
    <n v="11359.98"/>
    <n v="7314.95"/>
    <n v="4045.03"/>
    <x v="2"/>
    <n v="0.35607721140354132"/>
    <x v="0"/>
    <x v="2"/>
    <x v="2"/>
    <s v="Q1"/>
  </r>
  <r>
    <s v="ORD100890"/>
    <x v="86"/>
    <s v="CUST1079"/>
    <s v="Arjun Gupta"/>
    <x v="3"/>
    <s v="West Bengal"/>
    <s v="Durgapur"/>
    <x v="0"/>
    <s v="Computers"/>
    <x v="3"/>
    <n v="4"/>
    <n v="16793.900000000001"/>
    <n v="0.15"/>
    <n v="57099.26"/>
    <n v="49548"/>
    <n v="7551.26"/>
    <x v="0"/>
    <n v="0.1322479485723633"/>
    <x v="0"/>
    <x v="2"/>
    <x v="2"/>
    <s v="Q1"/>
  </r>
  <r>
    <s v="ORD100283"/>
    <x v="86"/>
    <s v="CUST1305"/>
    <s v="Sanjana Rao"/>
    <x v="2"/>
    <s v="Tamil Nadu"/>
    <s v="Chennai"/>
    <x v="2"/>
    <s v="Living Room"/>
    <x v="16"/>
    <n v="2"/>
    <n v="4139.25"/>
    <n v="0.1"/>
    <n v="7450.65"/>
    <n v="5321.05"/>
    <n v="2129.6"/>
    <x v="0"/>
    <n v="0.28582741103125231"/>
    <x v="0"/>
    <x v="2"/>
    <x v="2"/>
    <s v="Q1"/>
  </r>
  <r>
    <s v="ORD100234"/>
    <x v="86"/>
    <s v="CUST1168"/>
    <s v="Arjun Das"/>
    <x v="2"/>
    <s v="Karnataka"/>
    <s v="Mangaluru"/>
    <x v="2"/>
    <s v="Office"/>
    <x v="14"/>
    <n v="4"/>
    <n v="8620.02"/>
    <n v="0.05"/>
    <n v="32756.080000000002"/>
    <n v="24246.77"/>
    <n v="8509.31"/>
    <x v="3"/>
    <n v="0.25977803204779082"/>
    <x v="0"/>
    <x v="2"/>
    <x v="2"/>
    <s v="Q1"/>
  </r>
  <r>
    <s v="ORD101467"/>
    <x v="87"/>
    <s v="CUST1173"/>
    <s v="Ananya Singh"/>
    <x v="1"/>
    <s v="Delhi"/>
    <s v="New Delhi"/>
    <x v="3"/>
    <s v="Kitchen"/>
    <x v="7"/>
    <n v="1"/>
    <n v="1859.15"/>
    <n v="0.15"/>
    <n v="1580.28"/>
    <n v="986.92"/>
    <n v="593.36"/>
    <x v="0"/>
    <n v="0.37547776343432809"/>
    <x v="0"/>
    <x v="3"/>
    <x v="3"/>
    <s v="Q2"/>
  </r>
  <r>
    <s v="ORD101878"/>
    <x v="87"/>
    <s v="CUST1490"/>
    <s v="Rahul Naidu"/>
    <x v="2"/>
    <s v="Karnataka"/>
    <s v="Bengaluru"/>
    <x v="3"/>
    <s v="Kitchen"/>
    <x v="7"/>
    <n v="3"/>
    <n v="1751.83"/>
    <n v="0.1"/>
    <n v="4729.9399999999996"/>
    <n v="2752.73"/>
    <n v="1977.21"/>
    <x v="1"/>
    <n v="0.41802010173490578"/>
    <x v="0"/>
    <x v="3"/>
    <x v="3"/>
    <s v="Q2"/>
  </r>
  <r>
    <s v="ORD100664"/>
    <x v="87"/>
    <s v="CUST1519"/>
    <s v="Aditya Mehta"/>
    <x v="2"/>
    <s v="Telangana"/>
    <s v="Nizamabad"/>
    <x v="0"/>
    <s v="Computers"/>
    <x v="0"/>
    <n v="3"/>
    <n v="59442.93"/>
    <n v="0"/>
    <n v="178328.79"/>
    <n v="155566.54"/>
    <n v="22762.25"/>
    <x v="0"/>
    <n v="0.12764203693638029"/>
    <x v="0"/>
    <x v="3"/>
    <x v="3"/>
    <s v="Q2"/>
  </r>
  <r>
    <s v="ORD102001"/>
    <x v="88"/>
    <s v="CUST1617"/>
    <s v="Pooja Mehta"/>
    <x v="2"/>
    <s v="Telangana"/>
    <s v="Nizamabad"/>
    <x v="0"/>
    <s v="Accessories"/>
    <x v="5"/>
    <n v="1"/>
    <n v="2501.4"/>
    <n v="0.2"/>
    <n v="2001.12"/>
    <n v="1341.81"/>
    <n v="659.31"/>
    <x v="1"/>
    <n v="0.32947049652194771"/>
    <x v="0"/>
    <x v="3"/>
    <x v="3"/>
    <s v="Q2"/>
  </r>
  <r>
    <s v="ORD101395"/>
    <x v="88"/>
    <s v="CUST1306"/>
    <s v="Rahul Mehta"/>
    <x v="2"/>
    <s v="Tamil Nadu"/>
    <s v="Chennai"/>
    <x v="3"/>
    <s v="Kitchen"/>
    <x v="7"/>
    <n v="1"/>
    <n v="1883.71"/>
    <n v="0.05"/>
    <n v="1789.52"/>
    <n v="995.97"/>
    <n v="793.55"/>
    <x v="2"/>
    <n v="0.44344293441816801"/>
    <x v="0"/>
    <x v="3"/>
    <x v="3"/>
    <s v="Q2"/>
  </r>
  <r>
    <s v="ORD101695"/>
    <x v="88"/>
    <s v="CUST1160"/>
    <s v="Sanjana Mehta"/>
    <x v="2"/>
    <s v="Tamil Nadu"/>
    <s v="Madurai"/>
    <x v="0"/>
    <s v="Computers"/>
    <x v="0"/>
    <n v="2"/>
    <n v="60686.239999999998"/>
    <n v="0.15"/>
    <n v="103166.61"/>
    <n v="110477.35"/>
    <n v="-7310.74"/>
    <x v="1"/>
    <n v="-7.0863431492030213E-2"/>
    <x v="0"/>
    <x v="3"/>
    <x v="3"/>
    <s v="Q2"/>
  </r>
  <r>
    <s v="ORD100181"/>
    <x v="89"/>
    <s v="CUST1157"/>
    <s v="Pooja Naidu"/>
    <x v="2"/>
    <s v="Karnataka"/>
    <s v="Mysuru"/>
    <x v="2"/>
    <s v="Office"/>
    <x v="14"/>
    <n v="2"/>
    <n v="8060.38"/>
    <n v="0.1"/>
    <n v="14508.68"/>
    <n v="10945.56"/>
    <n v="3563.12"/>
    <x v="4"/>
    <n v="0.24558540129081349"/>
    <x v="0"/>
    <x v="3"/>
    <x v="3"/>
    <s v="Q2"/>
  </r>
  <r>
    <s v="ORD100645"/>
    <x v="89"/>
    <s v="CUST1494"/>
    <s v="Aarav Reddy"/>
    <x v="3"/>
    <s v="West Bengal"/>
    <s v="Siliguri"/>
    <x v="0"/>
    <s v="Accessories"/>
    <x v="5"/>
    <n v="1"/>
    <n v="2520.92"/>
    <n v="0.1"/>
    <n v="2268.83"/>
    <n v="1441.84"/>
    <n v="826.99"/>
    <x v="0"/>
    <n v="0.36450064570725882"/>
    <x v="0"/>
    <x v="3"/>
    <x v="3"/>
    <s v="Q2"/>
  </r>
  <r>
    <s v="ORD100374"/>
    <x v="89"/>
    <s v="CUST1564"/>
    <s v="Kiran Rao"/>
    <x v="0"/>
    <s v="Maharashtra"/>
    <s v="Nagpur"/>
    <x v="1"/>
    <s v="Storage"/>
    <x v="9"/>
    <n v="3"/>
    <n v="509.66"/>
    <n v="0.2"/>
    <n v="1223.18"/>
    <n v="662.73"/>
    <n v="560.45000000000005"/>
    <x v="0"/>
    <n v="0.45819094491407641"/>
    <x v="0"/>
    <x v="3"/>
    <x v="3"/>
    <s v="Q2"/>
  </r>
  <r>
    <s v="ORD102315"/>
    <x v="89"/>
    <s v="CUST1400"/>
    <s v="Diya Das"/>
    <x v="0"/>
    <s v="Maharashtra"/>
    <s v="Mumbai"/>
    <x v="0"/>
    <s v="Computers"/>
    <x v="0"/>
    <n v="2"/>
    <n v="57011.62"/>
    <n v="0.15"/>
    <n v="96919.75"/>
    <n v="102160.58"/>
    <n v="-5240.83"/>
    <x v="2"/>
    <n v="-5.4073911664031332E-2"/>
    <x v="0"/>
    <x v="3"/>
    <x v="3"/>
    <s v="Q2"/>
  </r>
  <r>
    <s v="ORD100994"/>
    <x v="89"/>
    <s v="CUST1283"/>
    <s v="Aditya Das"/>
    <x v="2"/>
    <s v="Karnataka"/>
    <s v="Mangaluru"/>
    <x v="0"/>
    <s v="Computers"/>
    <x v="3"/>
    <n v="2"/>
    <n v="16697.3"/>
    <n v="0.05"/>
    <n v="31724.87"/>
    <n v="24088.31"/>
    <n v="7636.56"/>
    <x v="0"/>
    <n v="0.24071209748062011"/>
    <x v="0"/>
    <x v="3"/>
    <x v="3"/>
    <s v="Q2"/>
  </r>
  <r>
    <s v="ORD101501"/>
    <x v="90"/>
    <s v="CUST1082"/>
    <s v="Ishaan Nair"/>
    <x v="2"/>
    <s v="Karnataka"/>
    <s v="Hubballi"/>
    <x v="0"/>
    <s v="Audio"/>
    <x v="8"/>
    <n v="3"/>
    <n v="3153.24"/>
    <n v="0"/>
    <n v="9459.7199999999993"/>
    <n v="5036.3"/>
    <n v="4423.42"/>
    <x v="2"/>
    <n v="0.46760580651435768"/>
    <x v="0"/>
    <x v="3"/>
    <x v="3"/>
    <s v="Q2"/>
  </r>
  <r>
    <s v="ORD101610"/>
    <x v="90"/>
    <s v="CUST1019"/>
    <s v="Rahul Das"/>
    <x v="3"/>
    <s v="West Bengal"/>
    <s v="Durgapur"/>
    <x v="0"/>
    <s v="Computers"/>
    <x v="3"/>
    <n v="2"/>
    <n v="15379.28"/>
    <n v="0"/>
    <n v="30758.560000000001"/>
    <n v="22421"/>
    <n v="8337.56"/>
    <x v="0"/>
    <n v="0.2710647052397771"/>
    <x v="0"/>
    <x v="3"/>
    <x v="3"/>
    <s v="Q2"/>
  </r>
  <r>
    <s v="ORD100243"/>
    <x v="90"/>
    <s v="CUST1030"/>
    <s v="Arjun Naidu"/>
    <x v="2"/>
    <s v="Karnataka"/>
    <s v="Mysuru"/>
    <x v="0"/>
    <s v="Accessories"/>
    <x v="6"/>
    <n v="1"/>
    <n v="776.55"/>
    <n v="0.2"/>
    <n v="621.24"/>
    <n v="481.62"/>
    <n v="139.62"/>
    <x v="3"/>
    <n v="0.22474406026656371"/>
    <x v="0"/>
    <x v="3"/>
    <x v="3"/>
    <s v="Q2"/>
  </r>
  <r>
    <s v="ORD101187"/>
    <x v="91"/>
    <s v="CUST1582"/>
    <s v="Nikhil Das"/>
    <x v="3"/>
    <s v="West Bengal"/>
    <s v="Kolkata"/>
    <x v="1"/>
    <s v="Stationery"/>
    <x v="1"/>
    <n v="6"/>
    <n v="258.24"/>
    <n v="0.1"/>
    <n v="1394.5"/>
    <n v="598.07000000000005"/>
    <n v="796.43"/>
    <x v="2"/>
    <n v="0.57112226604517746"/>
    <x v="0"/>
    <x v="3"/>
    <x v="3"/>
    <s v="Q2"/>
  </r>
  <r>
    <s v="ORD100382"/>
    <x v="91"/>
    <s v="CUST1075"/>
    <s v="Sanjana Naidu"/>
    <x v="2"/>
    <s v="Karnataka"/>
    <s v="Mangaluru"/>
    <x v="0"/>
    <s v="Computers"/>
    <x v="3"/>
    <n v="5"/>
    <n v="16803.740000000002"/>
    <n v="0.1"/>
    <n v="75616.83"/>
    <n v="62005.42"/>
    <n v="13611.41"/>
    <x v="0"/>
    <n v="0.1800050332710324"/>
    <x v="0"/>
    <x v="3"/>
    <x v="3"/>
    <s v="Q2"/>
  </r>
  <r>
    <s v="ORD101708"/>
    <x v="91"/>
    <s v="CUST1395"/>
    <s v="Kavya Iyer"/>
    <x v="0"/>
    <s v="Maharashtra"/>
    <s v="Pune"/>
    <x v="3"/>
    <s v="Cleaning"/>
    <x v="12"/>
    <n v="6"/>
    <n v="13206.91"/>
    <n v="0.1"/>
    <n v="71317.31"/>
    <n v="57293.32"/>
    <n v="14023.99"/>
    <x v="0"/>
    <n v="0.19664216162948381"/>
    <x v="0"/>
    <x v="3"/>
    <x v="3"/>
    <s v="Q2"/>
  </r>
  <r>
    <s v="ORD101255"/>
    <x v="91"/>
    <s v="CUST1619"/>
    <s v="Aditya Naidu"/>
    <x v="2"/>
    <s v="Telangana"/>
    <s v="Warangal"/>
    <x v="1"/>
    <s v="Stationery"/>
    <x v="17"/>
    <n v="3"/>
    <n v="308.97000000000003"/>
    <n v="0.2"/>
    <n v="741.53"/>
    <n v="380.68"/>
    <n v="360.85"/>
    <x v="0"/>
    <n v="0.48662899680390548"/>
    <x v="0"/>
    <x v="3"/>
    <x v="3"/>
    <s v="Q2"/>
  </r>
  <r>
    <s v="ORD101850"/>
    <x v="92"/>
    <s v="CUST1559"/>
    <s v="Varun Mehta"/>
    <x v="2"/>
    <s v="Karnataka"/>
    <s v="Bengaluru"/>
    <x v="3"/>
    <s v="Kitchen"/>
    <x v="13"/>
    <n v="2"/>
    <n v="3441.72"/>
    <n v="0.1"/>
    <n v="6195.1"/>
    <n v="3772.18"/>
    <n v="2422.92"/>
    <x v="3"/>
    <n v="0.39110264563929559"/>
    <x v="0"/>
    <x v="3"/>
    <x v="3"/>
    <s v="Q2"/>
  </r>
  <r>
    <s v="ORD101234"/>
    <x v="92"/>
    <s v="CUST1084"/>
    <s v="Kavya Reddy"/>
    <x v="3"/>
    <s v="West Bengal"/>
    <s v="Kolkata"/>
    <x v="0"/>
    <s v="Accessories"/>
    <x v="6"/>
    <n v="4"/>
    <n v="776.13"/>
    <n v="0.1"/>
    <n v="2794.07"/>
    <n v="1945.61"/>
    <n v="848.46"/>
    <x v="3"/>
    <n v="0.3036645467006911"/>
    <x v="0"/>
    <x v="3"/>
    <x v="3"/>
    <s v="Q2"/>
  </r>
  <r>
    <s v="ORD101761"/>
    <x v="92"/>
    <s v="CUST1636"/>
    <s v="Pooja Kumar"/>
    <x v="2"/>
    <s v="Telangana"/>
    <s v="Hyderabad"/>
    <x v="2"/>
    <s v="Office"/>
    <x v="10"/>
    <n v="1"/>
    <n v="7029.89"/>
    <n v="0.2"/>
    <n v="5623.91"/>
    <n v="4581.79"/>
    <n v="1042.1199999999999"/>
    <x v="1"/>
    <n v="0.18530168512653999"/>
    <x v="0"/>
    <x v="3"/>
    <x v="3"/>
    <s v="Q2"/>
  </r>
  <r>
    <s v="ORD100870"/>
    <x v="92"/>
    <s v="CUST1141"/>
    <s v="Ishaan Mehta"/>
    <x v="1"/>
    <s v="Delhi"/>
    <s v="Delhi"/>
    <x v="0"/>
    <s v="Audio"/>
    <x v="11"/>
    <n v="1"/>
    <n v="1941.62"/>
    <n v="0.05"/>
    <n v="1844.54"/>
    <n v="1082.3699999999999"/>
    <n v="762.17"/>
    <x v="4"/>
    <n v="0.4132032918776497"/>
    <x v="0"/>
    <x v="3"/>
    <x v="3"/>
    <s v="Q2"/>
  </r>
  <r>
    <s v="ORD100753"/>
    <x v="92"/>
    <s v="CUST1014"/>
    <s v="Neha Naidu"/>
    <x v="3"/>
    <s v="West Bengal"/>
    <s v="Kolkata"/>
    <x v="0"/>
    <s v="Audio"/>
    <x v="8"/>
    <n v="3"/>
    <n v="3104.52"/>
    <n v="0.15"/>
    <n v="7916.53"/>
    <n v="4709.58"/>
    <n v="3206.95"/>
    <x v="0"/>
    <n v="0.40509541427873069"/>
    <x v="0"/>
    <x v="3"/>
    <x v="3"/>
    <s v="Q2"/>
  </r>
  <r>
    <s v="ORD101308"/>
    <x v="93"/>
    <s v="CUST1324"/>
    <s v="Rohan Kumar"/>
    <x v="2"/>
    <s v="Tamil Nadu"/>
    <s v="Chennai"/>
    <x v="2"/>
    <s v="Office"/>
    <x v="14"/>
    <n v="2"/>
    <n v="8422.58"/>
    <n v="0"/>
    <n v="16845.16"/>
    <n v="11593.98"/>
    <n v="5251.18"/>
    <x v="0"/>
    <n v="0.31173227205915532"/>
    <x v="0"/>
    <x v="3"/>
    <x v="3"/>
    <s v="Q2"/>
  </r>
  <r>
    <s v="ORD101568"/>
    <x v="93"/>
    <s v="CUST1384"/>
    <s v="Ananya Nair"/>
    <x v="1"/>
    <s v="Delhi"/>
    <s v="New Delhi"/>
    <x v="0"/>
    <s v="Audio"/>
    <x v="8"/>
    <n v="1"/>
    <n v="3173.08"/>
    <n v="0.15"/>
    <n v="2697.12"/>
    <n v="1671.06"/>
    <n v="1026.06"/>
    <x v="0"/>
    <n v="0.38042801210179739"/>
    <x v="0"/>
    <x v="3"/>
    <x v="3"/>
    <s v="Q2"/>
  </r>
  <r>
    <s v="ORD100308"/>
    <x v="93"/>
    <s v="CUST1322"/>
    <s v="Kavya Kumar"/>
    <x v="0"/>
    <s v="Maharashtra"/>
    <s v="Pune"/>
    <x v="3"/>
    <s v="Kitchen"/>
    <x v="7"/>
    <n v="4"/>
    <n v="1857.91"/>
    <n v="0.1"/>
    <n v="6688.48"/>
    <n v="3939.61"/>
    <n v="2748.87"/>
    <x v="4"/>
    <n v="0.41098575461091308"/>
    <x v="0"/>
    <x v="3"/>
    <x v="3"/>
    <s v="Q2"/>
  </r>
  <r>
    <s v="ORD100704"/>
    <x v="93"/>
    <s v="CUST1351"/>
    <s v="Kavya Joshi"/>
    <x v="3"/>
    <s v="West Bengal"/>
    <s v="Siliguri"/>
    <x v="1"/>
    <s v="Storage"/>
    <x v="2"/>
    <n v="2"/>
    <n v="712.92"/>
    <n v="0"/>
    <n v="1425.84"/>
    <n v="670.19"/>
    <n v="755.65"/>
    <x v="0"/>
    <n v="0.52996829938843071"/>
    <x v="0"/>
    <x v="3"/>
    <x v="3"/>
    <s v="Q2"/>
  </r>
  <r>
    <s v="ORD101416"/>
    <x v="94"/>
    <s v="CUST1100"/>
    <s v="Rahul Singh"/>
    <x v="3"/>
    <s v="West Bengal"/>
    <s v="Durgapur"/>
    <x v="2"/>
    <s v="Office"/>
    <x v="14"/>
    <n v="2"/>
    <n v="8627.0400000000009"/>
    <n v="0"/>
    <n v="17254.080000000002"/>
    <n v="11986.23"/>
    <n v="5267.85"/>
    <x v="4"/>
    <n v="0.30531039614978023"/>
    <x v="0"/>
    <x v="3"/>
    <x v="3"/>
    <s v="Q2"/>
  </r>
  <r>
    <s v="ORD102065"/>
    <x v="94"/>
    <s v="CUST1254"/>
    <s v="Priya Gupta"/>
    <x v="2"/>
    <s v="Karnataka"/>
    <s v="Mangaluru"/>
    <x v="0"/>
    <s v="Audio"/>
    <x v="8"/>
    <n v="1"/>
    <n v="3014.13"/>
    <n v="0.15"/>
    <n v="2562.0100000000002"/>
    <n v="1524.76"/>
    <n v="1037.25"/>
    <x v="0"/>
    <n v="0.40485790453589171"/>
    <x v="0"/>
    <x v="3"/>
    <x v="3"/>
    <s v="Q2"/>
  </r>
  <r>
    <s v="ORD102251"/>
    <x v="95"/>
    <s v="CUST1401"/>
    <s v="Nikhil Joshi"/>
    <x v="2"/>
    <s v="Telangana"/>
    <s v="Karimnagar"/>
    <x v="2"/>
    <s v="Office"/>
    <x v="14"/>
    <n v="2"/>
    <n v="8699.9"/>
    <n v="0.05"/>
    <n v="16529.810000000001"/>
    <n v="11747.81"/>
    <n v="4782"/>
    <x v="2"/>
    <n v="0.28929552124313579"/>
    <x v="0"/>
    <x v="3"/>
    <x v="3"/>
    <s v="Q2"/>
  </r>
  <r>
    <s v="ORD100571"/>
    <x v="95"/>
    <s v="CUST1241"/>
    <s v="Kiran Reddy"/>
    <x v="2"/>
    <s v="Telangana"/>
    <s v="Warangal"/>
    <x v="1"/>
    <s v="Stationery"/>
    <x v="17"/>
    <n v="3"/>
    <n v="308.88"/>
    <n v="0"/>
    <n v="926.64"/>
    <n v="379.9"/>
    <n v="546.74"/>
    <x v="0"/>
    <n v="0.59002417335750668"/>
    <x v="0"/>
    <x v="3"/>
    <x v="3"/>
    <s v="Q2"/>
  </r>
  <r>
    <s v="ORD101905"/>
    <x v="95"/>
    <s v="CUST1102"/>
    <s v="Kavya Iyer"/>
    <x v="3"/>
    <s v="West Bengal"/>
    <s v="Kolkata"/>
    <x v="2"/>
    <s v="Office"/>
    <x v="14"/>
    <n v="3"/>
    <n v="8956.3799999999992"/>
    <n v="0.15"/>
    <n v="22838.77"/>
    <n v="17796.5"/>
    <n v="5042.2700000000004"/>
    <x v="3"/>
    <n v="0.22077677563196271"/>
    <x v="0"/>
    <x v="3"/>
    <x v="3"/>
    <s v="Q2"/>
  </r>
  <r>
    <s v="ORD101129"/>
    <x v="95"/>
    <s v="CUST1615"/>
    <s v="Sneha Patel"/>
    <x v="3"/>
    <s v="West Bengal"/>
    <s v="Siliguri"/>
    <x v="3"/>
    <s v="Cleaning"/>
    <x v="12"/>
    <n v="3"/>
    <n v="13643.62"/>
    <n v="0"/>
    <n v="40930.86"/>
    <n v="29793.94"/>
    <n v="11136.92"/>
    <x v="0"/>
    <n v="0.27209103351358849"/>
    <x v="0"/>
    <x v="3"/>
    <x v="3"/>
    <s v="Q2"/>
  </r>
  <r>
    <s v="ORD101041"/>
    <x v="95"/>
    <s v="CUST1445"/>
    <s v="Nikhil Patel"/>
    <x v="2"/>
    <s v="Telangana"/>
    <s v="Hyderabad"/>
    <x v="2"/>
    <s v="Office"/>
    <x v="10"/>
    <n v="1"/>
    <n v="7233.15"/>
    <n v="0.1"/>
    <n v="6509.84"/>
    <n v="4665.1000000000004"/>
    <n v="1844.74"/>
    <x v="1"/>
    <n v="0.28337716441571531"/>
    <x v="0"/>
    <x v="3"/>
    <x v="3"/>
    <s v="Q2"/>
  </r>
  <r>
    <s v="ORD102375"/>
    <x v="96"/>
    <s v="CUST1223"/>
    <s v="Nikhil Nair"/>
    <x v="2"/>
    <s v="Tamil Nadu"/>
    <s v="Madurai"/>
    <x v="2"/>
    <s v="Office"/>
    <x v="14"/>
    <n v="3"/>
    <n v="8907.19"/>
    <n v="0.15"/>
    <n v="22713.33"/>
    <n v="17613.32"/>
    <n v="5100.01"/>
    <x v="2"/>
    <n v="0.2245381896886102"/>
    <x v="0"/>
    <x v="3"/>
    <x v="3"/>
    <s v="Q2"/>
  </r>
  <r>
    <s v="ORD100463"/>
    <x v="96"/>
    <s v="CUST1458"/>
    <s v="Aarav Iyer"/>
    <x v="1"/>
    <s v="Delhi"/>
    <s v="Delhi"/>
    <x v="0"/>
    <s v="Accessories"/>
    <x v="5"/>
    <n v="5"/>
    <n v="2524.8200000000002"/>
    <n v="0.1"/>
    <n v="11361.69"/>
    <n v="6948.9"/>
    <n v="4412.79"/>
    <x v="0"/>
    <n v="0.38839204378926018"/>
    <x v="0"/>
    <x v="3"/>
    <x v="3"/>
    <s v="Q2"/>
  </r>
  <r>
    <s v="ORD101448"/>
    <x v="96"/>
    <s v="CUST1245"/>
    <s v="Aisha Singh"/>
    <x v="2"/>
    <s v="Karnataka"/>
    <s v="Mangaluru"/>
    <x v="0"/>
    <s v="Audio"/>
    <x v="11"/>
    <n v="2"/>
    <n v="1986.7"/>
    <n v="0.15"/>
    <n v="3377.39"/>
    <n v="2335.63"/>
    <n v="1041.76"/>
    <x v="4"/>
    <n v="0.30845120048321339"/>
    <x v="0"/>
    <x v="3"/>
    <x v="3"/>
    <s v="Q2"/>
  </r>
  <r>
    <s v="ORD100934"/>
    <x v="96"/>
    <s v="CUST1140"/>
    <s v="Pooja Patel"/>
    <x v="1"/>
    <s v="Delhi"/>
    <s v="New Delhi"/>
    <x v="1"/>
    <s v="Stationery"/>
    <x v="17"/>
    <n v="1"/>
    <n v="303.41000000000003"/>
    <n v="0"/>
    <n v="303.41000000000003"/>
    <n v="125.45"/>
    <n v="177.96"/>
    <x v="0"/>
    <n v="0.5865330740582051"/>
    <x v="0"/>
    <x v="3"/>
    <x v="3"/>
    <s v="Q2"/>
  </r>
  <r>
    <s v="ORD101510"/>
    <x v="97"/>
    <s v="CUST1033"/>
    <s v="Kavya Kumar"/>
    <x v="3"/>
    <s v="West Bengal"/>
    <s v="Siliguri"/>
    <x v="0"/>
    <s v="Audio"/>
    <x v="11"/>
    <n v="3"/>
    <n v="1968.71"/>
    <n v="0"/>
    <n v="5906.13"/>
    <n v="3429.81"/>
    <n v="2476.3200000000002"/>
    <x v="0"/>
    <n v="0.41927962980835171"/>
    <x v="0"/>
    <x v="3"/>
    <x v="3"/>
    <s v="Q2"/>
  </r>
  <r>
    <s v="ORD101011"/>
    <x v="97"/>
    <s v="CUST1379"/>
    <s v="Aarav Rao"/>
    <x v="0"/>
    <s v="Maharashtra"/>
    <s v="Pune"/>
    <x v="2"/>
    <s v="Living Room"/>
    <x v="4"/>
    <n v="2"/>
    <n v="5081.43"/>
    <n v="0.1"/>
    <n v="9146.57"/>
    <n v="6211.53"/>
    <n v="2935.04"/>
    <x v="2"/>
    <n v="0.32088968870297829"/>
    <x v="0"/>
    <x v="3"/>
    <x v="3"/>
    <s v="Q2"/>
  </r>
  <r>
    <s v="ORD101293"/>
    <x v="97"/>
    <s v="CUST1198"/>
    <s v="Kavya Rao"/>
    <x v="2"/>
    <s v="Tamil Nadu"/>
    <s v="Chennai"/>
    <x v="1"/>
    <s v="Storage"/>
    <x v="9"/>
    <n v="3"/>
    <n v="476.12"/>
    <n v="0.05"/>
    <n v="1356.94"/>
    <n v="668.41"/>
    <n v="688.53"/>
    <x v="2"/>
    <n v="0.50741373973793968"/>
    <x v="0"/>
    <x v="3"/>
    <x v="3"/>
    <s v="Q2"/>
  </r>
  <r>
    <s v="ORD100421"/>
    <x v="97"/>
    <s v="CUST1092"/>
    <s v="Nikhil Gupta"/>
    <x v="2"/>
    <s v="Karnataka"/>
    <s v="Hubballi"/>
    <x v="3"/>
    <s v="Cleaning"/>
    <x v="12"/>
    <n v="2"/>
    <n v="12721.84"/>
    <n v="0.05"/>
    <n v="24171.5"/>
    <n v="18153.87"/>
    <n v="6017.63"/>
    <x v="1"/>
    <n v="0.2489555881927063"/>
    <x v="0"/>
    <x v="3"/>
    <x v="3"/>
    <s v="Q2"/>
  </r>
  <r>
    <s v="ORD100386"/>
    <x v="98"/>
    <s v="CUST1211"/>
    <s v="Aisha Reddy"/>
    <x v="0"/>
    <s v="Maharashtra"/>
    <s v="Nagpur"/>
    <x v="1"/>
    <s v="Storage"/>
    <x v="9"/>
    <n v="3"/>
    <n v="498.01"/>
    <n v="0.15"/>
    <n v="1269.93"/>
    <n v="674.11"/>
    <n v="595.82000000000005"/>
    <x v="1"/>
    <n v="0.46917546636428781"/>
    <x v="0"/>
    <x v="3"/>
    <x v="3"/>
    <s v="Q2"/>
  </r>
  <r>
    <s v="ORD101570"/>
    <x v="98"/>
    <s v="CUST1041"/>
    <s v="Nikhil Sharma"/>
    <x v="2"/>
    <s v="Tamil Nadu"/>
    <s v="Salem"/>
    <x v="3"/>
    <s v="Kitchen"/>
    <x v="7"/>
    <n v="3"/>
    <n v="1716.06"/>
    <n v="0"/>
    <n v="5148.18"/>
    <n v="2690.28"/>
    <n v="2457.9"/>
    <x v="0"/>
    <n v="0.47743085906087201"/>
    <x v="0"/>
    <x v="3"/>
    <x v="3"/>
    <s v="Q2"/>
  </r>
  <r>
    <s v="ORD101434"/>
    <x v="98"/>
    <s v="CUST1009"/>
    <s v="Sneha Kumar"/>
    <x v="2"/>
    <s v="Tamil Nadu"/>
    <s v="Chennai"/>
    <x v="3"/>
    <s v="Kitchen"/>
    <x v="13"/>
    <n v="5"/>
    <n v="3347.94"/>
    <n v="0.1"/>
    <n v="15065.73"/>
    <n v="9457.67"/>
    <n v="5608.06"/>
    <x v="0"/>
    <n v="0.37223951312017411"/>
    <x v="0"/>
    <x v="3"/>
    <x v="3"/>
    <s v="Q2"/>
  </r>
  <r>
    <s v="ORD100237"/>
    <x v="98"/>
    <s v="CUST1296"/>
    <s v="Ananya Patel"/>
    <x v="1"/>
    <s v="Delhi"/>
    <s v="New Delhi"/>
    <x v="0"/>
    <s v="Computers"/>
    <x v="3"/>
    <n v="1"/>
    <n v="15130.01"/>
    <n v="0.1"/>
    <n v="13617.01"/>
    <n v="11153.78"/>
    <n v="2463.23"/>
    <x v="2"/>
    <n v="0.18089360292751491"/>
    <x v="0"/>
    <x v="3"/>
    <x v="3"/>
    <s v="Q2"/>
  </r>
  <r>
    <s v="ORD101223"/>
    <x v="99"/>
    <s v="CUST1272"/>
    <s v="Neha Das"/>
    <x v="3"/>
    <s v="West Bengal"/>
    <s v="Durgapur"/>
    <x v="1"/>
    <s v="Storage"/>
    <x v="9"/>
    <n v="1"/>
    <n v="524.96"/>
    <n v="0.1"/>
    <n v="472.46"/>
    <n v="237.67"/>
    <n v="234.79"/>
    <x v="2"/>
    <n v="0.4969521229310418"/>
    <x v="0"/>
    <x v="3"/>
    <x v="3"/>
    <s v="Q2"/>
  </r>
  <r>
    <s v="ORD101597"/>
    <x v="99"/>
    <s v="CUST1244"/>
    <s v="Aisha Kumar"/>
    <x v="2"/>
    <s v="Tamil Nadu"/>
    <s v="Coimbatore"/>
    <x v="0"/>
    <s v="Accessories"/>
    <x v="5"/>
    <n v="2"/>
    <n v="2448.35"/>
    <n v="0.15"/>
    <n v="4162.1899999999996"/>
    <n v="2598.96"/>
    <n v="1563.23"/>
    <x v="2"/>
    <n v="0.37557872177867913"/>
    <x v="0"/>
    <x v="3"/>
    <x v="3"/>
    <s v="Q2"/>
  </r>
  <r>
    <s v="ORD101493"/>
    <x v="99"/>
    <s v="CUST1087"/>
    <s v="Ananya Mehta"/>
    <x v="3"/>
    <s v="West Bengal"/>
    <s v="Kolkata"/>
    <x v="3"/>
    <s v="Cleaning"/>
    <x v="12"/>
    <n v="1"/>
    <n v="13380.63"/>
    <n v="0.1"/>
    <n v="12042.57"/>
    <n v="9477.17"/>
    <n v="2565.4"/>
    <x v="0"/>
    <n v="0.21302761785897861"/>
    <x v="0"/>
    <x v="3"/>
    <x v="3"/>
    <s v="Q2"/>
  </r>
  <r>
    <s v="ORD101584"/>
    <x v="99"/>
    <s v="CUST1325"/>
    <s v="Rohan Naidu"/>
    <x v="2"/>
    <s v="Karnataka"/>
    <s v="Mysuru"/>
    <x v="0"/>
    <s v="Audio"/>
    <x v="11"/>
    <n v="4"/>
    <n v="1994.67"/>
    <n v="0.1"/>
    <n v="7180.81"/>
    <n v="4462.7700000000004"/>
    <n v="2718.04"/>
    <x v="0"/>
    <n v="0.37851440157865202"/>
    <x v="0"/>
    <x v="3"/>
    <x v="3"/>
    <s v="Q2"/>
  </r>
  <r>
    <s v="ORD101000"/>
    <x v="99"/>
    <s v="CUST1595"/>
    <s v="Aarav Naidu"/>
    <x v="2"/>
    <s v="Karnataka"/>
    <s v="Hubballi"/>
    <x v="2"/>
    <s v="Office"/>
    <x v="10"/>
    <n v="5"/>
    <n v="7021.47"/>
    <n v="0.1"/>
    <n v="31596.61"/>
    <n v="21856.7"/>
    <n v="9739.91"/>
    <x v="0"/>
    <n v="0.30825806945745132"/>
    <x v="0"/>
    <x v="3"/>
    <x v="3"/>
    <s v="Q2"/>
  </r>
  <r>
    <s v="ORD102389"/>
    <x v="100"/>
    <s v="CUST1292"/>
    <s v="Kiran Iyer"/>
    <x v="2"/>
    <s v="Tamil Nadu"/>
    <s v="Salem"/>
    <x v="0"/>
    <s v="Accessories"/>
    <x v="5"/>
    <n v="5"/>
    <n v="2498.58"/>
    <n v="0.1"/>
    <n v="11243.61"/>
    <n v="7121.03"/>
    <n v="4122.58"/>
    <x v="0"/>
    <n v="0.36665981833236833"/>
    <x v="0"/>
    <x v="3"/>
    <x v="3"/>
    <s v="Q2"/>
  </r>
  <r>
    <s v="ORD101594"/>
    <x v="100"/>
    <s v="CUST1640"/>
    <s v="Aisha Singh"/>
    <x v="3"/>
    <s v="West Bengal"/>
    <s v="Siliguri"/>
    <x v="3"/>
    <s v="Cleaning"/>
    <x v="12"/>
    <n v="1"/>
    <n v="12369.73"/>
    <n v="0.05"/>
    <n v="11751.24"/>
    <n v="9122.57"/>
    <n v="2628.67"/>
    <x v="0"/>
    <n v="0.2236929889952039"/>
    <x v="0"/>
    <x v="3"/>
    <x v="3"/>
    <s v="Q2"/>
  </r>
  <r>
    <s v="ORD102302"/>
    <x v="100"/>
    <s v="CUST1070"/>
    <s v="Rahul Naidu"/>
    <x v="3"/>
    <s v="West Bengal"/>
    <s v="Durgapur"/>
    <x v="0"/>
    <s v="Accessories"/>
    <x v="6"/>
    <n v="1"/>
    <n v="751.71"/>
    <n v="0.15"/>
    <n v="638.95000000000005"/>
    <n v="464.9"/>
    <n v="174.05"/>
    <x v="3"/>
    <n v="0.27240003130135382"/>
    <x v="0"/>
    <x v="3"/>
    <x v="3"/>
    <s v="Q2"/>
  </r>
  <r>
    <s v="ORD101580"/>
    <x v="100"/>
    <s v="CUST1315"/>
    <s v="Ishaan Kumar"/>
    <x v="2"/>
    <s v="Tamil Nadu"/>
    <s v="Chennai"/>
    <x v="3"/>
    <s v="Cleaning"/>
    <x v="12"/>
    <n v="2"/>
    <n v="12754.15"/>
    <n v="0.1"/>
    <n v="22957.47"/>
    <n v="19061.439999999999"/>
    <n v="3896.03"/>
    <x v="3"/>
    <n v="0.1697064179981505"/>
    <x v="0"/>
    <x v="3"/>
    <x v="3"/>
    <s v="Q2"/>
  </r>
  <r>
    <s v="ORD100768"/>
    <x v="100"/>
    <s v="CUST1650"/>
    <s v="Diya Singh"/>
    <x v="2"/>
    <s v="Karnataka"/>
    <s v="Bengaluru"/>
    <x v="3"/>
    <s v="Cleaning"/>
    <x v="12"/>
    <n v="2"/>
    <n v="12561.59"/>
    <n v="0"/>
    <n v="25123.18"/>
    <n v="17860.68"/>
    <n v="7262.5"/>
    <x v="0"/>
    <n v="0.28907566637662913"/>
    <x v="0"/>
    <x v="3"/>
    <x v="3"/>
    <s v="Q2"/>
  </r>
  <r>
    <s v="ORD102257"/>
    <x v="101"/>
    <s v="CUST1032"/>
    <s v="Ishaan Rao"/>
    <x v="2"/>
    <s v="Telangana"/>
    <s v="Nizamabad"/>
    <x v="3"/>
    <s v="Cleaning"/>
    <x v="15"/>
    <n v="3"/>
    <n v="7583.65"/>
    <n v="0.05"/>
    <n v="21613.4"/>
    <n v="14864.12"/>
    <n v="6749.28"/>
    <x v="4"/>
    <n v="0.31227294178611409"/>
    <x v="0"/>
    <x v="3"/>
    <x v="3"/>
    <s v="Q2"/>
  </r>
  <r>
    <s v="ORD100733"/>
    <x v="101"/>
    <s v="CUST1148"/>
    <s v="Sneha Verma"/>
    <x v="2"/>
    <s v="Karnataka"/>
    <s v="Mangaluru"/>
    <x v="0"/>
    <s v="Accessories"/>
    <x v="6"/>
    <n v="2"/>
    <n v="797.61"/>
    <n v="0"/>
    <n v="1595.22"/>
    <n v="974.13"/>
    <n v="621.09"/>
    <x v="3"/>
    <n v="0.38934441644412682"/>
    <x v="0"/>
    <x v="3"/>
    <x v="3"/>
    <s v="Q2"/>
  </r>
  <r>
    <s v="ORD101519"/>
    <x v="102"/>
    <s v="CUST1361"/>
    <s v="Aarav Singh"/>
    <x v="0"/>
    <s v="Maharashtra"/>
    <s v="Nashik"/>
    <x v="3"/>
    <s v="Kitchen"/>
    <x v="13"/>
    <n v="5"/>
    <n v="3378.93"/>
    <n v="0.15"/>
    <n v="14360.45"/>
    <n v="9485.93"/>
    <n v="4874.5200000000004"/>
    <x v="0"/>
    <n v="0.33944061641522377"/>
    <x v="0"/>
    <x v="3"/>
    <x v="3"/>
    <s v="Q2"/>
  </r>
  <r>
    <s v="ORD101542"/>
    <x v="102"/>
    <s v="CUST1237"/>
    <s v="Vikram Mehta"/>
    <x v="2"/>
    <s v="Karnataka"/>
    <s v="Bengaluru"/>
    <x v="2"/>
    <s v="Office"/>
    <x v="14"/>
    <n v="1"/>
    <n v="8408.84"/>
    <n v="0"/>
    <n v="8408.84"/>
    <n v="5817.69"/>
    <n v="2591.15"/>
    <x v="4"/>
    <n v="0.30814595116567811"/>
    <x v="0"/>
    <x v="3"/>
    <x v="3"/>
    <s v="Q2"/>
  </r>
  <r>
    <s v="ORD101988"/>
    <x v="102"/>
    <s v="CUST1500"/>
    <s v="Priya Mehta"/>
    <x v="2"/>
    <s v="Telangana"/>
    <s v="Karimnagar"/>
    <x v="0"/>
    <s v="Audio"/>
    <x v="11"/>
    <n v="2"/>
    <n v="1928.55"/>
    <n v="0.05"/>
    <n v="3664.24"/>
    <n v="2161.1"/>
    <n v="1503.14"/>
    <x v="3"/>
    <n v="0.41021876296312482"/>
    <x v="0"/>
    <x v="3"/>
    <x v="3"/>
    <s v="Q2"/>
  </r>
  <r>
    <s v="ORD100379"/>
    <x v="102"/>
    <s v="CUST1049"/>
    <s v="Rahul Joshi"/>
    <x v="3"/>
    <s v="West Bengal"/>
    <s v="Durgapur"/>
    <x v="1"/>
    <s v="Storage"/>
    <x v="9"/>
    <n v="3"/>
    <n v="469.84"/>
    <n v="0.05"/>
    <n v="1339.04"/>
    <n v="623.15"/>
    <n v="715.89"/>
    <x v="4"/>
    <n v="0.53462928665312459"/>
    <x v="0"/>
    <x v="3"/>
    <x v="3"/>
    <s v="Q2"/>
  </r>
  <r>
    <s v="ORD100045"/>
    <x v="103"/>
    <s v="CUST1115"/>
    <s v="Neha Malhotra"/>
    <x v="2"/>
    <s v="Karnataka"/>
    <s v="Bengaluru"/>
    <x v="3"/>
    <s v="Cleaning"/>
    <x v="12"/>
    <n v="5"/>
    <n v="12816.99"/>
    <n v="0.05"/>
    <n v="60880.7"/>
    <n v="46989"/>
    <n v="13891.7"/>
    <x v="1"/>
    <n v="0.2281790452475087"/>
    <x v="0"/>
    <x v="3"/>
    <x v="3"/>
    <s v="Q2"/>
  </r>
  <r>
    <s v="ORD100501"/>
    <x v="104"/>
    <s v="CUST1548"/>
    <s v="Aarav Naidu"/>
    <x v="2"/>
    <s v="Karnataka"/>
    <s v="Mysuru"/>
    <x v="0"/>
    <s v="Computers"/>
    <x v="3"/>
    <n v="1"/>
    <n v="16663.63"/>
    <n v="0.1"/>
    <n v="14997.27"/>
    <n v="12068.45"/>
    <n v="2928.82"/>
    <x v="3"/>
    <n v="0.19529020948479289"/>
    <x v="0"/>
    <x v="3"/>
    <x v="3"/>
    <s v="Q2"/>
  </r>
  <r>
    <s v="ORD101623"/>
    <x v="104"/>
    <s v="CUST1183"/>
    <s v="Aditya Singh"/>
    <x v="0"/>
    <s v="Maharashtra"/>
    <s v="Mumbai"/>
    <x v="0"/>
    <s v="Computers"/>
    <x v="0"/>
    <n v="3"/>
    <n v="61559.23"/>
    <n v="0.05"/>
    <n v="175443.81"/>
    <n v="159426.91"/>
    <n v="16016.9"/>
    <x v="1"/>
    <n v="9.1293617027582791E-2"/>
    <x v="0"/>
    <x v="3"/>
    <x v="3"/>
    <s v="Q2"/>
  </r>
  <r>
    <s v="ORD102150"/>
    <x v="104"/>
    <s v="CUST1094"/>
    <s v="Rohan Rao"/>
    <x v="1"/>
    <s v="Delhi"/>
    <s v="Delhi"/>
    <x v="2"/>
    <s v="Office"/>
    <x v="10"/>
    <n v="1"/>
    <n v="6643.67"/>
    <n v="0.1"/>
    <n v="5979.3"/>
    <n v="4418.8"/>
    <n v="1560.5"/>
    <x v="0"/>
    <n v="0.26098372719214619"/>
    <x v="0"/>
    <x v="3"/>
    <x v="3"/>
    <s v="Q2"/>
  </r>
  <r>
    <s v="ORD100910"/>
    <x v="104"/>
    <s v="CUST1218"/>
    <s v="Aditya Patel"/>
    <x v="2"/>
    <s v="Tamil Nadu"/>
    <s v="Coimbatore"/>
    <x v="0"/>
    <s v="Computers"/>
    <x v="0"/>
    <n v="3"/>
    <n v="60095.92"/>
    <n v="0"/>
    <n v="180287.76"/>
    <n v="157868.35999999999"/>
    <n v="22419.4"/>
    <x v="4"/>
    <n v="0.1243534225507045"/>
    <x v="0"/>
    <x v="3"/>
    <x v="3"/>
    <s v="Q2"/>
  </r>
  <r>
    <s v="ORD100575"/>
    <x v="104"/>
    <s v="CUST1083"/>
    <s v="Nikhil Joshi"/>
    <x v="3"/>
    <s v="West Bengal"/>
    <s v="Durgapur"/>
    <x v="1"/>
    <s v="Stationery"/>
    <x v="17"/>
    <n v="3"/>
    <n v="293.27"/>
    <n v="0.1"/>
    <n v="791.83"/>
    <n v="380.16"/>
    <n v="411.67"/>
    <x v="1"/>
    <n v="0.51989694757713145"/>
    <x v="0"/>
    <x v="3"/>
    <x v="3"/>
    <s v="Q2"/>
  </r>
  <r>
    <s v="ORD100248"/>
    <x v="105"/>
    <s v="CUST1462"/>
    <s v="Rohan Das"/>
    <x v="2"/>
    <s v="Telangana"/>
    <s v="Nizamabad"/>
    <x v="1"/>
    <s v="Storage"/>
    <x v="2"/>
    <n v="1"/>
    <n v="735.65"/>
    <n v="0.15"/>
    <n v="625.29999999999995"/>
    <n v="348.7"/>
    <n v="276.60000000000002"/>
    <x v="3"/>
    <n v="0.44234767311690393"/>
    <x v="0"/>
    <x v="3"/>
    <x v="3"/>
    <s v="Q2"/>
  </r>
  <r>
    <s v="ORD100482"/>
    <x v="105"/>
    <s v="CUST1143"/>
    <s v="Ishaan Singh"/>
    <x v="0"/>
    <s v="Maharashtra"/>
    <s v="Nagpur"/>
    <x v="0"/>
    <s v="Audio"/>
    <x v="8"/>
    <n v="1"/>
    <n v="3119.89"/>
    <n v="0.15"/>
    <n v="2651.91"/>
    <n v="1581.65"/>
    <n v="1070.26"/>
    <x v="2"/>
    <n v="0.4035808153368704"/>
    <x v="0"/>
    <x v="3"/>
    <x v="3"/>
    <s v="Q2"/>
  </r>
  <r>
    <s v="ORD101351"/>
    <x v="106"/>
    <s v="CUST1305"/>
    <s v="Aditya Rao"/>
    <x v="2"/>
    <s v="Tamil Nadu"/>
    <s v="Chennai"/>
    <x v="1"/>
    <s v="Storage"/>
    <x v="2"/>
    <n v="4"/>
    <n v="727.99"/>
    <n v="0.15"/>
    <n v="2475.17"/>
    <n v="1382.18"/>
    <n v="1092.99"/>
    <x v="1"/>
    <n v="0.4415817903416735"/>
    <x v="0"/>
    <x v="3"/>
    <x v="3"/>
    <s v="Q2"/>
  </r>
  <r>
    <s v="ORD101655"/>
    <x v="106"/>
    <s v="CUST1189"/>
    <s v="Neha Rao"/>
    <x v="3"/>
    <s v="West Bengal"/>
    <s v="Kolkata"/>
    <x v="2"/>
    <s v="Office"/>
    <x v="14"/>
    <n v="1"/>
    <n v="8378.35"/>
    <n v="0.15"/>
    <n v="7121.6"/>
    <n v="5668.54"/>
    <n v="1453.06"/>
    <x v="1"/>
    <n v="0.20403560997528641"/>
    <x v="0"/>
    <x v="3"/>
    <x v="3"/>
    <s v="Q2"/>
  </r>
  <r>
    <s v="ORD100218"/>
    <x v="106"/>
    <s v="CUST1150"/>
    <s v="Ishaan Nair"/>
    <x v="3"/>
    <s v="West Bengal"/>
    <s v="Durgapur"/>
    <x v="1"/>
    <s v="Stationery"/>
    <x v="1"/>
    <n v="2"/>
    <n v="246.38"/>
    <n v="0.1"/>
    <n v="443.48"/>
    <n v="191.14"/>
    <n v="252.34"/>
    <x v="2"/>
    <n v="0.56899972941282584"/>
    <x v="0"/>
    <x v="3"/>
    <x v="3"/>
    <s v="Q2"/>
  </r>
  <r>
    <s v="ORD101522"/>
    <x v="107"/>
    <s v="CUST1645"/>
    <s v="Arjun Singh"/>
    <x v="2"/>
    <s v="Telangana"/>
    <s v="Nizamabad"/>
    <x v="1"/>
    <s v="Stationery"/>
    <x v="17"/>
    <n v="2"/>
    <n v="298.05"/>
    <n v="0.1"/>
    <n v="536.49"/>
    <n v="255.22"/>
    <n v="281.27"/>
    <x v="0"/>
    <n v="0.5242781785308207"/>
    <x v="0"/>
    <x v="3"/>
    <x v="3"/>
    <s v="Q2"/>
  </r>
  <r>
    <s v="ORD102482"/>
    <x v="107"/>
    <s v="CUST1372"/>
    <s v="Diya Reddy"/>
    <x v="2"/>
    <s v="Karnataka"/>
    <s v="Hubballi"/>
    <x v="2"/>
    <s v="Office"/>
    <x v="10"/>
    <n v="5"/>
    <n v="7029.06"/>
    <n v="0.2"/>
    <n v="28116.240000000002"/>
    <n v="22906.86"/>
    <n v="5209.38"/>
    <x v="3"/>
    <n v="0.1852801085778184"/>
    <x v="0"/>
    <x v="3"/>
    <x v="3"/>
    <s v="Q2"/>
  </r>
  <r>
    <s v="ORD100517"/>
    <x v="107"/>
    <s v="CUST1172"/>
    <s v="Vikram Patel"/>
    <x v="0"/>
    <s v="Maharashtra"/>
    <s v="Pune"/>
    <x v="2"/>
    <s v="Living Room"/>
    <x v="16"/>
    <n v="3"/>
    <n v="3855.52"/>
    <n v="0.1"/>
    <n v="10409.9"/>
    <n v="7438.67"/>
    <n v="2971.23"/>
    <x v="0"/>
    <n v="0.28542349109981852"/>
    <x v="0"/>
    <x v="3"/>
    <x v="3"/>
    <s v="Q2"/>
  </r>
  <r>
    <s v="ORD100770"/>
    <x v="108"/>
    <s v="CUST1600"/>
    <s v="Kiran Verma"/>
    <x v="2"/>
    <s v="Karnataka"/>
    <s v="Hubballi"/>
    <x v="1"/>
    <s v="Stationery"/>
    <x v="17"/>
    <n v="2"/>
    <n v="313.08"/>
    <n v="0.1"/>
    <n v="563.54"/>
    <n v="257.66000000000003"/>
    <n v="305.88"/>
    <x v="0"/>
    <n v="0.54278312098520076"/>
    <x v="0"/>
    <x v="3"/>
    <x v="3"/>
    <s v="Q2"/>
  </r>
  <r>
    <s v="ORD102331"/>
    <x v="108"/>
    <s v="CUST1447"/>
    <s v="Aisha Nair"/>
    <x v="3"/>
    <s v="West Bengal"/>
    <s v="Siliguri"/>
    <x v="1"/>
    <s v="Stationery"/>
    <x v="1"/>
    <n v="3"/>
    <n v="248.38"/>
    <n v="0"/>
    <n v="745.14"/>
    <n v="280.58999999999997"/>
    <n v="464.55"/>
    <x v="0"/>
    <n v="0.62343989049037762"/>
    <x v="0"/>
    <x v="3"/>
    <x v="3"/>
    <s v="Q2"/>
  </r>
  <r>
    <s v="ORD102297"/>
    <x v="108"/>
    <s v="CUST1232"/>
    <s v="Aarav Gupta"/>
    <x v="3"/>
    <s v="West Bengal"/>
    <s v="Kolkata"/>
    <x v="1"/>
    <s v="Stationery"/>
    <x v="1"/>
    <n v="6"/>
    <n v="239.89"/>
    <n v="0.05"/>
    <n v="1367.37"/>
    <n v="567.33000000000004"/>
    <n v="800.04"/>
    <x v="1"/>
    <n v="0.58509401259351901"/>
    <x v="0"/>
    <x v="3"/>
    <x v="3"/>
    <s v="Q2"/>
  </r>
  <r>
    <s v="ORD101595"/>
    <x v="108"/>
    <s v="CUST1562"/>
    <s v="Ananya Gupta"/>
    <x v="2"/>
    <s v="Karnataka"/>
    <s v="Mysuru"/>
    <x v="3"/>
    <s v="Cleaning"/>
    <x v="15"/>
    <n v="4"/>
    <n v="7919.94"/>
    <n v="0"/>
    <n v="31679.759999999998"/>
    <n v="21295.78"/>
    <n v="10383.98"/>
    <x v="3"/>
    <n v="0.32777962964365892"/>
    <x v="0"/>
    <x v="3"/>
    <x v="3"/>
    <s v="Q2"/>
  </r>
  <r>
    <s v="ORD101168"/>
    <x v="108"/>
    <s v="CUST1632"/>
    <s v="Kiran Iyer"/>
    <x v="2"/>
    <s v="Telangana"/>
    <s v="Warangal"/>
    <x v="0"/>
    <s v="Audio"/>
    <x v="8"/>
    <n v="2"/>
    <n v="2833.73"/>
    <n v="0.1"/>
    <n v="5100.71"/>
    <n v="2851.76"/>
    <n v="2248.9499999999998"/>
    <x v="0"/>
    <n v="0.44090920675749062"/>
    <x v="0"/>
    <x v="3"/>
    <x v="3"/>
    <s v="Q2"/>
  </r>
  <r>
    <s v="ORD100549"/>
    <x v="108"/>
    <s v="CUST1285"/>
    <s v="Neha Reddy"/>
    <x v="3"/>
    <s v="West Bengal"/>
    <s v="Durgapur"/>
    <x v="2"/>
    <s v="Living Room"/>
    <x v="4"/>
    <n v="3"/>
    <n v="4971.87"/>
    <n v="0.15"/>
    <n v="12678.27"/>
    <n v="8795.06"/>
    <n v="3883.21"/>
    <x v="4"/>
    <n v="0.30628863401710171"/>
    <x v="0"/>
    <x v="3"/>
    <x v="3"/>
    <s v="Q2"/>
  </r>
  <r>
    <s v="ORD101480"/>
    <x v="108"/>
    <s v="CUST1637"/>
    <s v="Rahul Singh"/>
    <x v="1"/>
    <s v="Delhi"/>
    <s v="Delhi"/>
    <x v="1"/>
    <s v="Stationery"/>
    <x v="1"/>
    <n v="1"/>
    <n v="246.07"/>
    <n v="0.1"/>
    <n v="221.46"/>
    <n v="92.93"/>
    <n v="128.53"/>
    <x v="2"/>
    <n v="0.58037568861193889"/>
    <x v="0"/>
    <x v="3"/>
    <x v="3"/>
    <s v="Q2"/>
  </r>
  <r>
    <s v="ORD100165"/>
    <x v="108"/>
    <s v="CUST1516"/>
    <s v="Rohan Malhotra"/>
    <x v="2"/>
    <s v="Telangana"/>
    <s v="Karimnagar"/>
    <x v="3"/>
    <s v="Cleaning"/>
    <x v="15"/>
    <n v="2"/>
    <n v="7559.7"/>
    <n v="0.15"/>
    <n v="12851.49"/>
    <n v="9746.81"/>
    <n v="3104.68"/>
    <x v="3"/>
    <n v="0.2415813263676041"/>
    <x v="0"/>
    <x v="3"/>
    <x v="3"/>
    <s v="Q2"/>
  </r>
  <r>
    <s v="ORD100971"/>
    <x v="108"/>
    <s v="CUST1085"/>
    <s v="Ananya Joshi"/>
    <x v="2"/>
    <s v="Tamil Nadu"/>
    <s v="Chennai"/>
    <x v="2"/>
    <s v="Living Room"/>
    <x v="4"/>
    <n v="1"/>
    <n v="4730.4399999999996"/>
    <n v="0.05"/>
    <n v="4493.92"/>
    <n v="2861.25"/>
    <n v="1632.67"/>
    <x v="4"/>
    <n v="0.36330642290027421"/>
    <x v="0"/>
    <x v="3"/>
    <x v="3"/>
    <s v="Q2"/>
  </r>
  <r>
    <s v="ORD100505"/>
    <x v="109"/>
    <s v="CUST1129"/>
    <s v="Arjun Patel"/>
    <x v="2"/>
    <s v="Telangana"/>
    <s v="Karimnagar"/>
    <x v="3"/>
    <s v="Cleaning"/>
    <x v="15"/>
    <n v="5"/>
    <n v="7943.79"/>
    <n v="0.05"/>
    <n v="37733"/>
    <n v="26033.66"/>
    <n v="11699.34"/>
    <x v="0"/>
    <n v="0.31005591922190118"/>
    <x v="0"/>
    <x v="3"/>
    <x v="3"/>
    <s v="Q2"/>
  </r>
  <r>
    <s v="ORD102406"/>
    <x v="109"/>
    <s v="CUST1551"/>
    <s v="Kavya Rao"/>
    <x v="1"/>
    <s v="Delhi"/>
    <s v="New Delhi"/>
    <x v="2"/>
    <s v="Living Room"/>
    <x v="16"/>
    <n v="1"/>
    <n v="3837.37"/>
    <n v="0.05"/>
    <n v="3645.5"/>
    <n v="2361.5700000000002"/>
    <n v="1283.93"/>
    <x v="4"/>
    <n v="0.35219585790700858"/>
    <x v="0"/>
    <x v="3"/>
    <x v="3"/>
    <s v="Q2"/>
  </r>
  <r>
    <s v="ORD100850"/>
    <x v="110"/>
    <s v="CUST1341"/>
    <s v="Pooja Kumar"/>
    <x v="2"/>
    <s v="Telangana"/>
    <s v="Karimnagar"/>
    <x v="1"/>
    <s v="Storage"/>
    <x v="9"/>
    <n v="1"/>
    <n v="481.87"/>
    <n v="0"/>
    <n v="481.87"/>
    <n v="211.61"/>
    <n v="270.26"/>
    <x v="1"/>
    <n v="0.56085666258534461"/>
    <x v="0"/>
    <x v="3"/>
    <x v="3"/>
    <s v="Q2"/>
  </r>
  <r>
    <s v="ORD101421"/>
    <x v="110"/>
    <s v="CUST1386"/>
    <s v="Rohan Singh"/>
    <x v="3"/>
    <s v="West Bengal"/>
    <s v="Siliguri"/>
    <x v="1"/>
    <s v="Storage"/>
    <x v="9"/>
    <n v="2"/>
    <n v="502.39"/>
    <n v="0"/>
    <n v="1004.78"/>
    <n v="470.05"/>
    <n v="534.73"/>
    <x v="0"/>
    <n v="0.5321861502020343"/>
    <x v="0"/>
    <x v="3"/>
    <x v="3"/>
    <s v="Q2"/>
  </r>
  <r>
    <s v="ORD100384"/>
    <x v="110"/>
    <s v="CUST1453"/>
    <s v="Kavya Reddy"/>
    <x v="2"/>
    <s v="Telangana"/>
    <s v="Hyderabad"/>
    <x v="0"/>
    <s v="Accessories"/>
    <x v="5"/>
    <n v="2"/>
    <n v="2361.9499999999998"/>
    <n v="0.1"/>
    <n v="4251.51"/>
    <n v="2510.71"/>
    <n v="1740.8"/>
    <x v="2"/>
    <n v="0.4094545232164572"/>
    <x v="0"/>
    <x v="3"/>
    <x v="3"/>
    <s v="Q2"/>
  </r>
  <r>
    <s v="ORD102357"/>
    <x v="110"/>
    <s v="CUST1216"/>
    <s v="Pooja Gupta"/>
    <x v="2"/>
    <s v="Karnataka"/>
    <s v="Mysuru"/>
    <x v="0"/>
    <s v="Audio"/>
    <x v="11"/>
    <n v="3"/>
    <n v="1921.46"/>
    <n v="0.05"/>
    <n v="5476.16"/>
    <n v="3344.25"/>
    <n v="2131.91"/>
    <x v="1"/>
    <n v="0.38930747092853379"/>
    <x v="0"/>
    <x v="3"/>
    <x v="3"/>
    <s v="Q2"/>
  </r>
  <r>
    <s v="ORD100431"/>
    <x v="110"/>
    <s v="CUST1595"/>
    <s v="Varun Verma"/>
    <x v="3"/>
    <s v="West Bengal"/>
    <s v="Kolkata"/>
    <x v="2"/>
    <s v="Living Room"/>
    <x v="16"/>
    <n v="2"/>
    <n v="3786.55"/>
    <n v="0.15"/>
    <n v="6437.14"/>
    <n v="4661.3900000000003"/>
    <n v="1775.75"/>
    <x v="1"/>
    <n v="0.27586008693301678"/>
    <x v="0"/>
    <x v="3"/>
    <x v="3"/>
    <s v="Q2"/>
  </r>
  <r>
    <s v="ORD100666"/>
    <x v="111"/>
    <s v="CUST1087"/>
    <s v="Pooja Mehta"/>
    <x v="2"/>
    <s v="Tamil Nadu"/>
    <s v="Chennai"/>
    <x v="2"/>
    <s v="Office"/>
    <x v="14"/>
    <n v="2"/>
    <n v="8919.06"/>
    <n v="0.05"/>
    <n v="16946.21"/>
    <n v="12420.52"/>
    <n v="4525.6899999999996"/>
    <x v="2"/>
    <n v="0.26706207464677939"/>
    <x v="0"/>
    <x v="3"/>
    <x v="3"/>
    <s v="Q2"/>
  </r>
  <r>
    <s v="ORD100100"/>
    <x v="111"/>
    <s v="CUST1444"/>
    <s v="Sneha Kumar"/>
    <x v="2"/>
    <s v="Telangana"/>
    <s v="Warangal"/>
    <x v="2"/>
    <s v="Living Room"/>
    <x v="16"/>
    <n v="2"/>
    <n v="4185.99"/>
    <n v="0"/>
    <n v="8371.98"/>
    <n v="5230.05"/>
    <n v="3141.93"/>
    <x v="3"/>
    <n v="0.37529114976385508"/>
    <x v="0"/>
    <x v="3"/>
    <x v="3"/>
    <s v="Q2"/>
  </r>
  <r>
    <s v="ORD101058"/>
    <x v="111"/>
    <s v="CUST1574"/>
    <s v="Varun Kumar"/>
    <x v="1"/>
    <s v="Delhi"/>
    <s v="Delhi"/>
    <x v="1"/>
    <s v="Storage"/>
    <x v="2"/>
    <n v="2"/>
    <n v="659.74"/>
    <n v="0.2"/>
    <n v="1055.58"/>
    <n v="614.53"/>
    <n v="441.05"/>
    <x v="0"/>
    <n v="0.4178271661077323"/>
    <x v="0"/>
    <x v="3"/>
    <x v="3"/>
    <s v="Q2"/>
  </r>
  <r>
    <s v="ORD100113"/>
    <x v="112"/>
    <s v="CUST1184"/>
    <s v="Sneha Gupta"/>
    <x v="2"/>
    <s v="Karnataka"/>
    <s v="Bengaluru"/>
    <x v="0"/>
    <s v="Computers"/>
    <x v="3"/>
    <n v="5"/>
    <n v="16531.5"/>
    <n v="0.15"/>
    <n v="70258.880000000005"/>
    <n v="62080.72"/>
    <n v="8178.16"/>
    <x v="2"/>
    <n v="0.1164003752977559"/>
    <x v="0"/>
    <x v="3"/>
    <x v="3"/>
    <s v="Q2"/>
  </r>
  <r>
    <s v="ORD102446"/>
    <x v="112"/>
    <s v="CUST1637"/>
    <s v="Neha Rao"/>
    <x v="0"/>
    <s v="Maharashtra"/>
    <s v="Nagpur"/>
    <x v="2"/>
    <s v="Living Room"/>
    <x v="4"/>
    <n v="3"/>
    <n v="4855.34"/>
    <n v="0.1"/>
    <n v="13109.42"/>
    <n v="8764.69"/>
    <n v="4344.7299999999996"/>
    <x v="1"/>
    <n v="0.33142045948638449"/>
    <x v="0"/>
    <x v="3"/>
    <x v="3"/>
    <s v="Q2"/>
  </r>
  <r>
    <s v="ORD101983"/>
    <x v="112"/>
    <s v="CUST1037"/>
    <s v="Aditya Mehta"/>
    <x v="2"/>
    <s v="Tamil Nadu"/>
    <s v="Chennai"/>
    <x v="1"/>
    <s v="Storage"/>
    <x v="2"/>
    <n v="2"/>
    <n v="702.49"/>
    <n v="0.15"/>
    <n v="1194.23"/>
    <n v="636.74"/>
    <n v="557.49"/>
    <x v="2"/>
    <n v="0.46681962436046659"/>
    <x v="0"/>
    <x v="3"/>
    <x v="3"/>
    <s v="Q2"/>
  </r>
  <r>
    <s v="ORD101242"/>
    <x v="112"/>
    <s v="CUST1500"/>
    <s v="Neha Nair"/>
    <x v="2"/>
    <s v="Tamil Nadu"/>
    <s v="Madurai"/>
    <x v="2"/>
    <s v="Living Room"/>
    <x v="16"/>
    <n v="5"/>
    <n v="4204.46"/>
    <n v="0.05"/>
    <n v="19971.18"/>
    <n v="12747.49"/>
    <n v="7223.69"/>
    <x v="2"/>
    <n v="0.36170571793955092"/>
    <x v="0"/>
    <x v="3"/>
    <x v="3"/>
    <s v="Q2"/>
  </r>
  <r>
    <s v="ORD100196"/>
    <x v="112"/>
    <s v="CUST1138"/>
    <s v="Priya Nair"/>
    <x v="2"/>
    <s v="Karnataka"/>
    <s v="Mangaluru"/>
    <x v="2"/>
    <s v="Office"/>
    <x v="10"/>
    <n v="1"/>
    <n v="7115.95"/>
    <n v="0"/>
    <n v="7115.95"/>
    <n v="4657.28"/>
    <n v="2458.67"/>
    <x v="4"/>
    <n v="0.34551535634736052"/>
    <x v="0"/>
    <x v="3"/>
    <x v="3"/>
    <s v="Q2"/>
  </r>
  <r>
    <s v="ORD100805"/>
    <x v="113"/>
    <s v="CUST1473"/>
    <s v="Kiran Verma"/>
    <x v="2"/>
    <s v="Karnataka"/>
    <s v="Mysuru"/>
    <x v="3"/>
    <s v="Cleaning"/>
    <x v="15"/>
    <n v="1"/>
    <n v="7933.98"/>
    <n v="0.1"/>
    <n v="7140.58"/>
    <n v="5320.38"/>
    <n v="1820.2"/>
    <x v="1"/>
    <n v="0.25490926507370548"/>
    <x v="0"/>
    <x v="3"/>
    <x v="3"/>
    <s v="Q2"/>
  </r>
  <r>
    <s v="ORD100958"/>
    <x v="114"/>
    <s v="CUST1184"/>
    <s v="Kavya Patel"/>
    <x v="1"/>
    <s v="Delhi"/>
    <s v="New Delhi"/>
    <x v="2"/>
    <s v="Office"/>
    <x v="10"/>
    <n v="2"/>
    <n v="7225.59"/>
    <n v="0"/>
    <n v="14451.18"/>
    <n v="9118.14"/>
    <n v="5333.04"/>
    <x v="0"/>
    <n v="0.36903837610492712"/>
    <x v="0"/>
    <x v="3"/>
    <x v="3"/>
    <s v="Q2"/>
  </r>
  <r>
    <s v="ORD100637"/>
    <x v="114"/>
    <s v="CUST1447"/>
    <s v="Rahul Naidu"/>
    <x v="0"/>
    <s v="Maharashtra"/>
    <s v="Pune"/>
    <x v="0"/>
    <s v="Audio"/>
    <x v="11"/>
    <n v="1"/>
    <n v="1943.26"/>
    <n v="0.15"/>
    <n v="1651.77"/>
    <n v="1151.8599999999999"/>
    <n v="499.91"/>
    <x v="1"/>
    <n v="0.3026510954915031"/>
    <x v="0"/>
    <x v="3"/>
    <x v="3"/>
    <s v="Q2"/>
  </r>
  <r>
    <s v="ORD100244"/>
    <x v="114"/>
    <s v="CUST1292"/>
    <s v="Ananya Singh"/>
    <x v="2"/>
    <s v="Tamil Nadu"/>
    <s v="Madurai"/>
    <x v="2"/>
    <s v="Living Room"/>
    <x v="16"/>
    <n v="6"/>
    <n v="4001.18"/>
    <n v="0.05"/>
    <n v="22806.73"/>
    <n v="15559.48"/>
    <n v="7247.25"/>
    <x v="4"/>
    <n v="0.31776804478327231"/>
    <x v="0"/>
    <x v="3"/>
    <x v="3"/>
    <s v="Q2"/>
  </r>
  <r>
    <s v="ORD101430"/>
    <x v="114"/>
    <s v="CUST1534"/>
    <s v="Rohan Verma"/>
    <x v="2"/>
    <s v="Telangana"/>
    <s v="Nizamabad"/>
    <x v="1"/>
    <s v="Storage"/>
    <x v="2"/>
    <n v="1"/>
    <n v="660.13"/>
    <n v="0.1"/>
    <n v="594.12"/>
    <n v="320.13"/>
    <n v="273.99"/>
    <x v="1"/>
    <n v="0.46116946071500708"/>
    <x v="0"/>
    <x v="3"/>
    <x v="3"/>
    <s v="Q2"/>
  </r>
  <r>
    <s v="ORD100249"/>
    <x v="114"/>
    <s v="CUST1226"/>
    <s v="Aarav Reddy"/>
    <x v="2"/>
    <s v="Tamil Nadu"/>
    <s v="Coimbatore"/>
    <x v="2"/>
    <s v="Living Room"/>
    <x v="16"/>
    <n v="2"/>
    <n v="3844.44"/>
    <n v="0.1"/>
    <n v="6919.99"/>
    <n v="4887.83"/>
    <n v="2032.16"/>
    <x v="0"/>
    <n v="0.29366516425601769"/>
    <x v="0"/>
    <x v="3"/>
    <x v="3"/>
    <s v="Q2"/>
  </r>
  <r>
    <s v="ORD101465"/>
    <x v="114"/>
    <s v="CUST1281"/>
    <s v="Kavya Gupta"/>
    <x v="2"/>
    <s v="Telangana"/>
    <s v="Warangal"/>
    <x v="3"/>
    <s v="Kitchen"/>
    <x v="13"/>
    <n v="3"/>
    <n v="3421.75"/>
    <n v="0.1"/>
    <n v="9238.73"/>
    <n v="5827.57"/>
    <n v="3411.16"/>
    <x v="1"/>
    <n v="0.36922390848092762"/>
    <x v="0"/>
    <x v="3"/>
    <x v="3"/>
    <s v="Q2"/>
  </r>
  <r>
    <s v="ORD101561"/>
    <x v="115"/>
    <s v="CUST1563"/>
    <s v="Aditya Mehta"/>
    <x v="2"/>
    <s v="Karnataka"/>
    <s v="Mysuru"/>
    <x v="1"/>
    <s v="Stationery"/>
    <x v="1"/>
    <n v="1"/>
    <n v="239.99"/>
    <n v="0.05"/>
    <n v="227.99"/>
    <n v="91.27"/>
    <n v="136.72"/>
    <x v="2"/>
    <n v="0.59967542436071752"/>
    <x v="0"/>
    <x v="3"/>
    <x v="3"/>
    <s v="Q2"/>
  </r>
  <r>
    <s v="ORD101891"/>
    <x v="115"/>
    <s v="CUST1544"/>
    <s v="Rohan Patel"/>
    <x v="2"/>
    <s v="Telangana"/>
    <s v="Karimnagar"/>
    <x v="2"/>
    <s v="Living Room"/>
    <x v="4"/>
    <n v="4"/>
    <n v="4716.25"/>
    <n v="0.05"/>
    <n v="17921.75"/>
    <n v="11084.59"/>
    <n v="6837.16"/>
    <x v="0"/>
    <n v="0.38150069050176461"/>
    <x v="0"/>
    <x v="3"/>
    <x v="3"/>
    <s v="Q2"/>
  </r>
  <r>
    <s v="ORD102384"/>
    <x v="115"/>
    <s v="CUST1075"/>
    <s v="Kavya Singh"/>
    <x v="2"/>
    <s v="Telangana"/>
    <s v="Nizamabad"/>
    <x v="1"/>
    <s v="Storage"/>
    <x v="2"/>
    <n v="2"/>
    <n v="735.32"/>
    <n v="0"/>
    <n v="1470.64"/>
    <n v="707.1"/>
    <n v="763.54"/>
    <x v="4"/>
    <n v="0.51918892454985577"/>
    <x v="0"/>
    <x v="3"/>
    <x v="3"/>
    <s v="Q2"/>
  </r>
  <r>
    <s v="ORD101177"/>
    <x v="115"/>
    <s v="CUST1367"/>
    <s v="Ishaan Verma"/>
    <x v="2"/>
    <s v="Telangana"/>
    <s v="Warangal"/>
    <x v="1"/>
    <s v="Storage"/>
    <x v="2"/>
    <n v="2"/>
    <n v="717.51"/>
    <n v="0.1"/>
    <n v="1291.52"/>
    <n v="685.86"/>
    <n v="605.66"/>
    <x v="0"/>
    <n v="0.46895131318136768"/>
    <x v="0"/>
    <x v="3"/>
    <x v="3"/>
    <s v="Q2"/>
  </r>
  <r>
    <s v="ORD101845"/>
    <x v="115"/>
    <s v="CUST1241"/>
    <s v="Aditya Reddy"/>
    <x v="2"/>
    <s v="Karnataka"/>
    <s v="Bengaluru"/>
    <x v="0"/>
    <s v="Audio"/>
    <x v="11"/>
    <n v="4"/>
    <n v="2058.21"/>
    <n v="0"/>
    <n v="8232.84"/>
    <n v="4863.93"/>
    <n v="3368.91"/>
    <x v="0"/>
    <n v="0.4092038713250834"/>
    <x v="0"/>
    <x v="3"/>
    <x v="3"/>
    <s v="Q2"/>
  </r>
  <r>
    <s v="ORD102232"/>
    <x v="116"/>
    <s v="CUST1109"/>
    <s v="Sanjana Gupta"/>
    <x v="1"/>
    <s v="Delhi"/>
    <s v="Delhi"/>
    <x v="2"/>
    <s v="Living Room"/>
    <x v="4"/>
    <n v="6"/>
    <n v="5027.3100000000004"/>
    <n v="0.15"/>
    <n v="25639.279999999999"/>
    <n v="18441.580000000002"/>
    <n v="7197.7"/>
    <x v="0"/>
    <n v="0.28072941205837287"/>
    <x v="0"/>
    <x v="4"/>
    <x v="4"/>
    <s v="Q2"/>
  </r>
  <r>
    <s v="ORD100438"/>
    <x v="116"/>
    <s v="CUST1415"/>
    <s v="Neha Verma"/>
    <x v="1"/>
    <s v="Delhi"/>
    <s v="Delhi"/>
    <x v="3"/>
    <s v="Kitchen"/>
    <x v="13"/>
    <n v="3"/>
    <n v="3471.08"/>
    <n v="0.15"/>
    <n v="8851.25"/>
    <n v="5923.77"/>
    <n v="2927.48"/>
    <x v="4"/>
    <n v="0.33074198559525492"/>
    <x v="0"/>
    <x v="4"/>
    <x v="4"/>
    <s v="Q2"/>
  </r>
  <r>
    <s v="ORD101044"/>
    <x v="116"/>
    <s v="CUST1569"/>
    <s v="Kavya Sharma"/>
    <x v="2"/>
    <s v="Telangana"/>
    <s v="Warangal"/>
    <x v="0"/>
    <s v="Accessories"/>
    <x v="5"/>
    <n v="2"/>
    <n v="2543.4899999999998"/>
    <n v="0.05"/>
    <n v="4832.63"/>
    <n v="2808.91"/>
    <n v="2023.72"/>
    <x v="1"/>
    <n v="0.4187616266918841"/>
    <x v="0"/>
    <x v="4"/>
    <x v="4"/>
    <s v="Q2"/>
  </r>
  <r>
    <s v="ORD100935"/>
    <x v="117"/>
    <s v="CUST1088"/>
    <s v="Kavya Mehta"/>
    <x v="2"/>
    <s v="Telangana"/>
    <s v="Nizamabad"/>
    <x v="3"/>
    <s v="Cleaning"/>
    <x v="12"/>
    <n v="2"/>
    <n v="13020.33"/>
    <n v="0.1"/>
    <n v="23436.59"/>
    <n v="18895.189999999999"/>
    <n v="4541.3999999999996"/>
    <x v="2"/>
    <n v="0.1937739235955401"/>
    <x v="0"/>
    <x v="4"/>
    <x v="4"/>
    <s v="Q2"/>
  </r>
  <r>
    <s v="ORD102419"/>
    <x v="117"/>
    <s v="CUST1427"/>
    <s v="Rahul Sharma"/>
    <x v="2"/>
    <s v="Karnataka"/>
    <s v="Mangaluru"/>
    <x v="3"/>
    <s v="Cleaning"/>
    <x v="15"/>
    <n v="3"/>
    <n v="7715.98"/>
    <n v="0"/>
    <n v="23147.94"/>
    <n v="15242.55"/>
    <n v="7905.39"/>
    <x v="4"/>
    <n v="0.34151591891114291"/>
    <x v="0"/>
    <x v="4"/>
    <x v="4"/>
    <s v="Q2"/>
  </r>
  <r>
    <s v="ORD101607"/>
    <x v="118"/>
    <s v="CUST1206"/>
    <s v="Sneha Malhotra"/>
    <x v="2"/>
    <s v="Tamil Nadu"/>
    <s v="Coimbatore"/>
    <x v="0"/>
    <s v="Accessories"/>
    <x v="6"/>
    <n v="2"/>
    <n v="768.84"/>
    <n v="0.05"/>
    <n v="1460.8"/>
    <n v="987.98"/>
    <n v="472.82"/>
    <x v="0"/>
    <n v="0.32367196056955089"/>
    <x v="0"/>
    <x v="4"/>
    <x v="4"/>
    <s v="Q2"/>
  </r>
  <r>
    <s v="ORD100834"/>
    <x v="118"/>
    <s v="CUST1485"/>
    <s v="Ishaan Singh"/>
    <x v="3"/>
    <s v="West Bengal"/>
    <s v="Kolkata"/>
    <x v="3"/>
    <s v="Kitchen"/>
    <x v="7"/>
    <n v="4"/>
    <n v="1827.62"/>
    <n v="0.05"/>
    <n v="6944.96"/>
    <n v="4028.74"/>
    <n v="2916.22"/>
    <x v="0"/>
    <n v="0.41990450628945297"/>
    <x v="0"/>
    <x v="4"/>
    <x v="4"/>
    <s v="Q2"/>
  </r>
  <r>
    <s v="ORD102009"/>
    <x v="119"/>
    <s v="CUST1327"/>
    <s v="Rohan Das"/>
    <x v="1"/>
    <s v="Delhi"/>
    <s v="New Delhi"/>
    <x v="2"/>
    <s v="Office"/>
    <x v="14"/>
    <n v="6"/>
    <n v="8009.37"/>
    <n v="0.05"/>
    <n v="45653.41"/>
    <n v="32099.279999999999"/>
    <n v="13554.13"/>
    <x v="0"/>
    <n v="0.29689195177315342"/>
    <x v="0"/>
    <x v="4"/>
    <x v="4"/>
    <s v="Q2"/>
  </r>
  <r>
    <s v="ORD101353"/>
    <x v="119"/>
    <s v="CUST1179"/>
    <s v="Vikram Gupta"/>
    <x v="1"/>
    <s v="Delhi"/>
    <s v="New Delhi"/>
    <x v="3"/>
    <s v="Cleaning"/>
    <x v="12"/>
    <n v="3"/>
    <n v="12243.93"/>
    <n v="0.05"/>
    <n v="34895.199999999997"/>
    <n v="27479.42"/>
    <n v="7415.78"/>
    <x v="2"/>
    <n v="0.21251576148008899"/>
    <x v="0"/>
    <x v="4"/>
    <x v="4"/>
    <s v="Q2"/>
  </r>
  <r>
    <s v="ORD100312"/>
    <x v="119"/>
    <s v="CUST1551"/>
    <s v="Arjun Malhotra"/>
    <x v="0"/>
    <s v="Maharashtra"/>
    <s v="Pune"/>
    <x v="0"/>
    <s v="Computers"/>
    <x v="3"/>
    <n v="5"/>
    <n v="16572.560000000001"/>
    <n v="0.1"/>
    <n v="74576.52"/>
    <n v="62965.35"/>
    <n v="11611.17"/>
    <x v="2"/>
    <n v="0.1556947146367248"/>
    <x v="0"/>
    <x v="4"/>
    <x v="4"/>
    <s v="Q2"/>
  </r>
  <r>
    <s v="ORD100364"/>
    <x v="119"/>
    <s v="CUST1596"/>
    <s v="Diya Joshi"/>
    <x v="1"/>
    <s v="Delhi"/>
    <s v="Delhi"/>
    <x v="0"/>
    <s v="Audio"/>
    <x v="8"/>
    <n v="2"/>
    <n v="3149.82"/>
    <n v="0.1"/>
    <n v="5669.68"/>
    <n v="3374.04"/>
    <n v="2295.64"/>
    <x v="3"/>
    <n v="0.40489763090685887"/>
    <x v="0"/>
    <x v="4"/>
    <x v="4"/>
    <s v="Q2"/>
  </r>
  <r>
    <s v="ORD100124"/>
    <x v="120"/>
    <s v="CUST1085"/>
    <s v="Sanjana Singh"/>
    <x v="2"/>
    <s v="Telangana"/>
    <s v="Karimnagar"/>
    <x v="0"/>
    <s v="Audio"/>
    <x v="8"/>
    <n v="4"/>
    <n v="2907.84"/>
    <n v="0.15"/>
    <n v="9886.66"/>
    <n v="6129.52"/>
    <n v="3757.14"/>
    <x v="0"/>
    <n v="0.38002115982546181"/>
    <x v="0"/>
    <x v="4"/>
    <x v="4"/>
    <s v="Q2"/>
  </r>
  <r>
    <s v="ORD100546"/>
    <x v="120"/>
    <s v="CUST1115"/>
    <s v="Aisha Patel"/>
    <x v="2"/>
    <s v="Tamil Nadu"/>
    <s v="Madurai"/>
    <x v="0"/>
    <s v="Computers"/>
    <x v="0"/>
    <n v="3"/>
    <n v="57868.79"/>
    <n v="0"/>
    <n v="173606.37"/>
    <n v="155092.73000000001"/>
    <n v="18513.64"/>
    <x v="0"/>
    <n v="0.10664147865081219"/>
    <x v="0"/>
    <x v="4"/>
    <x v="4"/>
    <s v="Q2"/>
  </r>
  <r>
    <s v="ORD102449"/>
    <x v="121"/>
    <s v="CUST1051"/>
    <s v="Neha Iyer"/>
    <x v="2"/>
    <s v="Karnataka"/>
    <s v="Bengaluru"/>
    <x v="1"/>
    <s v="Storage"/>
    <x v="2"/>
    <n v="3"/>
    <n v="671.8"/>
    <n v="0.15"/>
    <n v="1713.09"/>
    <n v="933.38"/>
    <n v="779.71"/>
    <x v="1"/>
    <n v="0.45514829927207567"/>
    <x v="0"/>
    <x v="4"/>
    <x v="4"/>
    <s v="Q2"/>
  </r>
  <r>
    <s v="ORD101598"/>
    <x v="122"/>
    <s v="CUST1242"/>
    <s v="Rahul Singh"/>
    <x v="1"/>
    <s v="Delhi"/>
    <s v="Delhi"/>
    <x v="3"/>
    <s v="Kitchen"/>
    <x v="13"/>
    <n v="2"/>
    <n v="3440.56"/>
    <n v="0.2"/>
    <n v="5504.9"/>
    <n v="3853.38"/>
    <n v="1651.52"/>
    <x v="1"/>
    <n v="0.30000908281712663"/>
    <x v="0"/>
    <x v="4"/>
    <x v="4"/>
    <s v="Q2"/>
  </r>
  <r>
    <s v="ORD101163"/>
    <x v="123"/>
    <s v="CUST1280"/>
    <s v="Rahul Rao"/>
    <x v="1"/>
    <s v="Delhi"/>
    <s v="Delhi"/>
    <x v="2"/>
    <s v="Living Room"/>
    <x v="16"/>
    <n v="2"/>
    <n v="3817.91"/>
    <n v="0.05"/>
    <n v="7254.03"/>
    <n v="4866.93"/>
    <n v="2387.1"/>
    <x v="4"/>
    <n v="0.32907225363005121"/>
    <x v="0"/>
    <x v="4"/>
    <x v="4"/>
    <s v="Q2"/>
  </r>
  <r>
    <s v="ORD102106"/>
    <x v="123"/>
    <s v="CUST1501"/>
    <s v="Diya Gupta"/>
    <x v="2"/>
    <s v="Tamil Nadu"/>
    <s v="Chennai"/>
    <x v="0"/>
    <s v="Audio"/>
    <x v="8"/>
    <n v="1"/>
    <n v="3160.92"/>
    <n v="0.2"/>
    <n v="2528.7399999999998"/>
    <n v="1597.56"/>
    <n v="931.18"/>
    <x v="2"/>
    <n v="0.36823872758765241"/>
    <x v="0"/>
    <x v="4"/>
    <x v="4"/>
    <s v="Q2"/>
  </r>
  <r>
    <s v="ORD101773"/>
    <x v="123"/>
    <s v="CUST1305"/>
    <s v="Aarav Malhotra"/>
    <x v="1"/>
    <s v="Delhi"/>
    <s v="Delhi"/>
    <x v="3"/>
    <s v="Kitchen"/>
    <x v="13"/>
    <n v="2"/>
    <n v="3428.94"/>
    <n v="0.1"/>
    <n v="6172.09"/>
    <n v="4006.62"/>
    <n v="2165.4699999999998"/>
    <x v="0"/>
    <n v="0.35084874005401728"/>
    <x v="0"/>
    <x v="4"/>
    <x v="4"/>
    <s v="Q2"/>
  </r>
  <r>
    <s v="ORD100133"/>
    <x v="123"/>
    <s v="CUST1518"/>
    <s v="Meera Sharma"/>
    <x v="1"/>
    <s v="Delhi"/>
    <s v="Delhi"/>
    <x v="1"/>
    <s v="Stationery"/>
    <x v="17"/>
    <n v="2"/>
    <n v="299.02999999999997"/>
    <n v="0.1"/>
    <n v="538.25"/>
    <n v="254.93"/>
    <n v="283.32"/>
    <x v="3"/>
    <n v="0.52637250348351139"/>
    <x v="0"/>
    <x v="4"/>
    <x v="4"/>
    <s v="Q2"/>
  </r>
  <r>
    <s v="ORD101428"/>
    <x v="124"/>
    <s v="CUST1338"/>
    <s v="Kiran Verma"/>
    <x v="2"/>
    <s v="Telangana"/>
    <s v="Hyderabad"/>
    <x v="2"/>
    <s v="Living Room"/>
    <x v="16"/>
    <n v="1"/>
    <n v="4143.32"/>
    <n v="0.05"/>
    <n v="3936.15"/>
    <n v="2687.6"/>
    <n v="1248.55"/>
    <x v="1"/>
    <n v="0.3172008180582549"/>
    <x v="0"/>
    <x v="4"/>
    <x v="4"/>
    <s v="Q2"/>
  </r>
  <r>
    <s v="ORD101180"/>
    <x v="124"/>
    <s v="CUST1106"/>
    <s v="Nikhil Nair"/>
    <x v="2"/>
    <s v="Karnataka"/>
    <s v="Hubballi"/>
    <x v="0"/>
    <s v="Computers"/>
    <x v="3"/>
    <n v="6"/>
    <n v="15287.12"/>
    <n v="0.05"/>
    <n v="87136.58"/>
    <n v="71134.77"/>
    <n v="16001.81"/>
    <x v="1"/>
    <n v="0.18364055600988699"/>
    <x v="0"/>
    <x v="4"/>
    <x v="4"/>
    <s v="Q2"/>
  </r>
  <r>
    <s v="ORD100970"/>
    <x v="124"/>
    <s v="CUST1647"/>
    <s v="Kavya Rao"/>
    <x v="2"/>
    <s v="Telangana"/>
    <s v="Warangal"/>
    <x v="2"/>
    <s v="Living Room"/>
    <x v="16"/>
    <n v="3"/>
    <n v="3787.44"/>
    <n v="0.05"/>
    <n v="10794.2"/>
    <n v="7420.52"/>
    <n v="3373.68"/>
    <x v="3"/>
    <n v="0.31254562635489419"/>
    <x v="0"/>
    <x v="4"/>
    <x v="4"/>
    <s v="Q2"/>
  </r>
  <r>
    <s v="ORD101093"/>
    <x v="124"/>
    <s v="CUST1625"/>
    <s v="Rohan Kumar"/>
    <x v="2"/>
    <s v="Tamil Nadu"/>
    <s v="Coimbatore"/>
    <x v="0"/>
    <s v="Accessories"/>
    <x v="6"/>
    <n v="2"/>
    <n v="834.72"/>
    <n v="0"/>
    <n v="1669.44"/>
    <n v="1040.07"/>
    <n v="629.37"/>
    <x v="2"/>
    <n v="0.3769946808510638"/>
    <x v="0"/>
    <x v="4"/>
    <x v="4"/>
    <s v="Q2"/>
  </r>
  <r>
    <s v="ORD101481"/>
    <x v="125"/>
    <s v="CUST1270"/>
    <s v="Arjun Gupta"/>
    <x v="3"/>
    <s v="West Bengal"/>
    <s v="Kolkata"/>
    <x v="0"/>
    <s v="Computers"/>
    <x v="0"/>
    <n v="3"/>
    <n v="59965.120000000003"/>
    <n v="0.15"/>
    <n v="152911.06"/>
    <n v="156145.85999999999"/>
    <n v="-3234.8"/>
    <x v="2"/>
    <n v="-2.1154781086469478E-2"/>
    <x v="0"/>
    <x v="4"/>
    <x v="4"/>
    <s v="Q2"/>
  </r>
  <r>
    <s v="ORD100404"/>
    <x v="126"/>
    <s v="CUST1363"/>
    <s v="Varun Malhotra"/>
    <x v="2"/>
    <s v="Telangana"/>
    <s v="Nizamabad"/>
    <x v="0"/>
    <s v="Accessories"/>
    <x v="5"/>
    <n v="4"/>
    <n v="2595.4499999999998"/>
    <n v="0.15"/>
    <n v="8824.5300000000007"/>
    <n v="5738.55"/>
    <n v="3085.98"/>
    <x v="0"/>
    <n v="0.34970474348208908"/>
    <x v="0"/>
    <x v="4"/>
    <x v="4"/>
    <s v="Q2"/>
  </r>
  <r>
    <s v="ORD101202"/>
    <x v="126"/>
    <s v="CUST1458"/>
    <s v="Kavya Naidu"/>
    <x v="2"/>
    <s v="Karnataka"/>
    <s v="Bengaluru"/>
    <x v="2"/>
    <s v="Office"/>
    <x v="14"/>
    <n v="1"/>
    <n v="7991.88"/>
    <n v="0.05"/>
    <n v="7592.29"/>
    <n v="5462.74"/>
    <n v="2129.5500000000002"/>
    <x v="1"/>
    <n v="0.2804884955658965"/>
    <x v="0"/>
    <x v="4"/>
    <x v="4"/>
    <s v="Q2"/>
  </r>
  <r>
    <s v="ORD101475"/>
    <x v="126"/>
    <s v="CUST1350"/>
    <s v="Aisha Patel"/>
    <x v="1"/>
    <s v="Delhi"/>
    <s v="New Delhi"/>
    <x v="3"/>
    <s v="Kitchen"/>
    <x v="7"/>
    <n v="2"/>
    <n v="1792.81"/>
    <n v="0.05"/>
    <n v="3406.34"/>
    <n v="1906.63"/>
    <n v="1499.71"/>
    <x v="2"/>
    <n v="0.44027020203502881"/>
    <x v="0"/>
    <x v="4"/>
    <x v="4"/>
    <s v="Q2"/>
  </r>
  <r>
    <s v="ORD101871"/>
    <x v="126"/>
    <s v="CUST1398"/>
    <s v="Rahul Mehta"/>
    <x v="2"/>
    <s v="Telangana"/>
    <s v="Karimnagar"/>
    <x v="0"/>
    <s v="Audio"/>
    <x v="11"/>
    <n v="1"/>
    <n v="1996.81"/>
    <n v="0"/>
    <n v="1996.81"/>
    <n v="1124.57"/>
    <n v="872.24"/>
    <x v="3"/>
    <n v="0.43681672267266292"/>
    <x v="0"/>
    <x v="4"/>
    <x v="4"/>
    <s v="Q2"/>
  </r>
  <r>
    <s v="ORD102203"/>
    <x v="126"/>
    <s v="CUST1490"/>
    <s v="Nikhil Singh"/>
    <x v="0"/>
    <s v="Maharashtra"/>
    <s v="Mumbai"/>
    <x v="0"/>
    <s v="Audio"/>
    <x v="8"/>
    <n v="1"/>
    <n v="3104.58"/>
    <n v="0.2"/>
    <n v="2483.66"/>
    <n v="1656.33"/>
    <n v="827.33"/>
    <x v="1"/>
    <n v="0.33310920174258962"/>
    <x v="0"/>
    <x v="4"/>
    <x v="4"/>
    <s v="Q2"/>
  </r>
  <r>
    <s v="ORD100767"/>
    <x v="126"/>
    <s v="CUST1589"/>
    <s v="Meera Mehta"/>
    <x v="2"/>
    <s v="Telangana"/>
    <s v="Hyderabad"/>
    <x v="3"/>
    <s v="Kitchen"/>
    <x v="13"/>
    <n v="3"/>
    <n v="3286.9"/>
    <n v="0"/>
    <n v="9860.7000000000007"/>
    <n v="5724.76"/>
    <n v="4135.9399999999996"/>
    <x v="0"/>
    <n v="0.41943675398298291"/>
    <x v="0"/>
    <x v="4"/>
    <x v="4"/>
    <s v="Q2"/>
  </r>
  <r>
    <s v="ORD101681"/>
    <x v="126"/>
    <s v="CUST1262"/>
    <s v="Neha Rao"/>
    <x v="3"/>
    <s v="West Bengal"/>
    <s v="Durgapur"/>
    <x v="0"/>
    <s v="Audio"/>
    <x v="8"/>
    <n v="3"/>
    <n v="3010.62"/>
    <n v="0.1"/>
    <n v="8128.67"/>
    <n v="4567.59"/>
    <n v="3561.08"/>
    <x v="0"/>
    <n v="0.43808888785004191"/>
    <x v="0"/>
    <x v="4"/>
    <x v="4"/>
    <s v="Q2"/>
  </r>
  <r>
    <s v="ORD100521"/>
    <x v="126"/>
    <s v="CUST1354"/>
    <s v="Diya Naidu"/>
    <x v="2"/>
    <s v="Karnataka"/>
    <s v="Mysuru"/>
    <x v="1"/>
    <s v="Stationery"/>
    <x v="1"/>
    <n v="3"/>
    <n v="251.76"/>
    <n v="0.05"/>
    <n v="717.52"/>
    <n v="284.23"/>
    <n v="433.29"/>
    <x v="0"/>
    <n v="0.60387166908239498"/>
    <x v="0"/>
    <x v="4"/>
    <x v="4"/>
    <s v="Q2"/>
  </r>
  <r>
    <s v="ORD100154"/>
    <x v="127"/>
    <s v="CUST1389"/>
    <s v="Ananya Das"/>
    <x v="2"/>
    <s v="Tamil Nadu"/>
    <s v="Salem"/>
    <x v="1"/>
    <s v="Stationery"/>
    <x v="17"/>
    <n v="3"/>
    <n v="310.73"/>
    <n v="0.05"/>
    <n v="885.58"/>
    <n v="404.91"/>
    <n v="480.67"/>
    <x v="0"/>
    <n v="0.54277422706023171"/>
    <x v="0"/>
    <x v="4"/>
    <x v="4"/>
    <s v="Q2"/>
  </r>
  <r>
    <s v="ORD100273"/>
    <x v="127"/>
    <s v="CUST1536"/>
    <s v="Sneha Iyer"/>
    <x v="2"/>
    <s v="Tamil Nadu"/>
    <s v="Coimbatore"/>
    <x v="0"/>
    <s v="Accessories"/>
    <x v="6"/>
    <n v="2"/>
    <n v="767.79"/>
    <n v="0.05"/>
    <n v="1458.8"/>
    <n v="972.17"/>
    <n v="486.63"/>
    <x v="0"/>
    <n v="0.333582396490266"/>
    <x v="0"/>
    <x v="4"/>
    <x v="4"/>
    <s v="Q2"/>
  </r>
  <r>
    <s v="ORD100565"/>
    <x v="127"/>
    <s v="CUST1369"/>
    <s v="Rohan Kumar"/>
    <x v="0"/>
    <s v="Maharashtra"/>
    <s v="Pune"/>
    <x v="0"/>
    <s v="Computers"/>
    <x v="0"/>
    <n v="1"/>
    <n v="61424.92"/>
    <n v="0.1"/>
    <n v="55282.43"/>
    <n v="55169.61"/>
    <n v="112.82"/>
    <x v="0"/>
    <n v="2.0407930693350489E-3"/>
    <x v="0"/>
    <x v="4"/>
    <x v="4"/>
    <s v="Q2"/>
  </r>
  <r>
    <s v="ORD102310"/>
    <x v="127"/>
    <s v="CUST1307"/>
    <s v="Ishaan Kumar"/>
    <x v="2"/>
    <s v="Telangana"/>
    <s v="Nizamabad"/>
    <x v="3"/>
    <s v="Cleaning"/>
    <x v="15"/>
    <n v="2"/>
    <n v="7705.24"/>
    <n v="0.15"/>
    <n v="13098.91"/>
    <n v="10399.9"/>
    <n v="2699.01"/>
    <x v="1"/>
    <n v="0.2060484421986257"/>
    <x v="0"/>
    <x v="4"/>
    <x v="4"/>
    <s v="Q2"/>
  </r>
  <r>
    <s v="ORD100723"/>
    <x v="128"/>
    <s v="CUST1302"/>
    <s v="Aditya Patel"/>
    <x v="0"/>
    <s v="Maharashtra"/>
    <s v="Mumbai"/>
    <x v="3"/>
    <s v="Kitchen"/>
    <x v="7"/>
    <n v="2"/>
    <n v="1724.89"/>
    <n v="0"/>
    <n v="3449.78"/>
    <n v="1802.65"/>
    <n v="1647.13"/>
    <x v="1"/>
    <n v="0.47745943219567633"/>
    <x v="0"/>
    <x v="4"/>
    <x v="4"/>
    <s v="Q2"/>
  </r>
  <r>
    <s v="ORD102080"/>
    <x v="128"/>
    <s v="CUST1382"/>
    <s v="Pooja Iyer"/>
    <x v="0"/>
    <s v="Maharashtra"/>
    <s v="Pune"/>
    <x v="2"/>
    <s v="Office"/>
    <x v="10"/>
    <n v="1"/>
    <n v="6845.72"/>
    <n v="0.1"/>
    <n v="6161.15"/>
    <n v="4503.79"/>
    <n v="1657.36"/>
    <x v="2"/>
    <n v="0.26900172857339938"/>
    <x v="0"/>
    <x v="4"/>
    <x v="4"/>
    <s v="Q2"/>
  </r>
  <r>
    <s v="ORD101271"/>
    <x v="128"/>
    <s v="CUST1523"/>
    <s v="Ishaan Reddy"/>
    <x v="2"/>
    <s v="Tamil Nadu"/>
    <s v="Madurai"/>
    <x v="3"/>
    <s v="Kitchen"/>
    <x v="13"/>
    <n v="2"/>
    <n v="3444.79"/>
    <n v="0.2"/>
    <n v="5511.66"/>
    <n v="3801.96"/>
    <n v="1709.7"/>
    <x v="0"/>
    <n v="0.3101969279672549"/>
    <x v="0"/>
    <x v="4"/>
    <x v="4"/>
    <s v="Q2"/>
  </r>
  <r>
    <s v="ORD100745"/>
    <x v="129"/>
    <s v="CUST1293"/>
    <s v="Rohan Reddy"/>
    <x v="0"/>
    <s v="Maharashtra"/>
    <s v="Nagpur"/>
    <x v="2"/>
    <s v="Office"/>
    <x v="14"/>
    <n v="4"/>
    <n v="8400.1200000000008"/>
    <n v="0.1"/>
    <n v="30240.43"/>
    <n v="22391.040000000001"/>
    <n v="7849.39"/>
    <x v="2"/>
    <n v="0.25956608421242688"/>
    <x v="0"/>
    <x v="4"/>
    <x v="4"/>
    <s v="Q2"/>
  </r>
  <r>
    <s v="ORD101547"/>
    <x v="129"/>
    <s v="CUST1104"/>
    <s v="Diya Das"/>
    <x v="1"/>
    <s v="Delhi"/>
    <s v="New Delhi"/>
    <x v="3"/>
    <s v="Kitchen"/>
    <x v="7"/>
    <n v="3"/>
    <n v="1696.72"/>
    <n v="0.05"/>
    <n v="4835.6499999999996"/>
    <n v="2850.7"/>
    <n v="1984.95"/>
    <x v="0"/>
    <n v="0.41048256180658238"/>
    <x v="0"/>
    <x v="4"/>
    <x v="4"/>
    <s v="Q2"/>
  </r>
  <r>
    <s v="ORD101141"/>
    <x v="130"/>
    <s v="CUST1552"/>
    <s v="Sneha Patel"/>
    <x v="2"/>
    <s v="Telangana"/>
    <s v="Warangal"/>
    <x v="0"/>
    <s v="Accessories"/>
    <x v="6"/>
    <n v="3"/>
    <n v="803.77"/>
    <n v="0"/>
    <n v="2411.31"/>
    <n v="1480.99"/>
    <n v="930.32"/>
    <x v="0"/>
    <n v="0.385815179300878"/>
    <x v="0"/>
    <x v="4"/>
    <x v="4"/>
    <s v="Q2"/>
  </r>
  <r>
    <s v="ORD102125"/>
    <x v="130"/>
    <s v="CUST1128"/>
    <s v="Kiran Malhotra"/>
    <x v="0"/>
    <s v="Maharashtra"/>
    <s v="Mumbai"/>
    <x v="0"/>
    <s v="Accessories"/>
    <x v="6"/>
    <n v="1"/>
    <n v="834.03"/>
    <n v="0.05"/>
    <n v="792.33"/>
    <n v="530.37"/>
    <n v="261.95999999999998"/>
    <x v="4"/>
    <n v="0.33061981750028391"/>
    <x v="0"/>
    <x v="4"/>
    <x v="4"/>
    <s v="Q2"/>
  </r>
  <r>
    <s v="ORD102420"/>
    <x v="130"/>
    <s v="CUST1378"/>
    <s v="Aditya Iyer"/>
    <x v="3"/>
    <s v="West Bengal"/>
    <s v="Durgapur"/>
    <x v="2"/>
    <s v="Living Room"/>
    <x v="16"/>
    <n v="6"/>
    <n v="3825.27"/>
    <n v="0.15"/>
    <n v="19508.88"/>
    <n v="14564.86"/>
    <n v="4944.0200000000004"/>
    <x v="3"/>
    <n v="0.25342408175148962"/>
    <x v="0"/>
    <x v="4"/>
    <x v="4"/>
    <s v="Q2"/>
  </r>
  <r>
    <s v="ORD100085"/>
    <x v="130"/>
    <s v="CUST1507"/>
    <s v="Vikram Malhotra"/>
    <x v="2"/>
    <s v="Karnataka"/>
    <s v="Hubballi"/>
    <x v="2"/>
    <s v="Living Room"/>
    <x v="4"/>
    <n v="3"/>
    <n v="5090.7299999999996"/>
    <n v="0"/>
    <n v="15272.19"/>
    <n v="9655.4"/>
    <n v="5616.79"/>
    <x v="0"/>
    <n v="0.36777894984281878"/>
    <x v="0"/>
    <x v="4"/>
    <x v="4"/>
    <s v="Q2"/>
  </r>
  <r>
    <s v="ORD100858"/>
    <x v="131"/>
    <s v="CUST1240"/>
    <s v="Ishaan Singh"/>
    <x v="2"/>
    <s v="Telangana"/>
    <s v="Hyderabad"/>
    <x v="3"/>
    <s v="Cleaning"/>
    <x v="15"/>
    <n v="4"/>
    <n v="7565.84"/>
    <n v="0"/>
    <n v="30263.360000000001"/>
    <n v="19178.98"/>
    <n v="11084.38"/>
    <x v="4"/>
    <n v="0.36626402355852089"/>
    <x v="0"/>
    <x v="4"/>
    <x v="4"/>
    <s v="Q2"/>
  </r>
  <r>
    <s v="ORD101954"/>
    <x v="132"/>
    <s v="CUST1625"/>
    <s v="Neha Singh"/>
    <x v="1"/>
    <s v="Delhi"/>
    <s v="Delhi"/>
    <x v="0"/>
    <s v="Computers"/>
    <x v="0"/>
    <n v="1"/>
    <n v="59887.37"/>
    <n v="0"/>
    <n v="59887.37"/>
    <n v="51051.63"/>
    <n v="8835.74"/>
    <x v="0"/>
    <n v="0.14753928916898501"/>
    <x v="0"/>
    <x v="4"/>
    <x v="4"/>
    <s v="Q2"/>
  </r>
  <r>
    <s v="ORD101088"/>
    <x v="132"/>
    <s v="CUST1386"/>
    <s v="Sneha Verma"/>
    <x v="1"/>
    <s v="Delhi"/>
    <s v="New Delhi"/>
    <x v="0"/>
    <s v="Computers"/>
    <x v="3"/>
    <n v="2"/>
    <n v="15524.77"/>
    <n v="0"/>
    <n v="31049.54"/>
    <n v="23052.43"/>
    <n v="7997.11"/>
    <x v="0"/>
    <n v="0.25755969331590739"/>
    <x v="0"/>
    <x v="4"/>
    <x v="4"/>
    <s v="Q2"/>
  </r>
  <r>
    <s v="ORD102194"/>
    <x v="132"/>
    <s v="CUST1217"/>
    <s v="Nikhil Nair"/>
    <x v="3"/>
    <s v="West Bengal"/>
    <s v="Siliguri"/>
    <x v="0"/>
    <s v="Accessories"/>
    <x v="5"/>
    <n v="3"/>
    <n v="2531.46"/>
    <n v="0.05"/>
    <n v="7214.66"/>
    <n v="4140.72"/>
    <n v="3073.94"/>
    <x v="0"/>
    <n v="0.42606858812473491"/>
    <x v="0"/>
    <x v="4"/>
    <x v="4"/>
    <s v="Q2"/>
  </r>
  <r>
    <s v="ORD100091"/>
    <x v="132"/>
    <s v="CUST1058"/>
    <s v="Neha Patel"/>
    <x v="2"/>
    <s v="Telangana"/>
    <s v="Hyderabad"/>
    <x v="3"/>
    <s v="Cleaning"/>
    <x v="15"/>
    <n v="1"/>
    <n v="7607.12"/>
    <n v="0"/>
    <n v="7607.12"/>
    <n v="4842.43"/>
    <n v="2764.69"/>
    <x v="4"/>
    <n v="0.36343451923987002"/>
    <x v="0"/>
    <x v="4"/>
    <x v="4"/>
    <s v="Q2"/>
  </r>
  <r>
    <s v="ORD100005"/>
    <x v="133"/>
    <s v="CUST1612"/>
    <s v="Rohan Kumar"/>
    <x v="2"/>
    <s v="Telangana"/>
    <s v="Warangal"/>
    <x v="3"/>
    <s v="Kitchen"/>
    <x v="13"/>
    <n v="1"/>
    <n v="3190.89"/>
    <n v="0.1"/>
    <n v="2871.8"/>
    <n v="1843.52"/>
    <n v="1028.28"/>
    <x v="1"/>
    <n v="0.35806114631938152"/>
    <x v="0"/>
    <x v="4"/>
    <x v="4"/>
    <s v="Q2"/>
  </r>
  <r>
    <s v="ORD102138"/>
    <x v="133"/>
    <s v="CUST1479"/>
    <s v="Rahul Mehta"/>
    <x v="1"/>
    <s v="Delhi"/>
    <s v="Delhi"/>
    <x v="0"/>
    <s v="Accessories"/>
    <x v="6"/>
    <n v="6"/>
    <n v="828.97"/>
    <n v="0.1"/>
    <n v="4476.4399999999996"/>
    <n v="3156.11"/>
    <n v="1320.33"/>
    <x v="3"/>
    <n v="0.29495089848182932"/>
    <x v="0"/>
    <x v="4"/>
    <x v="4"/>
    <s v="Q2"/>
  </r>
  <r>
    <s v="ORD100441"/>
    <x v="133"/>
    <s v="CUST1133"/>
    <s v="Kavya Joshi"/>
    <x v="0"/>
    <s v="Maharashtra"/>
    <s v="Mumbai"/>
    <x v="2"/>
    <s v="Living Room"/>
    <x v="4"/>
    <n v="4"/>
    <n v="4753.13"/>
    <n v="0.1"/>
    <n v="17111.27"/>
    <n v="11798.99"/>
    <n v="5312.28"/>
    <x v="0"/>
    <n v="0.31045503928112872"/>
    <x v="0"/>
    <x v="4"/>
    <x v="4"/>
    <s v="Q2"/>
  </r>
  <r>
    <s v="ORD102017"/>
    <x v="133"/>
    <s v="CUST1068"/>
    <s v="Vikram Reddy"/>
    <x v="2"/>
    <s v="Karnataka"/>
    <s v="Mangaluru"/>
    <x v="0"/>
    <s v="Accessories"/>
    <x v="5"/>
    <n v="3"/>
    <n v="2611.29"/>
    <n v="0"/>
    <n v="7833.87"/>
    <n v="4153.46"/>
    <n v="3680.41"/>
    <x v="1"/>
    <n v="0.46980738766407909"/>
    <x v="0"/>
    <x v="4"/>
    <x v="4"/>
    <s v="Q2"/>
  </r>
  <r>
    <s v="ORD101671"/>
    <x v="134"/>
    <s v="CUST1408"/>
    <s v="Varun Malhotra"/>
    <x v="2"/>
    <s v="Karnataka"/>
    <s v="Hubballi"/>
    <x v="2"/>
    <s v="Living Room"/>
    <x v="16"/>
    <n v="2"/>
    <n v="4046.11"/>
    <n v="0.2"/>
    <n v="6473.78"/>
    <n v="5113.91"/>
    <n v="1359.87"/>
    <x v="1"/>
    <n v="0.2100581113352632"/>
    <x v="0"/>
    <x v="4"/>
    <x v="4"/>
    <s v="Q2"/>
  </r>
  <r>
    <s v="ORD101368"/>
    <x v="135"/>
    <s v="CUST1196"/>
    <s v="Rohan Patel"/>
    <x v="2"/>
    <s v="Karnataka"/>
    <s v="Hubballi"/>
    <x v="3"/>
    <s v="Kitchen"/>
    <x v="13"/>
    <n v="2"/>
    <n v="3367.84"/>
    <n v="0.1"/>
    <n v="6062.11"/>
    <n v="3938.32"/>
    <n v="2123.79"/>
    <x v="3"/>
    <n v="0.35033841352268441"/>
    <x v="0"/>
    <x v="4"/>
    <x v="4"/>
    <s v="Q2"/>
  </r>
  <r>
    <s v="ORD100643"/>
    <x v="135"/>
    <s v="CUST1489"/>
    <s v="Kiran Singh"/>
    <x v="2"/>
    <s v="Telangana"/>
    <s v="Nizamabad"/>
    <x v="2"/>
    <s v="Office"/>
    <x v="10"/>
    <n v="1"/>
    <n v="6672.03"/>
    <n v="0.1"/>
    <n v="6004.83"/>
    <n v="4135.58"/>
    <n v="1869.25"/>
    <x v="1"/>
    <n v="0.31129107734940042"/>
    <x v="0"/>
    <x v="4"/>
    <x v="4"/>
    <s v="Q2"/>
  </r>
  <r>
    <s v="ORD101066"/>
    <x v="135"/>
    <s v="CUST1022"/>
    <s v="Rohan Joshi"/>
    <x v="0"/>
    <s v="Maharashtra"/>
    <s v="Nagpur"/>
    <x v="3"/>
    <s v="Kitchen"/>
    <x v="13"/>
    <n v="4"/>
    <n v="3353.05"/>
    <n v="0.15"/>
    <n v="11400.37"/>
    <n v="7947.65"/>
    <n v="3452.72"/>
    <x v="4"/>
    <n v="0.30286034576070769"/>
    <x v="0"/>
    <x v="4"/>
    <x v="4"/>
    <s v="Q2"/>
  </r>
  <r>
    <s v="ORD100962"/>
    <x v="136"/>
    <s v="CUST1050"/>
    <s v="Aisha Nair"/>
    <x v="3"/>
    <s v="West Bengal"/>
    <s v="Kolkata"/>
    <x v="2"/>
    <s v="Office"/>
    <x v="10"/>
    <n v="6"/>
    <n v="7076.5"/>
    <n v="0.1"/>
    <n v="38213.1"/>
    <n v="27259.95"/>
    <n v="10953.15"/>
    <x v="1"/>
    <n v="0.28663337965252761"/>
    <x v="0"/>
    <x v="4"/>
    <x v="4"/>
    <s v="Q2"/>
  </r>
  <r>
    <s v="ORD100151"/>
    <x v="136"/>
    <s v="CUST1434"/>
    <s v="Rohan Gupta"/>
    <x v="0"/>
    <s v="Maharashtra"/>
    <s v="Pune"/>
    <x v="0"/>
    <s v="Audio"/>
    <x v="8"/>
    <n v="1"/>
    <n v="3031.15"/>
    <n v="0.15"/>
    <n v="2576.48"/>
    <n v="1558.38"/>
    <n v="1018.1"/>
    <x v="1"/>
    <n v="0.3951515245606409"/>
    <x v="0"/>
    <x v="4"/>
    <x v="4"/>
    <s v="Q2"/>
  </r>
  <r>
    <s v="ORD100053"/>
    <x v="136"/>
    <s v="CUST1332"/>
    <s v="Arjun Reddy"/>
    <x v="1"/>
    <s v="Delhi"/>
    <s v="Delhi"/>
    <x v="0"/>
    <s v="Accessories"/>
    <x v="6"/>
    <n v="1"/>
    <n v="845.04"/>
    <n v="0.1"/>
    <n v="760.54"/>
    <n v="528.6"/>
    <n v="231.94"/>
    <x v="0"/>
    <n v="0.3049675230757094"/>
    <x v="0"/>
    <x v="4"/>
    <x v="4"/>
    <s v="Q2"/>
  </r>
  <r>
    <s v="ORD100843"/>
    <x v="136"/>
    <s v="CUST1277"/>
    <s v="Pooja Sharma"/>
    <x v="3"/>
    <s v="West Bengal"/>
    <s v="Siliguri"/>
    <x v="2"/>
    <s v="Living Room"/>
    <x v="4"/>
    <n v="1"/>
    <n v="4968.58"/>
    <n v="0.1"/>
    <n v="4471.72"/>
    <n v="3047.98"/>
    <n v="1423.74"/>
    <x v="2"/>
    <n v="0.31838755557145793"/>
    <x v="0"/>
    <x v="4"/>
    <x v="4"/>
    <s v="Q2"/>
  </r>
  <r>
    <s v="ORD102382"/>
    <x v="136"/>
    <s v="CUST1473"/>
    <s v="Kiran Sharma"/>
    <x v="3"/>
    <s v="West Bengal"/>
    <s v="Kolkata"/>
    <x v="2"/>
    <s v="Living Room"/>
    <x v="16"/>
    <n v="4"/>
    <n v="3807.72"/>
    <n v="0"/>
    <n v="15230.88"/>
    <n v="9695.75"/>
    <n v="5535.13"/>
    <x v="0"/>
    <n v="0.36341498324456628"/>
    <x v="0"/>
    <x v="4"/>
    <x v="4"/>
    <s v="Q2"/>
  </r>
  <r>
    <s v="ORD101785"/>
    <x v="137"/>
    <s v="CUST1186"/>
    <s v="Rohan Mehta"/>
    <x v="2"/>
    <s v="Tamil Nadu"/>
    <s v="Madurai"/>
    <x v="2"/>
    <s v="Living Room"/>
    <x v="4"/>
    <n v="1"/>
    <n v="4764.07"/>
    <n v="0.1"/>
    <n v="4287.66"/>
    <n v="2945.1"/>
    <n v="1342.56"/>
    <x v="2"/>
    <n v="0.31312184268342169"/>
    <x v="0"/>
    <x v="4"/>
    <x v="4"/>
    <s v="Q2"/>
  </r>
  <r>
    <s v="ORD100168"/>
    <x v="137"/>
    <s v="CUST1255"/>
    <s v="Ananya Reddy"/>
    <x v="3"/>
    <s v="West Bengal"/>
    <s v="Durgapur"/>
    <x v="1"/>
    <s v="Storage"/>
    <x v="9"/>
    <n v="2"/>
    <n v="492.19"/>
    <n v="0.1"/>
    <n v="885.94"/>
    <n v="438.07"/>
    <n v="447.87"/>
    <x v="0"/>
    <n v="0.50553084859019792"/>
    <x v="0"/>
    <x v="4"/>
    <x v="4"/>
    <s v="Q2"/>
  </r>
  <r>
    <s v="ORD100226"/>
    <x v="138"/>
    <s v="CUST1390"/>
    <s v="Aisha Malhotra"/>
    <x v="2"/>
    <s v="Karnataka"/>
    <s v="Mysuru"/>
    <x v="2"/>
    <s v="Living Room"/>
    <x v="16"/>
    <n v="1"/>
    <n v="4075.77"/>
    <n v="0.05"/>
    <n v="3871.98"/>
    <n v="2613.92"/>
    <n v="1258.06"/>
    <x v="2"/>
    <n v="0.32491386835675801"/>
    <x v="0"/>
    <x v="4"/>
    <x v="4"/>
    <s v="Q2"/>
  </r>
  <r>
    <s v="ORD100348"/>
    <x v="138"/>
    <s v="CUST1219"/>
    <s v="Meera Kumar"/>
    <x v="3"/>
    <s v="West Bengal"/>
    <s v="Siliguri"/>
    <x v="0"/>
    <s v="Audio"/>
    <x v="11"/>
    <n v="4"/>
    <n v="2098.16"/>
    <n v="0"/>
    <n v="8392.64"/>
    <n v="4874.6899999999996"/>
    <n v="3517.95"/>
    <x v="0"/>
    <n v="0.41917084493079648"/>
    <x v="0"/>
    <x v="4"/>
    <x v="4"/>
    <s v="Q2"/>
  </r>
  <r>
    <s v="ORD100265"/>
    <x v="138"/>
    <s v="CUST1451"/>
    <s v="Vikram Malhotra"/>
    <x v="0"/>
    <s v="Maharashtra"/>
    <s v="Pune"/>
    <x v="0"/>
    <s v="Audio"/>
    <x v="8"/>
    <n v="1"/>
    <n v="2958.75"/>
    <n v="0.1"/>
    <n v="2662.88"/>
    <n v="1519.52"/>
    <n v="1143.3599999999999"/>
    <x v="0"/>
    <n v="0.42936970498107307"/>
    <x v="0"/>
    <x v="4"/>
    <x v="4"/>
    <s v="Q2"/>
  </r>
  <r>
    <s v="ORD100360"/>
    <x v="139"/>
    <s v="CUST1099"/>
    <s v="Nikhil Patel"/>
    <x v="3"/>
    <s v="West Bengal"/>
    <s v="Siliguri"/>
    <x v="1"/>
    <s v="Stationery"/>
    <x v="1"/>
    <n v="4"/>
    <n v="248.87"/>
    <n v="0.1"/>
    <n v="895.93"/>
    <n v="381.83"/>
    <n v="514.1"/>
    <x v="0"/>
    <n v="0.57381715089348506"/>
    <x v="0"/>
    <x v="4"/>
    <x v="4"/>
    <s v="Q2"/>
  </r>
  <r>
    <s v="ORD102414"/>
    <x v="139"/>
    <s v="CUST1099"/>
    <s v="Neha Malhotra"/>
    <x v="2"/>
    <s v="Karnataka"/>
    <s v="Hubballi"/>
    <x v="0"/>
    <s v="Accessories"/>
    <x v="6"/>
    <n v="3"/>
    <n v="833.87"/>
    <n v="0.05"/>
    <n v="2376.5300000000002"/>
    <n v="1524.14"/>
    <n v="852.39"/>
    <x v="3"/>
    <n v="0.35866999364619839"/>
    <x v="0"/>
    <x v="4"/>
    <x v="4"/>
    <s v="Q2"/>
  </r>
  <r>
    <s v="ORD100774"/>
    <x v="139"/>
    <s v="CUST1289"/>
    <s v="Varun Mehta"/>
    <x v="3"/>
    <s v="West Bengal"/>
    <s v="Kolkata"/>
    <x v="2"/>
    <s v="Living Room"/>
    <x v="16"/>
    <n v="3"/>
    <n v="3966.91"/>
    <n v="0.1"/>
    <n v="10710.66"/>
    <n v="7572.29"/>
    <n v="3138.37"/>
    <x v="3"/>
    <n v="0.29301368916574699"/>
    <x v="0"/>
    <x v="4"/>
    <x v="4"/>
    <s v="Q2"/>
  </r>
  <r>
    <s v="ORD101545"/>
    <x v="140"/>
    <s v="CUST1328"/>
    <s v="Meera Gupta"/>
    <x v="1"/>
    <s v="Delhi"/>
    <s v="Delhi"/>
    <x v="3"/>
    <s v="Cleaning"/>
    <x v="12"/>
    <n v="3"/>
    <n v="13096.55"/>
    <n v="0.1"/>
    <n v="35360.68"/>
    <n v="27438.37"/>
    <n v="7922.31"/>
    <x v="0"/>
    <n v="0.2240429199890952"/>
    <x v="0"/>
    <x v="4"/>
    <x v="4"/>
    <s v="Q2"/>
  </r>
  <r>
    <s v="ORD101477"/>
    <x v="140"/>
    <s v="CUST1632"/>
    <s v="Aditya Naidu"/>
    <x v="2"/>
    <s v="Tamil Nadu"/>
    <s v="Salem"/>
    <x v="0"/>
    <s v="Audio"/>
    <x v="8"/>
    <n v="1"/>
    <n v="3011.29"/>
    <n v="0.05"/>
    <n v="2860.73"/>
    <n v="1550.44"/>
    <n v="1310.29"/>
    <x v="3"/>
    <n v="0.45802644779479362"/>
    <x v="0"/>
    <x v="4"/>
    <x v="4"/>
    <s v="Q2"/>
  </r>
  <r>
    <s v="ORD101427"/>
    <x v="140"/>
    <s v="CUST1097"/>
    <s v="Meera Nair"/>
    <x v="0"/>
    <s v="Maharashtra"/>
    <s v="Nagpur"/>
    <x v="0"/>
    <s v="Computers"/>
    <x v="3"/>
    <n v="5"/>
    <n v="16611.27"/>
    <n v="0.2"/>
    <n v="66445.08"/>
    <n v="61294.15"/>
    <n v="5150.93"/>
    <x v="4"/>
    <n v="7.7521616348418879E-2"/>
    <x v="0"/>
    <x v="4"/>
    <x v="4"/>
    <s v="Q2"/>
  </r>
  <r>
    <s v="ORD100148"/>
    <x v="140"/>
    <s v="CUST1555"/>
    <s v="Aisha Mehta"/>
    <x v="3"/>
    <s v="West Bengal"/>
    <s v="Siliguri"/>
    <x v="0"/>
    <s v="Accessories"/>
    <x v="5"/>
    <n v="1"/>
    <n v="2534.86"/>
    <n v="0"/>
    <n v="2534.86"/>
    <n v="1352.01"/>
    <n v="1182.8499999999999"/>
    <x v="4"/>
    <n v="0.4666332657424867"/>
    <x v="0"/>
    <x v="4"/>
    <x v="4"/>
    <s v="Q2"/>
  </r>
  <r>
    <s v="ORD100101"/>
    <x v="140"/>
    <s v="CUST1572"/>
    <s v="Kiran Iyer"/>
    <x v="2"/>
    <s v="Karnataka"/>
    <s v="Bengaluru"/>
    <x v="1"/>
    <s v="Storage"/>
    <x v="9"/>
    <n v="4"/>
    <n v="481.76"/>
    <n v="0.15"/>
    <n v="1637.98"/>
    <n v="865.07"/>
    <n v="772.91"/>
    <x v="0"/>
    <n v="0.47186778837348442"/>
    <x v="0"/>
    <x v="4"/>
    <x v="4"/>
    <s v="Q2"/>
  </r>
  <r>
    <s v="ORD101690"/>
    <x v="141"/>
    <s v="CUST1630"/>
    <s v="Priya Naidu"/>
    <x v="1"/>
    <s v="Delhi"/>
    <s v="Delhi"/>
    <x v="3"/>
    <s v="Cleaning"/>
    <x v="12"/>
    <n v="1"/>
    <n v="12467.04"/>
    <n v="0.1"/>
    <n v="11220.34"/>
    <n v="8725.07"/>
    <n v="2495.27"/>
    <x v="0"/>
    <n v="0.22238809162645701"/>
    <x v="0"/>
    <x v="4"/>
    <x v="4"/>
    <s v="Q2"/>
  </r>
  <r>
    <s v="ORD101801"/>
    <x v="141"/>
    <s v="CUST1339"/>
    <s v="Priya Sharma"/>
    <x v="2"/>
    <s v="Tamil Nadu"/>
    <s v="Chennai"/>
    <x v="1"/>
    <s v="Storage"/>
    <x v="9"/>
    <n v="4"/>
    <n v="482.37"/>
    <n v="0.05"/>
    <n v="1833.01"/>
    <n v="880.23"/>
    <n v="952.78"/>
    <x v="1"/>
    <n v="0.5197898538469512"/>
    <x v="0"/>
    <x v="4"/>
    <x v="4"/>
    <s v="Q2"/>
  </r>
  <r>
    <s v="ORD101225"/>
    <x v="141"/>
    <s v="CUST1491"/>
    <s v="Vikram Mehta"/>
    <x v="2"/>
    <s v="Telangana"/>
    <s v="Hyderabad"/>
    <x v="0"/>
    <s v="Audio"/>
    <x v="11"/>
    <n v="4"/>
    <n v="2034.31"/>
    <n v="0.1"/>
    <n v="7323.52"/>
    <n v="4631.62"/>
    <n v="2691.9"/>
    <x v="0"/>
    <n v="0.36756914707681548"/>
    <x v="0"/>
    <x v="4"/>
    <x v="4"/>
    <s v="Q2"/>
  </r>
  <r>
    <s v="ORD101282"/>
    <x v="142"/>
    <s v="CUST1445"/>
    <s v="Pooja Malhotra"/>
    <x v="3"/>
    <s v="West Bengal"/>
    <s v="Siliguri"/>
    <x v="0"/>
    <s v="Accessories"/>
    <x v="5"/>
    <n v="2"/>
    <n v="2609.9699999999998"/>
    <n v="0.05"/>
    <n v="4958.9399999999996"/>
    <n v="2862.66"/>
    <n v="2096.2800000000002"/>
    <x v="0"/>
    <n v="0.42272743771854482"/>
    <x v="0"/>
    <x v="4"/>
    <x v="4"/>
    <s v="Q2"/>
  </r>
  <r>
    <s v="ORD100081"/>
    <x v="142"/>
    <s v="CUST1293"/>
    <s v="Rohan Nair"/>
    <x v="2"/>
    <s v="Telangana"/>
    <s v="Hyderabad"/>
    <x v="2"/>
    <s v="Office"/>
    <x v="14"/>
    <n v="1"/>
    <n v="8636.2099999999991"/>
    <n v="0.1"/>
    <n v="7772.59"/>
    <n v="5799"/>
    <n v="1973.59"/>
    <x v="1"/>
    <n v="0.25391664811858078"/>
    <x v="0"/>
    <x v="4"/>
    <x v="4"/>
    <s v="Q2"/>
  </r>
  <r>
    <s v="ORD100399"/>
    <x v="143"/>
    <s v="CUST1093"/>
    <s v="Kavya Nair"/>
    <x v="0"/>
    <s v="Maharashtra"/>
    <s v="Nagpur"/>
    <x v="2"/>
    <s v="Living Room"/>
    <x v="16"/>
    <n v="3"/>
    <n v="4212.32"/>
    <n v="0.1"/>
    <n v="11373.26"/>
    <n v="7922.61"/>
    <n v="3450.65"/>
    <x v="1"/>
    <n v="0.30340025639086771"/>
    <x v="0"/>
    <x v="4"/>
    <x v="4"/>
    <s v="Q2"/>
  </r>
  <r>
    <s v="ORD100495"/>
    <x v="144"/>
    <s v="CUST1596"/>
    <s v="Pooja Patel"/>
    <x v="3"/>
    <s v="West Bengal"/>
    <s v="Kolkata"/>
    <x v="1"/>
    <s v="Storage"/>
    <x v="9"/>
    <n v="4"/>
    <n v="505.85"/>
    <n v="0"/>
    <n v="2023.4"/>
    <n v="928.46"/>
    <n v="1094.94"/>
    <x v="0"/>
    <n v="0.54113867747355937"/>
    <x v="0"/>
    <x v="4"/>
    <x v="4"/>
    <s v="Q2"/>
  </r>
  <r>
    <s v="ORD102353"/>
    <x v="144"/>
    <s v="CUST1157"/>
    <s v="Meera Sharma"/>
    <x v="3"/>
    <s v="West Bengal"/>
    <s v="Siliguri"/>
    <x v="0"/>
    <s v="Audio"/>
    <x v="11"/>
    <n v="4"/>
    <n v="2005.71"/>
    <n v="0.15"/>
    <n v="6819.41"/>
    <n v="4782.47"/>
    <n v="2036.94"/>
    <x v="1"/>
    <n v="0.29869739464264511"/>
    <x v="0"/>
    <x v="4"/>
    <x v="4"/>
    <s v="Q2"/>
  </r>
  <r>
    <s v="ORD100979"/>
    <x v="144"/>
    <s v="CUST1500"/>
    <s v="Rohan Malhotra"/>
    <x v="2"/>
    <s v="Karnataka"/>
    <s v="Mysuru"/>
    <x v="3"/>
    <s v="Cleaning"/>
    <x v="12"/>
    <n v="2"/>
    <n v="13576.68"/>
    <n v="0.15"/>
    <n v="23080.36"/>
    <n v="19246.73"/>
    <n v="3833.63"/>
    <x v="2"/>
    <n v="0.16609922895483431"/>
    <x v="0"/>
    <x v="4"/>
    <x v="4"/>
    <s v="Q2"/>
  </r>
  <r>
    <s v="ORD102249"/>
    <x v="144"/>
    <s v="CUST1323"/>
    <s v="Arjun Gupta"/>
    <x v="2"/>
    <s v="Tamil Nadu"/>
    <s v="Salem"/>
    <x v="0"/>
    <s v="Audio"/>
    <x v="8"/>
    <n v="1"/>
    <n v="3048.33"/>
    <n v="0.05"/>
    <n v="2895.91"/>
    <n v="1583.35"/>
    <n v="1312.56"/>
    <x v="1"/>
    <n v="0.45324612988663321"/>
    <x v="0"/>
    <x v="4"/>
    <x v="4"/>
    <s v="Q2"/>
  </r>
  <r>
    <s v="ORD100352"/>
    <x v="145"/>
    <s v="CUST1397"/>
    <s v="Aditya Mehta"/>
    <x v="2"/>
    <s v="Telangana"/>
    <s v="Hyderabad"/>
    <x v="0"/>
    <s v="Accessories"/>
    <x v="5"/>
    <n v="1"/>
    <n v="2513.66"/>
    <n v="0"/>
    <n v="2513.66"/>
    <n v="1344.95"/>
    <n v="1168.71"/>
    <x v="4"/>
    <n v="0.46494354845126229"/>
    <x v="0"/>
    <x v="4"/>
    <x v="4"/>
    <s v="Q2"/>
  </r>
  <r>
    <s v="ORD102400"/>
    <x v="146"/>
    <s v="CUST1633"/>
    <s v="Neha Reddy"/>
    <x v="0"/>
    <s v="Maharashtra"/>
    <s v="Pune"/>
    <x v="0"/>
    <s v="Audio"/>
    <x v="11"/>
    <n v="3"/>
    <n v="2118.15"/>
    <n v="0.2"/>
    <n v="5083.5600000000004"/>
    <n v="3541.13"/>
    <n v="1542.43"/>
    <x v="2"/>
    <n v="0.30341532312001818"/>
    <x v="0"/>
    <x v="5"/>
    <x v="5"/>
    <s v="Q2"/>
  </r>
  <r>
    <s v="ORD101881"/>
    <x v="146"/>
    <s v="CUST1590"/>
    <s v="Kiran Patel"/>
    <x v="0"/>
    <s v="Maharashtra"/>
    <s v="Mumbai"/>
    <x v="3"/>
    <s v="Cleaning"/>
    <x v="12"/>
    <n v="3"/>
    <n v="12628.02"/>
    <n v="0"/>
    <n v="37884.06"/>
    <n v="26521.46"/>
    <n v="11362.6"/>
    <x v="0"/>
    <n v="0.29993089441839133"/>
    <x v="0"/>
    <x v="5"/>
    <x v="5"/>
    <s v="Q2"/>
  </r>
  <r>
    <s v="ORD100612"/>
    <x v="146"/>
    <s v="CUST1353"/>
    <s v="Aisha Patel"/>
    <x v="2"/>
    <s v="Telangana"/>
    <s v="Hyderabad"/>
    <x v="3"/>
    <s v="Kitchen"/>
    <x v="7"/>
    <n v="6"/>
    <n v="1765.43"/>
    <n v="0.05"/>
    <n v="10062.950000000001"/>
    <n v="5835.91"/>
    <n v="4227.04"/>
    <x v="0"/>
    <n v="0.42005972403718589"/>
    <x v="0"/>
    <x v="5"/>
    <x v="5"/>
    <s v="Q2"/>
  </r>
  <r>
    <s v="ORD101885"/>
    <x v="147"/>
    <s v="CUST1486"/>
    <s v="Diya Nair"/>
    <x v="2"/>
    <s v="Telangana"/>
    <s v="Nizamabad"/>
    <x v="1"/>
    <s v="Storage"/>
    <x v="9"/>
    <n v="1"/>
    <n v="511.41"/>
    <n v="0.1"/>
    <n v="460.27"/>
    <n v="239.26"/>
    <n v="221.01"/>
    <x v="3"/>
    <n v="0.48017468007908398"/>
    <x v="0"/>
    <x v="5"/>
    <x v="5"/>
    <s v="Q2"/>
  </r>
  <r>
    <s v="ORD101159"/>
    <x v="147"/>
    <s v="CUST1009"/>
    <s v="Aarav Mehta"/>
    <x v="3"/>
    <s v="West Bengal"/>
    <s v="Durgapur"/>
    <x v="2"/>
    <s v="Living Room"/>
    <x v="16"/>
    <n v="2"/>
    <n v="3946.13"/>
    <n v="0.15"/>
    <n v="6708.42"/>
    <n v="4923.78"/>
    <n v="1784.64"/>
    <x v="1"/>
    <n v="0.26602985501802212"/>
    <x v="0"/>
    <x v="5"/>
    <x v="5"/>
    <s v="Q2"/>
  </r>
  <r>
    <s v="ORD101819"/>
    <x v="147"/>
    <s v="CUST1570"/>
    <s v="Sneha Verma"/>
    <x v="2"/>
    <s v="Karnataka"/>
    <s v="Bengaluru"/>
    <x v="1"/>
    <s v="Storage"/>
    <x v="9"/>
    <n v="5"/>
    <n v="489.78"/>
    <n v="0.15"/>
    <n v="2081.56"/>
    <n v="1089.45"/>
    <n v="992.11"/>
    <x v="2"/>
    <n v="0.47661849766521258"/>
    <x v="0"/>
    <x v="5"/>
    <x v="5"/>
    <s v="Q2"/>
  </r>
  <r>
    <s v="ORD101289"/>
    <x v="147"/>
    <s v="CUST1002"/>
    <s v="Varun Nair"/>
    <x v="2"/>
    <s v="Tamil Nadu"/>
    <s v="Coimbatore"/>
    <x v="0"/>
    <s v="Computers"/>
    <x v="0"/>
    <n v="2"/>
    <n v="58032.98"/>
    <n v="0.2"/>
    <n v="92852.77"/>
    <n v="104235.69"/>
    <n v="-11382.92"/>
    <x v="3"/>
    <n v="-0.12259106540386459"/>
    <x v="0"/>
    <x v="5"/>
    <x v="5"/>
    <s v="Q2"/>
  </r>
  <r>
    <s v="ORD100740"/>
    <x v="148"/>
    <s v="CUST1630"/>
    <s v="Kavya Rao"/>
    <x v="1"/>
    <s v="Delhi"/>
    <s v="Delhi"/>
    <x v="2"/>
    <s v="Office"/>
    <x v="10"/>
    <n v="1"/>
    <n v="7050"/>
    <n v="0.15"/>
    <n v="5992.5"/>
    <n v="4513.68"/>
    <n v="1478.82"/>
    <x v="4"/>
    <n v="0.24677847309136419"/>
    <x v="0"/>
    <x v="5"/>
    <x v="5"/>
    <s v="Q2"/>
  </r>
  <r>
    <s v="ORD100280"/>
    <x v="148"/>
    <s v="CUST1392"/>
    <s v="Neha Kumar"/>
    <x v="2"/>
    <s v="Tamil Nadu"/>
    <s v="Madurai"/>
    <x v="0"/>
    <s v="Computers"/>
    <x v="3"/>
    <n v="1"/>
    <n v="15326.93"/>
    <n v="0.05"/>
    <n v="14560.58"/>
    <n v="11837.39"/>
    <n v="2723.19"/>
    <x v="1"/>
    <n v="0.18702483005484671"/>
    <x v="0"/>
    <x v="5"/>
    <x v="5"/>
    <s v="Q2"/>
  </r>
  <r>
    <s v="ORD102061"/>
    <x v="148"/>
    <s v="CUST1416"/>
    <s v="Neha Verma"/>
    <x v="3"/>
    <s v="West Bengal"/>
    <s v="Siliguri"/>
    <x v="2"/>
    <s v="Office"/>
    <x v="10"/>
    <n v="3"/>
    <n v="7091.2"/>
    <n v="0.05"/>
    <n v="20209.919999999998"/>
    <n v="13361.77"/>
    <n v="6848.15"/>
    <x v="0"/>
    <n v="0.33885092073595541"/>
    <x v="0"/>
    <x v="5"/>
    <x v="5"/>
    <s v="Q2"/>
  </r>
  <r>
    <s v="ORD102079"/>
    <x v="149"/>
    <s v="CUST1227"/>
    <s v="Meera Gupta"/>
    <x v="1"/>
    <s v="Delhi"/>
    <s v="Delhi"/>
    <x v="0"/>
    <s v="Computers"/>
    <x v="3"/>
    <n v="1"/>
    <n v="15927.3"/>
    <n v="0.05"/>
    <n v="15130.93"/>
    <n v="11958.58"/>
    <n v="3172.35"/>
    <x v="2"/>
    <n v="0.20965994819882189"/>
    <x v="0"/>
    <x v="5"/>
    <x v="5"/>
    <s v="Q2"/>
  </r>
  <r>
    <s v="ORD101799"/>
    <x v="149"/>
    <s v="CUST1301"/>
    <s v="Rohan Malhotra"/>
    <x v="2"/>
    <s v="Karnataka"/>
    <s v="Hubballi"/>
    <x v="2"/>
    <s v="Office"/>
    <x v="14"/>
    <n v="1"/>
    <n v="8147.85"/>
    <n v="0.2"/>
    <n v="6518.28"/>
    <n v="5663.36"/>
    <n v="854.92"/>
    <x v="0"/>
    <n v="0.13115729916481031"/>
    <x v="0"/>
    <x v="5"/>
    <x v="5"/>
    <s v="Q2"/>
  </r>
  <r>
    <s v="ORD100906"/>
    <x v="149"/>
    <s v="CUST1073"/>
    <s v="Ishaan Naidu"/>
    <x v="2"/>
    <s v="Tamil Nadu"/>
    <s v="Salem"/>
    <x v="0"/>
    <s v="Computers"/>
    <x v="0"/>
    <n v="1"/>
    <n v="57708.84"/>
    <n v="0.1"/>
    <n v="51937.96"/>
    <n v="52125.49"/>
    <n v="-187.53"/>
    <x v="0"/>
    <n v="-3.6106539417412619E-3"/>
    <x v="0"/>
    <x v="5"/>
    <x v="5"/>
    <s v="Q2"/>
  </r>
  <r>
    <s v="ORD102044"/>
    <x v="150"/>
    <s v="CUST1288"/>
    <s v="Aisha Mehta"/>
    <x v="1"/>
    <s v="Delhi"/>
    <s v="Delhi"/>
    <x v="3"/>
    <s v="Cleaning"/>
    <x v="15"/>
    <n v="1"/>
    <n v="7297.05"/>
    <n v="0.1"/>
    <n v="6567.35"/>
    <n v="4731.91"/>
    <n v="1835.44"/>
    <x v="2"/>
    <n v="0.2794795465446489"/>
    <x v="0"/>
    <x v="5"/>
    <x v="5"/>
    <s v="Q2"/>
  </r>
  <r>
    <s v="ORD101267"/>
    <x v="150"/>
    <s v="CUST1334"/>
    <s v="Rohan Naidu"/>
    <x v="3"/>
    <s v="West Bengal"/>
    <s v="Siliguri"/>
    <x v="2"/>
    <s v="Office"/>
    <x v="14"/>
    <n v="4"/>
    <n v="8289.02"/>
    <n v="0.1"/>
    <n v="29840.47"/>
    <n v="22093.63"/>
    <n v="7746.84"/>
    <x v="1"/>
    <n v="0.25960851152813608"/>
    <x v="0"/>
    <x v="5"/>
    <x v="5"/>
    <s v="Q2"/>
  </r>
  <r>
    <s v="ORD101605"/>
    <x v="151"/>
    <s v="CUST1055"/>
    <s v="Ananya Singh"/>
    <x v="2"/>
    <s v="Tamil Nadu"/>
    <s v="Salem"/>
    <x v="2"/>
    <s v="Living Room"/>
    <x v="4"/>
    <n v="1"/>
    <n v="5211.8999999999996"/>
    <n v="0.05"/>
    <n v="4951.3"/>
    <n v="3088"/>
    <n v="1863.3"/>
    <x v="2"/>
    <n v="0.37632540948841708"/>
    <x v="0"/>
    <x v="5"/>
    <x v="5"/>
    <s v="Q2"/>
  </r>
  <r>
    <s v="ORD100650"/>
    <x v="151"/>
    <s v="CUST1280"/>
    <s v="Sneha Das"/>
    <x v="3"/>
    <s v="West Bengal"/>
    <s v="Durgapur"/>
    <x v="0"/>
    <s v="Audio"/>
    <x v="8"/>
    <n v="1"/>
    <n v="2978.73"/>
    <n v="0.1"/>
    <n v="2680.86"/>
    <n v="1517.91"/>
    <n v="1162.95"/>
    <x v="0"/>
    <n v="0.43379736353259768"/>
    <x v="0"/>
    <x v="5"/>
    <x v="5"/>
    <s v="Q2"/>
  </r>
  <r>
    <s v="ORD101064"/>
    <x v="151"/>
    <s v="CUST1091"/>
    <s v="Kiran Rao"/>
    <x v="2"/>
    <s v="Tamil Nadu"/>
    <s v="Madurai"/>
    <x v="3"/>
    <s v="Cleaning"/>
    <x v="15"/>
    <n v="3"/>
    <n v="7089.02"/>
    <n v="0.05"/>
    <n v="20203.71"/>
    <n v="13393.32"/>
    <n v="6810.39"/>
    <x v="2"/>
    <n v="0.33708610943237649"/>
    <x v="0"/>
    <x v="5"/>
    <x v="5"/>
    <s v="Q2"/>
  </r>
  <r>
    <s v="ORD101054"/>
    <x v="151"/>
    <s v="CUST1438"/>
    <s v="Pooja Iyer"/>
    <x v="2"/>
    <s v="Telangana"/>
    <s v="Hyderabad"/>
    <x v="2"/>
    <s v="Living Room"/>
    <x v="16"/>
    <n v="2"/>
    <n v="3986.88"/>
    <n v="0.2"/>
    <n v="6379.01"/>
    <n v="4972.09"/>
    <n v="1406.92"/>
    <x v="0"/>
    <n v="0.2205546001652294"/>
    <x v="0"/>
    <x v="5"/>
    <x v="5"/>
    <s v="Q2"/>
  </r>
  <r>
    <s v="ORD101240"/>
    <x v="152"/>
    <s v="CUST1505"/>
    <s v="Arjun Verma"/>
    <x v="1"/>
    <s v="Delhi"/>
    <s v="Delhi"/>
    <x v="2"/>
    <s v="Office"/>
    <x v="14"/>
    <n v="3"/>
    <n v="8344.32"/>
    <n v="0"/>
    <n v="25032.959999999999"/>
    <n v="17281.03"/>
    <n v="7751.93"/>
    <x v="3"/>
    <n v="0.30966893247941918"/>
    <x v="0"/>
    <x v="5"/>
    <x v="5"/>
    <s v="Q2"/>
  </r>
  <r>
    <s v="ORD102485"/>
    <x v="152"/>
    <s v="CUST1159"/>
    <s v="Aarav Patel"/>
    <x v="0"/>
    <s v="Maharashtra"/>
    <s v="Nagpur"/>
    <x v="0"/>
    <s v="Audio"/>
    <x v="8"/>
    <n v="2"/>
    <n v="2905.33"/>
    <n v="0.05"/>
    <n v="5520.13"/>
    <n v="3086.74"/>
    <n v="2433.39"/>
    <x v="2"/>
    <n v="0.44082114008184592"/>
    <x v="0"/>
    <x v="5"/>
    <x v="5"/>
    <s v="Q2"/>
  </r>
  <r>
    <s v="ORD100516"/>
    <x v="152"/>
    <s v="CUST1307"/>
    <s v="Ananya Joshi"/>
    <x v="1"/>
    <s v="Delhi"/>
    <s v="Delhi"/>
    <x v="3"/>
    <s v="Cleaning"/>
    <x v="15"/>
    <n v="1"/>
    <n v="7337.12"/>
    <n v="0.1"/>
    <n v="6603.41"/>
    <n v="4664.24"/>
    <n v="1939.17"/>
    <x v="3"/>
    <n v="0.29366191104293088"/>
    <x v="0"/>
    <x v="5"/>
    <x v="5"/>
    <s v="Q2"/>
  </r>
  <r>
    <s v="ORD101442"/>
    <x v="152"/>
    <s v="CUST1034"/>
    <s v="Rohan Nair"/>
    <x v="1"/>
    <s v="Delhi"/>
    <s v="Delhi"/>
    <x v="2"/>
    <s v="Office"/>
    <x v="10"/>
    <n v="1"/>
    <n v="7217.6"/>
    <n v="0"/>
    <n v="7217.6"/>
    <n v="4443.6099999999997"/>
    <n v="2773.99"/>
    <x v="1"/>
    <n v="0.38433689869208598"/>
    <x v="0"/>
    <x v="5"/>
    <x v="5"/>
    <s v="Q2"/>
  </r>
  <r>
    <s v="ORD102133"/>
    <x v="152"/>
    <s v="CUST1519"/>
    <s v="Aisha Reddy"/>
    <x v="2"/>
    <s v="Telangana"/>
    <s v="Nizamabad"/>
    <x v="0"/>
    <s v="Accessories"/>
    <x v="6"/>
    <n v="2"/>
    <n v="779.95"/>
    <n v="0.1"/>
    <n v="1403.91"/>
    <n v="948.53"/>
    <n v="455.38"/>
    <x v="2"/>
    <n v="0.3243655220063964"/>
    <x v="0"/>
    <x v="5"/>
    <x v="5"/>
    <s v="Q2"/>
  </r>
  <r>
    <s v="ORD101338"/>
    <x v="153"/>
    <s v="CUST1111"/>
    <s v="Kiran Gupta"/>
    <x v="2"/>
    <s v="Karnataka"/>
    <s v="Mangaluru"/>
    <x v="3"/>
    <s v="Cleaning"/>
    <x v="15"/>
    <n v="1"/>
    <n v="7617.35"/>
    <n v="0.15"/>
    <n v="6474.75"/>
    <n v="5075.24"/>
    <n v="1399.51"/>
    <x v="0"/>
    <n v="0.2161488860573767"/>
    <x v="0"/>
    <x v="5"/>
    <x v="5"/>
    <s v="Q2"/>
  </r>
  <r>
    <s v="ORD101529"/>
    <x v="153"/>
    <s v="CUST1109"/>
    <s v="Nikhil Gupta"/>
    <x v="2"/>
    <s v="Karnataka"/>
    <s v="Mangaluru"/>
    <x v="1"/>
    <s v="Storage"/>
    <x v="2"/>
    <n v="2"/>
    <n v="689.77"/>
    <n v="0.05"/>
    <n v="1310.56"/>
    <n v="632.32000000000005"/>
    <n v="678.24"/>
    <x v="4"/>
    <n v="0.51751922842143816"/>
    <x v="0"/>
    <x v="5"/>
    <x v="5"/>
    <s v="Q2"/>
  </r>
  <r>
    <s v="ORD101650"/>
    <x v="153"/>
    <s v="CUST1463"/>
    <s v="Sanjana Rao"/>
    <x v="2"/>
    <s v="Tamil Nadu"/>
    <s v="Madurai"/>
    <x v="0"/>
    <s v="Computers"/>
    <x v="3"/>
    <n v="2"/>
    <n v="16385.86"/>
    <n v="0.15"/>
    <n v="27855.96"/>
    <n v="24086.98"/>
    <n v="3768.98"/>
    <x v="2"/>
    <n v="0.13530246309945879"/>
    <x v="0"/>
    <x v="5"/>
    <x v="5"/>
    <s v="Q2"/>
  </r>
  <r>
    <s v="ORD100080"/>
    <x v="154"/>
    <s v="CUST1323"/>
    <s v="Rahul Kumar"/>
    <x v="2"/>
    <s v="Telangana"/>
    <s v="Hyderabad"/>
    <x v="3"/>
    <s v="Cleaning"/>
    <x v="12"/>
    <n v="3"/>
    <n v="12831.11"/>
    <n v="0.1"/>
    <n v="34644"/>
    <n v="28636"/>
    <n v="6008"/>
    <x v="0"/>
    <n v="0.17342108301581799"/>
    <x v="0"/>
    <x v="5"/>
    <x v="5"/>
    <s v="Q2"/>
  </r>
  <r>
    <s v="ORD102094"/>
    <x v="154"/>
    <s v="CUST1611"/>
    <s v="Kavya Rao"/>
    <x v="2"/>
    <s v="Telangana"/>
    <s v="Warangal"/>
    <x v="0"/>
    <s v="Accessories"/>
    <x v="6"/>
    <n v="2"/>
    <n v="816.76"/>
    <n v="0"/>
    <n v="1633.52"/>
    <n v="1013.78"/>
    <n v="619.74"/>
    <x v="0"/>
    <n v="0.37938929428473478"/>
    <x v="0"/>
    <x v="5"/>
    <x v="5"/>
    <s v="Q2"/>
  </r>
  <r>
    <s v="ORD101562"/>
    <x v="155"/>
    <s v="CUST1403"/>
    <s v="Sanjana Malhotra"/>
    <x v="2"/>
    <s v="Tamil Nadu"/>
    <s v="Salem"/>
    <x v="3"/>
    <s v="Kitchen"/>
    <x v="13"/>
    <n v="2"/>
    <n v="3454.55"/>
    <n v="0.1"/>
    <n v="6218.19"/>
    <n v="3850.45"/>
    <n v="2367.7399999999998"/>
    <x v="2"/>
    <n v="0.38077639956321702"/>
    <x v="0"/>
    <x v="5"/>
    <x v="5"/>
    <s v="Q2"/>
  </r>
  <r>
    <s v="ORD101447"/>
    <x v="155"/>
    <s v="CUST1603"/>
    <s v="Aarav Gupta"/>
    <x v="2"/>
    <s v="Telangana"/>
    <s v="Nizamabad"/>
    <x v="2"/>
    <s v="Living Room"/>
    <x v="16"/>
    <n v="3"/>
    <n v="4125.72"/>
    <n v="0.1"/>
    <n v="11139.44"/>
    <n v="8109.48"/>
    <n v="3029.96"/>
    <x v="0"/>
    <n v="0.27200290140258399"/>
    <x v="0"/>
    <x v="5"/>
    <x v="5"/>
    <s v="Q2"/>
  </r>
  <r>
    <s v="ORD102168"/>
    <x v="155"/>
    <s v="CUST1064"/>
    <s v="Kiran Malhotra"/>
    <x v="1"/>
    <s v="Delhi"/>
    <s v="New Delhi"/>
    <x v="3"/>
    <s v="Cleaning"/>
    <x v="15"/>
    <n v="1"/>
    <n v="7395.06"/>
    <n v="0.1"/>
    <n v="6655.55"/>
    <n v="4871.18"/>
    <n v="1784.37"/>
    <x v="3"/>
    <n v="0.26810256102050167"/>
    <x v="0"/>
    <x v="5"/>
    <x v="5"/>
    <s v="Q2"/>
  </r>
  <r>
    <s v="ORD100919"/>
    <x v="156"/>
    <s v="CUST1632"/>
    <s v="Aarav Mehta"/>
    <x v="1"/>
    <s v="Delhi"/>
    <s v="New Delhi"/>
    <x v="0"/>
    <s v="Accessories"/>
    <x v="5"/>
    <n v="3"/>
    <n v="2450.85"/>
    <n v="0.15"/>
    <n v="6249.67"/>
    <n v="4187.8900000000003"/>
    <n v="2061.7800000000002"/>
    <x v="2"/>
    <n v="0.32990221883715459"/>
    <x v="0"/>
    <x v="5"/>
    <x v="5"/>
    <s v="Q2"/>
  </r>
  <r>
    <s v="ORD101441"/>
    <x v="156"/>
    <s v="CUST1211"/>
    <s v="Vikram Verma"/>
    <x v="2"/>
    <s v="Tamil Nadu"/>
    <s v="Madurai"/>
    <x v="2"/>
    <s v="Living Room"/>
    <x v="16"/>
    <n v="2"/>
    <n v="4171.88"/>
    <n v="0.15"/>
    <n v="7092.2"/>
    <n v="5282.4"/>
    <n v="1809.8"/>
    <x v="2"/>
    <n v="0.2551817489636502"/>
    <x v="0"/>
    <x v="5"/>
    <x v="5"/>
    <s v="Q2"/>
  </r>
  <r>
    <s v="ORD100901"/>
    <x v="156"/>
    <s v="CUST1132"/>
    <s v="Pooja Malhotra"/>
    <x v="1"/>
    <s v="Delhi"/>
    <s v="Delhi"/>
    <x v="3"/>
    <s v="Kitchen"/>
    <x v="7"/>
    <n v="2"/>
    <n v="1737.31"/>
    <n v="0"/>
    <n v="3474.62"/>
    <n v="1915.59"/>
    <n v="1559.03"/>
    <x v="0"/>
    <n v="0.44869079208661672"/>
    <x v="0"/>
    <x v="5"/>
    <x v="5"/>
    <s v="Q2"/>
  </r>
  <r>
    <s v="ORD101209"/>
    <x v="157"/>
    <s v="CUST1286"/>
    <s v="Diya Singh"/>
    <x v="0"/>
    <s v="Maharashtra"/>
    <s v="Nashik"/>
    <x v="1"/>
    <s v="Stationery"/>
    <x v="17"/>
    <n v="3"/>
    <n v="302.72000000000003"/>
    <n v="0.15"/>
    <n v="771.94"/>
    <n v="376.98"/>
    <n v="394.96"/>
    <x v="1"/>
    <n v="0.5116459828484079"/>
    <x v="0"/>
    <x v="5"/>
    <x v="5"/>
    <s v="Q2"/>
  </r>
  <r>
    <s v="ORD101811"/>
    <x v="157"/>
    <s v="CUST1173"/>
    <s v="Kavya Sharma"/>
    <x v="1"/>
    <s v="Delhi"/>
    <s v="Delhi"/>
    <x v="0"/>
    <s v="Accessories"/>
    <x v="6"/>
    <n v="1"/>
    <n v="762.94"/>
    <n v="0.1"/>
    <n v="686.65"/>
    <n v="471.88"/>
    <n v="214.77"/>
    <x v="2"/>
    <n v="0.31277943639408728"/>
    <x v="0"/>
    <x v="5"/>
    <x v="5"/>
    <s v="Q2"/>
  </r>
  <r>
    <s v="ORD101953"/>
    <x v="157"/>
    <s v="CUST1253"/>
    <s v="Nikhil Verma"/>
    <x v="2"/>
    <s v="Tamil Nadu"/>
    <s v="Coimbatore"/>
    <x v="3"/>
    <s v="Kitchen"/>
    <x v="7"/>
    <n v="2"/>
    <n v="1762.19"/>
    <n v="0.05"/>
    <n v="3348.16"/>
    <n v="1854.13"/>
    <n v="1494.03"/>
    <x v="0"/>
    <n v="0.44622419478161141"/>
    <x v="0"/>
    <x v="5"/>
    <x v="5"/>
    <s v="Q2"/>
  </r>
  <r>
    <s v="ORD101024"/>
    <x v="157"/>
    <s v="CUST1358"/>
    <s v="Sneha Patel"/>
    <x v="1"/>
    <s v="Delhi"/>
    <s v="New Delhi"/>
    <x v="0"/>
    <s v="Audio"/>
    <x v="11"/>
    <n v="2"/>
    <n v="1906.14"/>
    <n v="0"/>
    <n v="3812.28"/>
    <n v="2171.5500000000002"/>
    <n v="1640.73"/>
    <x v="0"/>
    <n v="0.43038024489282001"/>
    <x v="0"/>
    <x v="5"/>
    <x v="5"/>
    <s v="Q2"/>
  </r>
  <r>
    <s v="ORD101326"/>
    <x v="157"/>
    <s v="CUST1033"/>
    <s v="Priya Kumar"/>
    <x v="3"/>
    <s v="West Bengal"/>
    <s v="Kolkata"/>
    <x v="0"/>
    <s v="Computers"/>
    <x v="3"/>
    <n v="1"/>
    <n v="16116.53"/>
    <n v="0"/>
    <n v="16116.53"/>
    <n v="12265.04"/>
    <n v="3851.49"/>
    <x v="0"/>
    <n v="0.2389776211132297"/>
    <x v="0"/>
    <x v="5"/>
    <x v="5"/>
    <s v="Q2"/>
  </r>
  <r>
    <s v="ORD100713"/>
    <x v="158"/>
    <s v="CUST1154"/>
    <s v="Nikhil Reddy"/>
    <x v="2"/>
    <s v="Telangana"/>
    <s v="Karimnagar"/>
    <x v="1"/>
    <s v="Storage"/>
    <x v="2"/>
    <n v="1"/>
    <n v="668.31"/>
    <n v="0"/>
    <n v="668.31"/>
    <n v="315.88"/>
    <n v="352.43"/>
    <x v="1"/>
    <n v="0.52734509434244592"/>
    <x v="0"/>
    <x v="5"/>
    <x v="5"/>
    <s v="Q2"/>
  </r>
  <r>
    <s v="ORD100595"/>
    <x v="158"/>
    <s v="CUST1357"/>
    <s v="Kavya Sharma"/>
    <x v="0"/>
    <s v="Maharashtra"/>
    <s v="Nashik"/>
    <x v="3"/>
    <s v="Kitchen"/>
    <x v="13"/>
    <n v="2"/>
    <n v="3148.68"/>
    <n v="0.1"/>
    <n v="5667.62"/>
    <n v="3680.47"/>
    <n v="1987.15"/>
    <x v="2"/>
    <n v="0.35061454367088829"/>
    <x v="0"/>
    <x v="5"/>
    <x v="5"/>
    <s v="Q2"/>
  </r>
  <r>
    <s v="ORD100759"/>
    <x v="158"/>
    <s v="CUST1237"/>
    <s v="Pooja Reddy"/>
    <x v="1"/>
    <s v="Delhi"/>
    <s v="Delhi"/>
    <x v="3"/>
    <s v="Kitchen"/>
    <x v="7"/>
    <n v="1"/>
    <n v="1792.23"/>
    <n v="0.1"/>
    <n v="1613.01"/>
    <n v="982.03"/>
    <n v="630.98"/>
    <x v="0"/>
    <n v="0.39118170377121042"/>
    <x v="0"/>
    <x v="5"/>
    <x v="5"/>
    <s v="Q2"/>
  </r>
  <r>
    <s v="ORD101820"/>
    <x v="158"/>
    <s v="CUST1029"/>
    <s v="Ananya Reddy"/>
    <x v="1"/>
    <s v="Delhi"/>
    <s v="Delhi"/>
    <x v="1"/>
    <s v="Storage"/>
    <x v="2"/>
    <n v="1"/>
    <n v="661.93"/>
    <n v="0.15"/>
    <n v="562.64"/>
    <n v="320.58999999999997"/>
    <n v="242.05"/>
    <x v="0"/>
    <n v="0.43020403810607138"/>
    <x v="0"/>
    <x v="5"/>
    <x v="5"/>
    <s v="Q2"/>
  </r>
  <r>
    <s v="ORD100297"/>
    <x v="159"/>
    <s v="CUST1526"/>
    <s v="Priya Mehta"/>
    <x v="2"/>
    <s v="Tamil Nadu"/>
    <s v="Chennai"/>
    <x v="0"/>
    <s v="Accessories"/>
    <x v="6"/>
    <n v="2"/>
    <n v="766.71"/>
    <n v="0.05"/>
    <n v="1456.75"/>
    <n v="955.54"/>
    <n v="501.21"/>
    <x v="3"/>
    <n v="0.34406040844345293"/>
    <x v="0"/>
    <x v="5"/>
    <x v="5"/>
    <s v="Q2"/>
  </r>
  <r>
    <s v="ORD100665"/>
    <x v="160"/>
    <s v="CUST1641"/>
    <s v="Sanjana Reddy"/>
    <x v="2"/>
    <s v="Karnataka"/>
    <s v="Mangaluru"/>
    <x v="3"/>
    <s v="Kitchen"/>
    <x v="13"/>
    <n v="3"/>
    <n v="3273.11"/>
    <n v="0"/>
    <n v="9819.33"/>
    <n v="5454.96"/>
    <n v="4364.37"/>
    <x v="2"/>
    <n v="0.44446718869821061"/>
    <x v="0"/>
    <x v="5"/>
    <x v="5"/>
    <s v="Q2"/>
  </r>
  <r>
    <s v="ORD101494"/>
    <x v="160"/>
    <s v="CUST1450"/>
    <s v="Rahul Mehta"/>
    <x v="0"/>
    <s v="Maharashtra"/>
    <s v="Nashik"/>
    <x v="1"/>
    <s v="Stationery"/>
    <x v="17"/>
    <n v="5"/>
    <n v="299.45"/>
    <n v="0.05"/>
    <n v="1422.39"/>
    <n v="644.28"/>
    <n v="778.11"/>
    <x v="1"/>
    <n v="0.5470440596460886"/>
    <x v="0"/>
    <x v="5"/>
    <x v="5"/>
    <s v="Q2"/>
  </r>
  <r>
    <s v="ORD100197"/>
    <x v="160"/>
    <s v="CUST1350"/>
    <s v="Pooja Iyer"/>
    <x v="2"/>
    <s v="Karnataka"/>
    <s v="Hubballi"/>
    <x v="0"/>
    <s v="Accessories"/>
    <x v="5"/>
    <n v="1"/>
    <n v="2440.7600000000002"/>
    <n v="0.15"/>
    <n v="2074.65"/>
    <n v="1355.19"/>
    <n v="719.46"/>
    <x v="1"/>
    <n v="0.34678620490203171"/>
    <x v="0"/>
    <x v="5"/>
    <x v="5"/>
    <s v="Q2"/>
  </r>
  <r>
    <s v="ORD100385"/>
    <x v="160"/>
    <s v="CUST1610"/>
    <s v="Aisha Singh"/>
    <x v="3"/>
    <s v="West Bengal"/>
    <s v="Durgapur"/>
    <x v="0"/>
    <s v="Accessories"/>
    <x v="5"/>
    <n v="1"/>
    <n v="2634.41"/>
    <n v="0.15"/>
    <n v="2239.25"/>
    <n v="1407.22"/>
    <n v="832.03"/>
    <x v="1"/>
    <n v="0.37156637266942061"/>
    <x v="0"/>
    <x v="5"/>
    <x v="5"/>
    <s v="Q2"/>
  </r>
  <r>
    <s v="ORD101329"/>
    <x v="161"/>
    <s v="CUST1640"/>
    <s v="Sneha Verma"/>
    <x v="3"/>
    <s v="West Bengal"/>
    <s v="Durgapur"/>
    <x v="0"/>
    <s v="Audio"/>
    <x v="11"/>
    <n v="4"/>
    <n v="1918.29"/>
    <n v="0.05"/>
    <n v="7289.5"/>
    <n v="4468.8100000000004"/>
    <n v="2820.69"/>
    <x v="1"/>
    <n v="0.38695246587557453"/>
    <x v="0"/>
    <x v="5"/>
    <x v="5"/>
    <s v="Q2"/>
  </r>
  <r>
    <s v="ORD100025"/>
    <x v="161"/>
    <s v="CUST1603"/>
    <s v="Meera Mehta"/>
    <x v="3"/>
    <s v="West Bengal"/>
    <s v="Kolkata"/>
    <x v="0"/>
    <s v="Audio"/>
    <x v="8"/>
    <n v="1"/>
    <n v="2862.91"/>
    <n v="0.1"/>
    <n v="2576.62"/>
    <n v="1489.47"/>
    <n v="1087.1500000000001"/>
    <x v="0"/>
    <n v="0.42192872833401912"/>
    <x v="0"/>
    <x v="5"/>
    <x v="5"/>
    <s v="Q2"/>
  </r>
  <r>
    <s v="ORD101298"/>
    <x v="162"/>
    <s v="CUST1246"/>
    <s v="Rohan Patel"/>
    <x v="1"/>
    <s v="Delhi"/>
    <s v="Delhi"/>
    <x v="1"/>
    <s v="Storage"/>
    <x v="9"/>
    <n v="1"/>
    <n v="498.62"/>
    <n v="0.15"/>
    <n v="423.83"/>
    <n v="232.22"/>
    <n v="191.61"/>
    <x v="3"/>
    <n v="0.45209164051624479"/>
    <x v="0"/>
    <x v="5"/>
    <x v="5"/>
    <s v="Q2"/>
  </r>
  <r>
    <s v="ORD101367"/>
    <x v="162"/>
    <s v="CUST1212"/>
    <s v="Ananya Nair"/>
    <x v="2"/>
    <s v="Karnataka"/>
    <s v="Mangaluru"/>
    <x v="0"/>
    <s v="Audio"/>
    <x v="8"/>
    <n v="4"/>
    <n v="2871.18"/>
    <n v="0.15"/>
    <n v="9762.01"/>
    <n v="5894.19"/>
    <n v="3867.82"/>
    <x v="0"/>
    <n v="0.39621143596451958"/>
    <x v="0"/>
    <x v="5"/>
    <x v="5"/>
    <s v="Q2"/>
  </r>
  <r>
    <s v="ORD101005"/>
    <x v="162"/>
    <s v="CUST1046"/>
    <s v="Diya Naidu"/>
    <x v="2"/>
    <s v="Telangana"/>
    <s v="Nizamabad"/>
    <x v="1"/>
    <s v="Stationery"/>
    <x v="1"/>
    <n v="1"/>
    <n v="237.41"/>
    <n v="0.2"/>
    <n v="189.93"/>
    <n v="88.46"/>
    <n v="101.47"/>
    <x v="0"/>
    <n v="0.5342494603274891"/>
    <x v="0"/>
    <x v="5"/>
    <x v="5"/>
    <s v="Q2"/>
  </r>
  <r>
    <s v="ORD101556"/>
    <x v="162"/>
    <s v="CUST1140"/>
    <s v="Nikhil Naidu"/>
    <x v="3"/>
    <s v="West Bengal"/>
    <s v="Durgapur"/>
    <x v="1"/>
    <s v="Stationery"/>
    <x v="1"/>
    <n v="2"/>
    <n v="254.01"/>
    <n v="0.1"/>
    <n v="457.22"/>
    <n v="195.44"/>
    <n v="261.77999999999997"/>
    <x v="0"/>
    <n v="0.57254713267136159"/>
    <x v="0"/>
    <x v="5"/>
    <x v="5"/>
    <s v="Q2"/>
  </r>
  <r>
    <s v="ORD102187"/>
    <x v="163"/>
    <s v="CUST1399"/>
    <s v="Aarav Iyer"/>
    <x v="2"/>
    <s v="Tamil Nadu"/>
    <s v="Salem"/>
    <x v="0"/>
    <s v="Audio"/>
    <x v="8"/>
    <n v="6"/>
    <n v="2925.81"/>
    <n v="0.05"/>
    <n v="16677.12"/>
    <n v="8808.7099999999991"/>
    <n v="7868.41"/>
    <x v="0"/>
    <n v="0.47180868159490369"/>
    <x v="0"/>
    <x v="5"/>
    <x v="5"/>
    <s v="Q2"/>
  </r>
  <r>
    <s v="ORD101316"/>
    <x v="163"/>
    <s v="CUST1562"/>
    <s v="Vikram Sharma"/>
    <x v="2"/>
    <s v="Tamil Nadu"/>
    <s v="Chennai"/>
    <x v="3"/>
    <s v="Cleaning"/>
    <x v="15"/>
    <n v="3"/>
    <n v="7064.87"/>
    <n v="0.05"/>
    <n v="20134.88"/>
    <n v="13907.77"/>
    <n v="6227.11"/>
    <x v="2"/>
    <n v="0.30926978457284071"/>
    <x v="0"/>
    <x v="5"/>
    <x v="5"/>
    <s v="Q2"/>
  </r>
  <r>
    <s v="ORD101130"/>
    <x v="163"/>
    <s v="CUST1449"/>
    <s v="Aisha Rao"/>
    <x v="2"/>
    <s v="Tamil Nadu"/>
    <s v="Salem"/>
    <x v="2"/>
    <s v="Office"/>
    <x v="14"/>
    <n v="3"/>
    <n v="8528.89"/>
    <n v="0.1"/>
    <n v="23028"/>
    <n v="16974.740000000002"/>
    <n v="6053.26"/>
    <x v="0"/>
    <n v="0.26286520757338888"/>
    <x v="0"/>
    <x v="5"/>
    <x v="5"/>
    <s v="Q2"/>
  </r>
  <r>
    <s v="ORD100182"/>
    <x v="163"/>
    <s v="CUST1304"/>
    <s v="Rahul Rao"/>
    <x v="1"/>
    <s v="Delhi"/>
    <s v="New Delhi"/>
    <x v="2"/>
    <s v="Living Room"/>
    <x v="4"/>
    <n v="4"/>
    <n v="4915.5"/>
    <n v="0.05"/>
    <n v="18678.900000000001"/>
    <n v="11683.28"/>
    <n v="6995.62"/>
    <x v="0"/>
    <n v="0.37451991284283331"/>
    <x v="0"/>
    <x v="5"/>
    <x v="5"/>
    <s v="Q2"/>
  </r>
  <r>
    <s v="ORD101189"/>
    <x v="164"/>
    <s v="CUST1530"/>
    <s v="Meera Reddy"/>
    <x v="3"/>
    <s v="West Bengal"/>
    <s v="Kolkata"/>
    <x v="2"/>
    <s v="Office"/>
    <x v="10"/>
    <n v="6"/>
    <n v="7365.67"/>
    <n v="0.15"/>
    <n v="37564.92"/>
    <n v="28977.97"/>
    <n v="8586.9500000000007"/>
    <x v="0"/>
    <n v="0.22858959901951079"/>
    <x v="0"/>
    <x v="5"/>
    <x v="5"/>
    <s v="Q2"/>
  </r>
  <r>
    <s v="ORD102450"/>
    <x v="164"/>
    <s v="CUST1462"/>
    <s v="Arjun Iyer"/>
    <x v="3"/>
    <s v="West Bengal"/>
    <s v="Durgapur"/>
    <x v="3"/>
    <s v="Cleaning"/>
    <x v="15"/>
    <n v="3"/>
    <n v="7505.34"/>
    <n v="0.15"/>
    <n v="19138.62"/>
    <n v="14195.37"/>
    <n v="4943.25"/>
    <x v="2"/>
    <n v="0.25828664762663139"/>
    <x v="0"/>
    <x v="5"/>
    <x v="5"/>
    <s v="Q2"/>
  </r>
  <r>
    <s v="ORD101579"/>
    <x v="165"/>
    <s v="CUST1177"/>
    <s v="Vikram Iyer"/>
    <x v="3"/>
    <s v="West Bengal"/>
    <s v="Kolkata"/>
    <x v="1"/>
    <s v="Stationery"/>
    <x v="1"/>
    <n v="2"/>
    <n v="245.93"/>
    <n v="0.15"/>
    <n v="418.08"/>
    <n v="183.08"/>
    <n v="235"/>
    <x v="1"/>
    <n v="0.56209337925755842"/>
    <x v="0"/>
    <x v="5"/>
    <x v="5"/>
    <s v="Q2"/>
  </r>
  <r>
    <s v="ORD100952"/>
    <x v="165"/>
    <s v="CUST1067"/>
    <s v="Ananya Rao"/>
    <x v="2"/>
    <s v="Telangana"/>
    <s v="Karimnagar"/>
    <x v="0"/>
    <s v="Audio"/>
    <x v="11"/>
    <n v="4"/>
    <n v="1920.56"/>
    <n v="0.2"/>
    <n v="6145.79"/>
    <n v="4442.41"/>
    <n v="1703.38"/>
    <x v="0"/>
    <n v="0.27716208982083668"/>
    <x v="0"/>
    <x v="5"/>
    <x v="5"/>
    <s v="Q2"/>
  </r>
  <r>
    <s v="ORD101049"/>
    <x v="165"/>
    <s v="CUST1510"/>
    <s v="Rohan Malhotra"/>
    <x v="3"/>
    <s v="West Bengal"/>
    <s v="Durgapur"/>
    <x v="1"/>
    <s v="Storage"/>
    <x v="9"/>
    <n v="2"/>
    <n v="506.22"/>
    <n v="0.1"/>
    <n v="911.2"/>
    <n v="452.16"/>
    <n v="459.04"/>
    <x v="2"/>
    <n v="0.50377524143985952"/>
    <x v="0"/>
    <x v="5"/>
    <x v="5"/>
    <s v="Q2"/>
  </r>
  <r>
    <s v="ORD101034"/>
    <x v="165"/>
    <s v="CUST1401"/>
    <s v="Arjun Iyer"/>
    <x v="2"/>
    <s v="Karnataka"/>
    <s v="Mysuru"/>
    <x v="0"/>
    <s v="Audio"/>
    <x v="11"/>
    <n v="6"/>
    <n v="2053.37"/>
    <n v="0.05"/>
    <n v="11704.21"/>
    <n v="6992.02"/>
    <n v="4712.1899999999996"/>
    <x v="0"/>
    <n v="0.40260641256436791"/>
    <x v="0"/>
    <x v="5"/>
    <x v="5"/>
    <s v="Q2"/>
  </r>
  <r>
    <s v="ORD102097"/>
    <x v="166"/>
    <s v="CUST1365"/>
    <s v="Rohan Gupta"/>
    <x v="2"/>
    <s v="Telangana"/>
    <s v="Nizamabad"/>
    <x v="0"/>
    <s v="Computers"/>
    <x v="0"/>
    <n v="2"/>
    <n v="60169.46"/>
    <n v="0.05"/>
    <n v="114321.97"/>
    <n v="103326.9"/>
    <n v="10995.07"/>
    <x v="2"/>
    <n v="9.6176351754610243E-2"/>
    <x v="0"/>
    <x v="5"/>
    <x v="5"/>
    <s v="Q2"/>
  </r>
  <r>
    <s v="ORD101364"/>
    <x v="166"/>
    <s v="CUST1154"/>
    <s v="Rahul Nair"/>
    <x v="3"/>
    <s v="West Bengal"/>
    <s v="Durgapur"/>
    <x v="1"/>
    <s v="Storage"/>
    <x v="2"/>
    <n v="1"/>
    <n v="674.61"/>
    <n v="0"/>
    <n v="674.61"/>
    <n v="315.11"/>
    <n v="359.5"/>
    <x v="1"/>
    <n v="0.53290049065385925"/>
    <x v="0"/>
    <x v="5"/>
    <x v="5"/>
    <s v="Q2"/>
  </r>
  <r>
    <s v="ORD101810"/>
    <x v="166"/>
    <s v="CUST1585"/>
    <s v="Aarav Joshi"/>
    <x v="2"/>
    <s v="Karnataka"/>
    <s v="Mangaluru"/>
    <x v="0"/>
    <s v="Accessories"/>
    <x v="6"/>
    <n v="2"/>
    <n v="777.34"/>
    <n v="0.15"/>
    <n v="1321.48"/>
    <n v="946.6"/>
    <n v="374.88"/>
    <x v="0"/>
    <n v="0.28368193237884798"/>
    <x v="0"/>
    <x v="5"/>
    <x v="5"/>
    <s v="Q2"/>
  </r>
  <r>
    <s v="ORD102491"/>
    <x v="166"/>
    <s v="CUST1117"/>
    <s v="Nikhil Malhotra"/>
    <x v="2"/>
    <s v="Telangana"/>
    <s v="Warangal"/>
    <x v="1"/>
    <s v="Stationery"/>
    <x v="1"/>
    <n v="4"/>
    <n v="250.09"/>
    <n v="0.15"/>
    <n v="850.31"/>
    <n v="378.09"/>
    <n v="472.22"/>
    <x v="4"/>
    <n v="0.55535040161823346"/>
    <x v="0"/>
    <x v="5"/>
    <x v="5"/>
    <s v="Q2"/>
  </r>
  <r>
    <s v="ORD101517"/>
    <x v="166"/>
    <s v="CUST1126"/>
    <s v="Kavya Sharma"/>
    <x v="2"/>
    <s v="Telangana"/>
    <s v="Warangal"/>
    <x v="2"/>
    <s v="Office"/>
    <x v="10"/>
    <n v="5"/>
    <n v="7173.48"/>
    <n v="0.1"/>
    <n v="32280.66"/>
    <n v="23555.94"/>
    <n v="8724.7199999999993"/>
    <x v="1"/>
    <n v="0.27027700177133918"/>
    <x v="0"/>
    <x v="5"/>
    <x v="5"/>
    <s v="Q2"/>
  </r>
  <r>
    <s v="ORD101251"/>
    <x v="167"/>
    <s v="CUST1625"/>
    <s v="Kavya Mehta"/>
    <x v="2"/>
    <s v="Karnataka"/>
    <s v="Mangaluru"/>
    <x v="1"/>
    <s v="Storage"/>
    <x v="9"/>
    <n v="1"/>
    <n v="505.42"/>
    <n v="0.15"/>
    <n v="429.61"/>
    <n v="221.34"/>
    <n v="208.27"/>
    <x v="1"/>
    <n v="0.4847885291310724"/>
    <x v="0"/>
    <x v="5"/>
    <x v="5"/>
    <s v="Q2"/>
  </r>
  <r>
    <s v="ORD100281"/>
    <x v="167"/>
    <s v="CUST1116"/>
    <s v="Aisha Singh"/>
    <x v="3"/>
    <s v="West Bengal"/>
    <s v="Siliguri"/>
    <x v="0"/>
    <s v="Accessories"/>
    <x v="5"/>
    <n v="1"/>
    <n v="2363.23"/>
    <n v="0"/>
    <n v="2363.23"/>
    <n v="1327.05"/>
    <n v="1036.18"/>
    <x v="1"/>
    <n v="0.43845922741332838"/>
    <x v="0"/>
    <x v="5"/>
    <x v="5"/>
    <s v="Q2"/>
  </r>
  <r>
    <s v="ORD100647"/>
    <x v="167"/>
    <s v="CUST1203"/>
    <s v="Rahul Patel"/>
    <x v="3"/>
    <s v="West Bengal"/>
    <s v="Durgapur"/>
    <x v="3"/>
    <s v="Kitchen"/>
    <x v="7"/>
    <n v="2"/>
    <n v="1745.14"/>
    <n v="0.15"/>
    <n v="2966.74"/>
    <n v="1954.76"/>
    <n v="1011.98"/>
    <x v="0"/>
    <n v="0.34110842203900582"/>
    <x v="0"/>
    <x v="5"/>
    <x v="5"/>
    <s v="Q2"/>
  </r>
  <r>
    <s v="ORD100194"/>
    <x v="167"/>
    <s v="CUST1189"/>
    <s v="Diya Mehta"/>
    <x v="1"/>
    <s v="Delhi"/>
    <s v="Delhi"/>
    <x v="0"/>
    <s v="Accessories"/>
    <x v="5"/>
    <n v="2"/>
    <n v="2404.65"/>
    <n v="0.05"/>
    <n v="4568.84"/>
    <n v="2637.46"/>
    <n v="1931.38"/>
    <x v="3"/>
    <n v="0.42272874515194231"/>
    <x v="0"/>
    <x v="5"/>
    <x v="5"/>
    <s v="Q2"/>
  </r>
  <r>
    <s v="ORD101974"/>
    <x v="168"/>
    <s v="CUST1439"/>
    <s v="Varun Gupta"/>
    <x v="2"/>
    <s v="Telangana"/>
    <s v="Nizamabad"/>
    <x v="3"/>
    <s v="Cleaning"/>
    <x v="15"/>
    <n v="6"/>
    <n v="7491.73"/>
    <n v="0"/>
    <n v="44950.38"/>
    <n v="30142.84"/>
    <n v="14807.54"/>
    <x v="2"/>
    <n v="0.32941968454994153"/>
    <x v="0"/>
    <x v="5"/>
    <x v="5"/>
    <s v="Q2"/>
  </r>
  <r>
    <s v="ORD100051"/>
    <x v="168"/>
    <s v="CUST1079"/>
    <s v="Pooja Joshi"/>
    <x v="3"/>
    <s v="West Bengal"/>
    <s v="Siliguri"/>
    <x v="3"/>
    <s v="Cleaning"/>
    <x v="12"/>
    <n v="4"/>
    <n v="13468.47"/>
    <n v="0"/>
    <n v="53873.88"/>
    <n v="40116.699999999997"/>
    <n v="13757.18"/>
    <x v="4"/>
    <n v="0.25535899771837478"/>
    <x v="0"/>
    <x v="5"/>
    <x v="5"/>
    <s v="Q2"/>
  </r>
  <r>
    <s v="ORD100744"/>
    <x v="168"/>
    <s v="CUST1247"/>
    <s v="Kiran Joshi"/>
    <x v="1"/>
    <s v="Delhi"/>
    <s v="New Delhi"/>
    <x v="2"/>
    <s v="Living Room"/>
    <x v="16"/>
    <n v="3"/>
    <n v="4047.14"/>
    <n v="0.1"/>
    <n v="10927.28"/>
    <n v="7484.43"/>
    <n v="3442.85"/>
    <x v="0"/>
    <n v="0.31506925785739909"/>
    <x v="0"/>
    <x v="5"/>
    <x v="5"/>
    <s v="Q2"/>
  </r>
  <r>
    <s v="ORD100006"/>
    <x v="169"/>
    <s v="CUST1444"/>
    <s v="Aditya Kumar"/>
    <x v="1"/>
    <s v="Delhi"/>
    <s v="New Delhi"/>
    <x v="0"/>
    <s v="Computers"/>
    <x v="3"/>
    <n v="4"/>
    <n v="15782.97"/>
    <n v="0.15"/>
    <n v="53662.1"/>
    <n v="46547.12"/>
    <n v="7114.98"/>
    <x v="0"/>
    <n v="0.1325885494604199"/>
    <x v="0"/>
    <x v="5"/>
    <x v="5"/>
    <s v="Q2"/>
  </r>
  <r>
    <s v="ORD102027"/>
    <x v="169"/>
    <s v="CUST1015"/>
    <s v="Vikram Gupta"/>
    <x v="2"/>
    <s v="Tamil Nadu"/>
    <s v="Coimbatore"/>
    <x v="2"/>
    <s v="Office"/>
    <x v="10"/>
    <n v="1"/>
    <n v="6819.92"/>
    <n v="0.1"/>
    <n v="6137.93"/>
    <n v="4330.7700000000004"/>
    <n v="1807.16"/>
    <x v="1"/>
    <n v="0.29442499344241457"/>
    <x v="0"/>
    <x v="5"/>
    <x v="5"/>
    <s v="Q2"/>
  </r>
  <r>
    <s v="ORD101124"/>
    <x v="169"/>
    <s v="CUST1075"/>
    <s v="Diya Iyer"/>
    <x v="0"/>
    <s v="Maharashtra"/>
    <s v="Pune"/>
    <x v="1"/>
    <s v="Storage"/>
    <x v="9"/>
    <n v="3"/>
    <n v="477.91"/>
    <n v="0.1"/>
    <n v="1290.3599999999999"/>
    <n v="666.81"/>
    <n v="623.54999999999995"/>
    <x v="0"/>
    <n v="0.48323723612015251"/>
    <x v="0"/>
    <x v="5"/>
    <x v="5"/>
    <s v="Q2"/>
  </r>
  <r>
    <s v="ORD102261"/>
    <x v="170"/>
    <s v="CUST1248"/>
    <s v="Varun Mehta"/>
    <x v="1"/>
    <s v="Delhi"/>
    <s v="Delhi"/>
    <x v="0"/>
    <s v="Accessories"/>
    <x v="5"/>
    <n v="6"/>
    <n v="2505.87"/>
    <n v="0.1"/>
    <n v="13531.7"/>
    <n v="8540.2900000000009"/>
    <n v="4991.41"/>
    <x v="3"/>
    <n v="0.36886791755655229"/>
    <x v="0"/>
    <x v="5"/>
    <x v="5"/>
    <s v="Q2"/>
  </r>
  <r>
    <s v="ORD100717"/>
    <x v="170"/>
    <s v="CUST1034"/>
    <s v="Aditya Reddy"/>
    <x v="0"/>
    <s v="Maharashtra"/>
    <s v="Pune"/>
    <x v="0"/>
    <s v="Accessories"/>
    <x v="5"/>
    <n v="2"/>
    <n v="2368.96"/>
    <n v="0.1"/>
    <n v="4264.13"/>
    <n v="2525.9"/>
    <n v="1738.23"/>
    <x v="3"/>
    <n v="0.40764001097527508"/>
    <x v="0"/>
    <x v="5"/>
    <x v="5"/>
    <s v="Q2"/>
  </r>
  <r>
    <s v="ORD100670"/>
    <x v="170"/>
    <s v="CUST1348"/>
    <s v="Vikram Joshi"/>
    <x v="2"/>
    <s v="Telangana"/>
    <s v="Nizamabad"/>
    <x v="0"/>
    <s v="Audio"/>
    <x v="8"/>
    <n v="4"/>
    <n v="3015.43"/>
    <n v="0.15"/>
    <n v="10252.459999999999"/>
    <n v="6074.18"/>
    <n v="4178.28"/>
    <x v="1"/>
    <n v="0.40753926374743232"/>
    <x v="0"/>
    <x v="5"/>
    <x v="5"/>
    <s v="Q2"/>
  </r>
  <r>
    <s v="ORD100614"/>
    <x v="171"/>
    <s v="CUST1244"/>
    <s v="Aditya Sharma"/>
    <x v="2"/>
    <s v="Telangana"/>
    <s v="Karimnagar"/>
    <x v="0"/>
    <s v="Computers"/>
    <x v="0"/>
    <n v="6"/>
    <n v="58324.59"/>
    <n v="0.15"/>
    <n v="297455.40999999997"/>
    <n v="306690.77"/>
    <n v="-9235.36"/>
    <x v="0"/>
    <n v="-3.1047880420127509E-2"/>
    <x v="0"/>
    <x v="5"/>
    <x v="5"/>
    <s v="Q2"/>
  </r>
  <r>
    <s v="ORD100472"/>
    <x v="171"/>
    <s v="CUST1398"/>
    <s v="Kavya Patel"/>
    <x v="3"/>
    <s v="West Bengal"/>
    <s v="Kolkata"/>
    <x v="2"/>
    <s v="Living Room"/>
    <x v="16"/>
    <n v="1"/>
    <n v="3832.23"/>
    <n v="0.1"/>
    <n v="3449.01"/>
    <n v="2348.94"/>
    <n v="1100.07"/>
    <x v="0"/>
    <n v="0.31895239503509698"/>
    <x v="0"/>
    <x v="5"/>
    <x v="5"/>
    <s v="Q2"/>
  </r>
  <r>
    <s v="ORD102291"/>
    <x v="171"/>
    <s v="CUST1117"/>
    <s v="Pooja Das"/>
    <x v="1"/>
    <s v="Delhi"/>
    <s v="Delhi"/>
    <x v="2"/>
    <s v="Office"/>
    <x v="10"/>
    <n v="6"/>
    <n v="6831.44"/>
    <n v="0.1"/>
    <n v="36889.78"/>
    <n v="25988.720000000001"/>
    <n v="10901.06"/>
    <x v="0"/>
    <n v="0.29550352428233512"/>
    <x v="0"/>
    <x v="5"/>
    <x v="5"/>
    <s v="Q2"/>
  </r>
  <r>
    <s v="ORD100393"/>
    <x v="171"/>
    <s v="CUST1525"/>
    <s v="Kavya Nair"/>
    <x v="1"/>
    <s v="Delhi"/>
    <s v="New Delhi"/>
    <x v="0"/>
    <s v="Accessories"/>
    <x v="5"/>
    <n v="2"/>
    <n v="2506.4"/>
    <n v="0.05"/>
    <n v="4762.16"/>
    <n v="2841.54"/>
    <n v="1920.62"/>
    <x v="0"/>
    <n v="0.40330858265996938"/>
    <x v="0"/>
    <x v="5"/>
    <x v="5"/>
    <s v="Q2"/>
  </r>
  <r>
    <s v="ORD101055"/>
    <x v="172"/>
    <s v="CUST1099"/>
    <s v="Diya Malhotra"/>
    <x v="0"/>
    <s v="Maharashtra"/>
    <s v="Nagpur"/>
    <x v="2"/>
    <s v="Office"/>
    <x v="10"/>
    <n v="2"/>
    <n v="7047.2"/>
    <n v="0.1"/>
    <n v="12684.96"/>
    <n v="8925.6299999999992"/>
    <n v="3759.33"/>
    <x v="0"/>
    <n v="0.29636120255798992"/>
    <x v="0"/>
    <x v="5"/>
    <x v="5"/>
    <s v="Q2"/>
  </r>
  <r>
    <s v="ORD101149"/>
    <x v="172"/>
    <s v="CUST1609"/>
    <s v="Sneha Sharma"/>
    <x v="3"/>
    <s v="West Bengal"/>
    <s v="Kolkata"/>
    <x v="1"/>
    <s v="Storage"/>
    <x v="2"/>
    <n v="5"/>
    <n v="718.85"/>
    <n v="0"/>
    <n v="3594.25"/>
    <n v="1661.18"/>
    <n v="1933.07"/>
    <x v="0"/>
    <n v="0.53782291159490847"/>
    <x v="0"/>
    <x v="5"/>
    <x v="5"/>
    <s v="Q2"/>
  </r>
  <r>
    <s v="ORD101160"/>
    <x v="173"/>
    <s v="CUST1399"/>
    <s v="Rahul Verma"/>
    <x v="2"/>
    <s v="Karnataka"/>
    <s v="Mangaluru"/>
    <x v="2"/>
    <s v="Office"/>
    <x v="14"/>
    <n v="1"/>
    <n v="8086"/>
    <n v="0"/>
    <n v="8086"/>
    <n v="5568.48"/>
    <n v="2517.52"/>
    <x v="2"/>
    <n v="0.31134306208261192"/>
    <x v="0"/>
    <x v="5"/>
    <x v="5"/>
    <s v="Q2"/>
  </r>
  <r>
    <s v="ORD100763"/>
    <x v="174"/>
    <s v="CUST1516"/>
    <s v="Kiran Sharma"/>
    <x v="2"/>
    <s v="Karnataka"/>
    <s v="Mysuru"/>
    <x v="2"/>
    <s v="Living Room"/>
    <x v="4"/>
    <n v="2"/>
    <n v="4978.1499999999996"/>
    <n v="0.15"/>
    <n v="8462.85"/>
    <n v="6252.38"/>
    <n v="2210.4699999999998"/>
    <x v="4"/>
    <n v="0.26119687812025488"/>
    <x v="0"/>
    <x v="5"/>
    <x v="5"/>
    <s v="Q2"/>
  </r>
  <r>
    <s v="ORD102200"/>
    <x v="174"/>
    <s v="CUST1438"/>
    <s v="Aditya Rao"/>
    <x v="2"/>
    <s v="Karnataka"/>
    <s v="Bengaluru"/>
    <x v="1"/>
    <s v="Storage"/>
    <x v="9"/>
    <n v="2"/>
    <n v="517.36"/>
    <n v="0.1"/>
    <n v="931.25"/>
    <n v="457.37"/>
    <n v="473.88"/>
    <x v="2"/>
    <n v="0.50886442953020139"/>
    <x v="0"/>
    <x v="5"/>
    <x v="5"/>
    <s v="Q2"/>
  </r>
  <r>
    <s v="ORD102443"/>
    <x v="174"/>
    <s v="CUST1469"/>
    <s v="Varun Malhotra"/>
    <x v="2"/>
    <s v="Karnataka"/>
    <s v="Mangaluru"/>
    <x v="2"/>
    <s v="Office"/>
    <x v="10"/>
    <n v="1"/>
    <n v="7332.71"/>
    <n v="0"/>
    <n v="7332.71"/>
    <n v="4599.1899999999996"/>
    <n v="2733.52"/>
    <x v="3"/>
    <n v="0.37278441394791278"/>
    <x v="0"/>
    <x v="5"/>
    <x v="5"/>
    <s v="Q2"/>
  </r>
  <r>
    <s v="ORD102330"/>
    <x v="174"/>
    <s v="CUST1403"/>
    <s v="Varun Das"/>
    <x v="2"/>
    <s v="Karnataka"/>
    <s v="Bengaluru"/>
    <x v="0"/>
    <s v="Audio"/>
    <x v="8"/>
    <n v="3"/>
    <n v="3014.01"/>
    <n v="0.05"/>
    <n v="8589.93"/>
    <n v="4739.53"/>
    <n v="3850.4"/>
    <x v="0"/>
    <n v="0.44824579478528931"/>
    <x v="0"/>
    <x v="5"/>
    <x v="5"/>
    <s v="Q2"/>
  </r>
  <r>
    <s v="ORD101472"/>
    <x v="174"/>
    <s v="CUST1444"/>
    <s v="Varun Sharma"/>
    <x v="2"/>
    <s v="Karnataka"/>
    <s v="Bengaluru"/>
    <x v="1"/>
    <s v="Stationery"/>
    <x v="17"/>
    <n v="1"/>
    <n v="299.24"/>
    <n v="0.1"/>
    <n v="269.32"/>
    <n v="129.25"/>
    <n v="140.07"/>
    <x v="0"/>
    <n v="0.52008762810040099"/>
    <x v="0"/>
    <x v="5"/>
    <x v="5"/>
    <s v="Q2"/>
  </r>
  <r>
    <s v="ORD101513"/>
    <x v="174"/>
    <s v="CUST1552"/>
    <s v="Pooja Kumar"/>
    <x v="3"/>
    <s v="West Bengal"/>
    <s v="Kolkata"/>
    <x v="0"/>
    <s v="Audio"/>
    <x v="8"/>
    <n v="5"/>
    <n v="2832.75"/>
    <n v="0.1"/>
    <n v="12747.38"/>
    <n v="7116.12"/>
    <n v="5631.26"/>
    <x v="2"/>
    <n v="0.44175822796527597"/>
    <x v="0"/>
    <x v="5"/>
    <x v="5"/>
    <s v="Q2"/>
  </r>
  <r>
    <s v="ORD101808"/>
    <x v="175"/>
    <s v="CUST1584"/>
    <s v="Kiran Joshi"/>
    <x v="1"/>
    <s v="Delhi"/>
    <s v="Delhi"/>
    <x v="3"/>
    <s v="Kitchen"/>
    <x v="7"/>
    <n v="2"/>
    <n v="1881.87"/>
    <n v="0.1"/>
    <n v="3387.37"/>
    <n v="2062.14"/>
    <n v="1325.23"/>
    <x v="2"/>
    <n v="0.39122682198874048"/>
    <x v="0"/>
    <x v="6"/>
    <x v="6"/>
    <s v="Q3"/>
  </r>
  <r>
    <s v="ORD102238"/>
    <x v="175"/>
    <s v="CUST1558"/>
    <s v="Ishaan Gupta"/>
    <x v="0"/>
    <s v="Maharashtra"/>
    <s v="Nashik"/>
    <x v="2"/>
    <s v="Living Room"/>
    <x v="4"/>
    <n v="3"/>
    <n v="4808.01"/>
    <n v="0.05"/>
    <n v="13702.83"/>
    <n v="8603.4599999999991"/>
    <n v="5099.37"/>
    <x v="1"/>
    <n v="0.37213991562326898"/>
    <x v="0"/>
    <x v="6"/>
    <x v="6"/>
    <s v="Q3"/>
  </r>
  <r>
    <s v="ORD101205"/>
    <x v="175"/>
    <s v="CUST1648"/>
    <s v="Kavya Rao"/>
    <x v="3"/>
    <s v="West Bengal"/>
    <s v="Siliguri"/>
    <x v="1"/>
    <s v="Storage"/>
    <x v="9"/>
    <n v="4"/>
    <n v="490.59"/>
    <n v="0"/>
    <n v="1962.36"/>
    <n v="876.07"/>
    <n v="1086.29"/>
    <x v="0"/>
    <n v="0.55356305672761374"/>
    <x v="0"/>
    <x v="6"/>
    <x v="6"/>
    <s v="Q3"/>
  </r>
  <r>
    <s v="ORD100236"/>
    <x v="176"/>
    <s v="CUST1424"/>
    <s v="Diya Reddy"/>
    <x v="2"/>
    <s v="Karnataka"/>
    <s v="Bengaluru"/>
    <x v="3"/>
    <s v="Kitchen"/>
    <x v="7"/>
    <n v="2"/>
    <n v="1787.43"/>
    <n v="0.15"/>
    <n v="3038.63"/>
    <n v="2000.38"/>
    <n v="1038.25"/>
    <x v="4"/>
    <n v="0.34168358766944312"/>
    <x v="0"/>
    <x v="6"/>
    <x v="6"/>
    <s v="Q3"/>
  </r>
  <r>
    <s v="ORD102393"/>
    <x v="176"/>
    <s v="CUST1633"/>
    <s v="Neha Mehta"/>
    <x v="0"/>
    <s v="Maharashtra"/>
    <s v="Pune"/>
    <x v="0"/>
    <s v="Computers"/>
    <x v="3"/>
    <n v="1"/>
    <n v="16013.35"/>
    <n v="0.1"/>
    <n v="14412.02"/>
    <n v="11678.53"/>
    <n v="2733.49"/>
    <x v="2"/>
    <n v="0.1896673748718084"/>
    <x v="0"/>
    <x v="6"/>
    <x v="6"/>
    <s v="Q3"/>
  </r>
  <r>
    <s v="ORD100350"/>
    <x v="177"/>
    <s v="CUST1084"/>
    <s v="Kavya Nair"/>
    <x v="0"/>
    <s v="Maharashtra"/>
    <s v="Nashik"/>
    <x v="0"/>
    <s v="Computers"/>
    <x v="3"/>
    <n v="3"/>
    <n v="15939.74"/>
    <n v="0"/>
    <n v="47819.22"/>
    <n v="36297.120000000003"/>
    <n v="11522.1"/>
    <x v="2"/>
    <n v="0.2409512325797033"/>
    <x v="0"/>
    <x v="6"/>
    <x v="6"/>
    <s v="Q3"/>
  </r>
  <r>
    <s v="ORD100115"/>
    <x v="177"/>
    <s v="CUST1596"/>
    <s v="Aditya Reddy"/>
    <x v="3"/>
    <s v="West Bengal"/>
    <s v="Kolkata"/>
    <x v="0"/>
    <s v="Audio"/>
    <x v="11"/>
    <n v="1"/>
    <n v="2098.9899999999998"/>
    <n v="0"/>
    <n v="2098.9899999999998"/>
    <n v="1200.03"/>
    <n v="898.96"/>
    <x v="2"/>
    <n v="0.42828217380740269"/>
    <x v="0"/>
    <x v="6"/>
    <x v="6"/>
    <s v="Q3"/>
  </r>
  <r>
    <s v="ORD101604"/>
    <x v="177"/>
    <s v="CUST1556"/>
    <s v="Kavya Malhotra"/>
    <x v="2"/>
    <s v="Telangana"/>
    <s v="Karimnagar"/>
    <x v="1"/>
    <s v="Storage"/>
    <x v="9"/>
    <n v="2"/>
    <n v="496.42"/>
    <n v="0.15"/>
    <n v="843.91"/>
    <n v="434.79"/>
    <n v="409.12"/>
    <x v="0"/>
    <n v="0.48479103221907549"/>
    <x v="0"/>
    <x v="6"/>
    <x v="6"/>
    <s v="Q3"/>
  </r>
  <r>
    <s v="ORD101043"/>
    <x v="177"/>
    <s v="CUST1261"/>
    <s v="Neha Sharma"/>
    <x v="2"/>
    <s v="Telangana"/>
    <s v="Karimnagar"/>
    <x v="3"/>
    <s v="Cleaning"/>
    <x v="12"/>
    <n v="1"/>
    <n v="12823.39"/>
    <n v="0.05"/>
    <n v="12182.22"/>
    <n v="9493.74"/>
    <n v="2688.48"/>
    <x v="2"/>
    <n v="0.2206888399651295"/>
    <x v="0"/>
    <x v="6"/>
    <x v="6"/>
    <s v="Q3"/>
  </r>
  <r>
    <s v="ORD100296"/>
    <x v="177"/>
    <s v="CUST1063"/>
    <s v="Kiran Patel"/>
    <x v="3"/>
    <s v="West Bengal"/>
    <s v="Kolkata"/>
    <x v="2"/>
    <s v="Living Room"/>
    <x v="16"/>
    <n v="3"/>
    <n v="3960.5"/>
    <n v="0.1"/>
    <n v="10693.35"/>
    <n v="7257.46"/>
    <n v="3435.89"/>
    <x v="4"/>
    <n v="0.3213109081812528"/>
    <x v="0"/>
    <x v="6"/>
    <x v="6"/>
    <s v="Q3"/>
  </r>
  <r>
    <s v="ORD101235"/>
    <x v="177"/>
    <s v="CUST1508"/>
    <s v="Sanjana Singh"/>
    <x v="2"/>
    <s v="Karnataka"/>
    <s v="Mangaluru"/>
    <x v="3"/>
    <s v="Cleaning"/>
    <x v="12"/>
    <n v="2"/>
    <n v="12903.42"/>
    <n v="0.2"/>
    <n v="20645.47"/>
    <n v="19176.18"/>
    <n v="1469.29"/>
    <x v="1"/>
    <n v="7.1167670195931593E-2"/>
    <x v="0"/>
    <x v="6"/>
    <x v="6"/>
    <s v="Q3"/>
  </r>
  <r>
    <s v="ORD101565"/>
    <x v="178"/>
    <s v="CUST1522"/>
    <s v="Meera Verma"/>
    <x v="2"/>
    <s v="Karnataka"/>
    <s v="Bengaluru"/>
    <x v="3"/>
    <s v="Cleaning"/>
    <x v="15"/>
    <n v="2"/>
    <n v="7511.63"/>
    <n v="0.05"/>
    <n v="14272.1"/>
    <n v="9888.51"/>
    <n v="4383.59"/>
    <x v="3"/>
    <n v="0.30714400823985261"/>
    <x v="0"/>
    <x v="6"/>
    <x v="6"/>
    <s v="Q3"/>
  </r>
  <r>
    <s v="ORD100937"/>
    <x v="178"/>
    <s v="CUST1184"/>
    <s v="Meera Nair"/>
    <x v="2"/>
    <s v="Tamil Nadu"/>
    <s v="Coimbatore"/>
    <x v="2"/>
    <s v="Office"/>
    <x v="10"/>
    <n v="1"/>
    <n v="6698.25"/>
    <n v="0.2"/>
    <n v="5358.6"/>
    <n v="4204.38"/>
    <n v="1154.22"/>
    <x v="0"/>
    <n v="0.21539581233904381"/>
    <x v="0"/>
    <x v="6"/>
    <x v="6"/>
    <s v="Q3"/>
  </r>
  <r>
    <s v="ORD100710"/>
    <x v="179"/>
    <s v="CUST1081"/>
    <s v="Kavya Sharma"/>
    <x v="3"/>
    <s v="West Bengal"/>
    <s v="Siliguri"/>
    <x v="0"/>
    <s v="Audio"/>
    <x v="11"/>
    <n v="5"/>
    <n v="1967.48"/>
    <n v="0"/>
    <n v="9837.4"/>
    <n v="5685.6"/>
    <n v="4151.8"/>
    <x v="3"/>
    <n v="0.42204240957976702"/>
    <x v="0"/>
    <x v="6"/>
    <x v="6"/>
    <s v="Q3"/>
  </r>
  <r>
    <s v="ORD100557"/>
    <x v="179"/>
    <s v="CUST1081"/>
    <s v="Rahul Iyer"/>
    <x v="1"/>
    <s v="Delhi"/>
    <s v="Delhi"/>
    <x v="0"/>
    <s v="Computers"/>
    <x v="0"/>
    <n v="3"/>
    <n v="57699.56"/>
    <n v="0.05"/>
    <n v="164443.75"/>
    <n v="157397.88"/>
    <n v="7045.87"/>
    <x v="3"/>
    <n v="4.2846687697160893E-2"/>
    <x v="0"/>
    <x v="6"/>
    <x v="6"/>
    <s v="Q3"/>
  </r>
  <r>
    <s v="ORD101755"/>
    <x v="179"/>
    <s v="CUST1609"/>
    <s v="Ishaan Das"/>
    <x v="3"/>
    <s v="West Bengal"/>
    <s v="Durgapur"/>
    <x v="1"/>
    <s v="Storage"/>
    <x v="9"/>
    <n v="2"/>
    <n v="493.18"/>
    <n v="0.1"/>
    <n v="887.72"/>
    <n v="427.2"/>
    <n v="460.52"/>
    <x v="0"/>
    <n v="0.51876717884017476"/>
    <x v="0"/>
    <x v="6"/>
    <x v="6"/>
    <s v="Q3"/>
  </r>
  <r>
    <s v="ORD101331"/>
    <x v="179"/>
    <s v="CUST1031"/>
    <s v="Neha Malhotra"/>
    <x v="2"/>
    <s v="Karnataka"/>
    <s v="Mangaluru"/>
    <x v="2"/>
    <s v="Living Room"/>
    <x v="4"/>
    <n v="4"/>
    <n v="4835.5"/>
    <n v="0"/>
    <n v="19342"/>
    <n v="11707.75"/>
    <n v="7634.25"/>
    <x v="0"/>
    <n v="0.39469806638403482"/>
    <x v="0"/>
    <x v="6"/>
    <x v="6"/>
    <s v="Q3"/>
  </r>
  <r>
    <s v="ORD101903"/>
    <x v="179"/>
    <s v="CUST1169"/>
    <s v="Arjun Patel"/>
    <x v="1"/>
    <s v="Delhi"/>
    <s v="Delhi"/>
    <x v="2"/>
    <s v="Living Room"/>
    <x v="16"/>
    <n v="5"/>
    <n v="3796.23"/>
    <n v="0.15"/>
    <n v="16133.98"/>
    <n v="11869.45"/>
    <n v="4264.53"/>
    <x v="1"/>
    <n v="0.26431977726512612"/>
    <x v="0"/>
    <x v="6"/>
    <x v="6"/>
    <s v="Q3"/>
  </r>
  <r>
    <s v="ORD102188"/>
    <x v="179"/>
    <s v="CUST1047"/>
    <s v="Aarav Kumar"/>
    <x v="2"/>
    <s v="Telangana"/>
    <s v="Warangal"/>
    <x v="0"/>
    <s v="Computers"/>
    <x v="3"/>
    <n v="2"/>
    <n v="15486.24"/>
    <n v="0.05"/>
    <n v="29423.86"/>
    <n v="22416.78"/>
    <n v="7007.08"/>
    <x v="0"/>
    <n v="0.23814278616061929"/>
    <x v="0"/>
    <x v="6"/>
    <x v="6"/>
    <s v="Q3"/>
  </r>
  <r>
    <s v="ORD101575"/>
    <x v="179"/>
    <s v="CUST1173"/>
    <s v="Rohan Iyer"/>
    <x v="2"/>
    <s v="Tamil Nadu"/>
    <s v="Salem"/>
    <x v="0"/>
    <s v="Audio"/>
    <x v="8"/>
    <n v="2"/>
    <n v="2827.81"/>
    <n v="0.05"/>
    <n v="5372.84"/>
    <n v="2978.33"/>
    <n v="2394.5100000000002"/>
    <x v="4"/>
    <n v="0.44566932944215731"/>
    <x v="0"/>
    <x v="6"/>
    <x v="6"/>
    <s v="Q3"/>
  </r>
  <r>
    <s v="ORD100143"/>
    <x v="180"/>
    <s v="CUST1103"/>
    <s v="Priya Mehta"/>
    <x v="2"/>
    <s v="Tamil Nadu"/>
    <s v="Coimbatore"/>
    <x v="1"/>
    <s v="Stationery"/>
    <x v="1"/>
    <n v="2"/>
    <n v="258.76"/>
    <n v="0.15"/>
    <n v="439.89"/>
    <n v="197.62"/>
    <n v="242.27"/>
    <x v="2"/>
    <n v="0.55075132419468509"/>
    <x v="0"/>
    <x v="6"/>
    <x v="6"/>
    <s v="Q3"/>
  </r>
  <r>
    <s v="ORD100844"/>
    <x v="180"/>
    <s v="CUST1355"/>
    <s v="Diya Mehta"/>
    <x v="3"/>
    <s v="West Bengal"/>
    <s v="Durgapur"/>
    <x v="1"/>
    <s v="Storage"/>
    <x v="9"/>
    <n v="1"/>
    <n v="470.37"/>
    <n v="0.1"/>
    <n v="423.33"/>
    <n v="211.73"/>
    <n v="211.6"/>
    <x v="1"/>
    <n v="0.49984645548390139"/>
    <x v="0"/>
    <x v="6"/>
    <x v="6"/>
    <s v="Q3"/>
  </r>
  <r>
    <s v="ORD100496"/>
    <x v="180"/>
    <s v="CUST1074"/>
    <s v="Neha Naidu"/>
    <x v="2"/>
    <s v="Karnataka"/>
    <s v="Mangaluru"/>
    <x v="2"/>
    <s v="Living Room"/>
    <x v="4"/>
    <n v="1"/>
    <n v="4913.03"/>
    <n v="0.1"/>
    <n v="4421.7299999999996"/>
    <n v="2984.81"/>
    <n v="1436.92"/>
    <x v="0"/>
    <n v="0.32496782933376761"/>
    <x v="0"/>
    <x v="6"/>
    <x v="6"/>
    <s v="Q3"/>
  </r>
  <r>
    <s v="ORD102473"/>
    <x v="181"/>
    <s v="CUST1560"/>
    <s v="Rahul Patel"/>
    <x v="2"/>
    <s v="Telangana"/>
    <s v="Karimnagar"/>
    <x v="3"/>
    <s v="Kitchen"/>
    <x v="7"/>
    <n v="5"/>
    <n v="1786.26"/>
    <n v="0.05"/>
    <n v="8484.73"/>
    <n v="4958.42"/>
    <n v="3526.31"/>
    <x v="1"/>
    <n v="0.41560662507822882"/>
    <x v="0"/>
    <x v="6"/>
    <x v="6"/>
    <s v="Q3"/>
  </r>
  <r>
    <s v="ORD102250"/>
    <x v="181"/>
    <s v="CUST1640"/>
    <s v="Priya Sharma"/>
    <x v="2"/>
    <s v="Telangana"/>
    <s v="Karimnagar"/>
    <x v="0"/>
    <s v="Computers"/>
    <x v="3"/>
    <n v="3"/>
    <n v="15643.43"/>
    <n v="0.05"/>
    <n v="44583.78"/>
    <n v="34380.61"/>
    <n v="10203.17"/>
    <x v="0"/>
    <n v="0.22885385671650091"/>
    <x v="0"/>
    <x v="6"/>
    <x v="6"/>
    <s v="Q3"/>
  </r>
  <r>
    <s v="ORD100927"/>
    <x v="181"/>
    <s v="CUST1033"/>
    <s v="Pooja Sharma"/>
    <x v="3"/>
    <s v="West Bengal"/>
    <s v="Kolkata"/>
    <x v="3"/>
    <s v="Cleaning"/>
    <x v="12"/>
    <n v="1"/>
    <n v="12412.02"/>
    <n v="0.1"/>
    <n v="11170.82"/>
    <n v="9042.6200000000008"/>
    <n v="2128.1999999999998"/>
    <x v="3"/>
    <n v="0.19051421471297539"/>
    <x v="0"/>
    <x v="6"/>
    <x v="6"/>
    <s v="Q3"/>
  </r>
  <r>
    <s v="ORD100406"/>
    <x v="182"/>
    <s v="CUST1214"/>
    <s v="Varun Joshi"/>
    <x v="2"/>
    <s v="Karnataka"/>
    <s v="Hubballi"/>
    <x v="2"/>
    <s v="Office"/>
    <x v="14"/>
    <n v="4"/>
    <n v="8681.6299999999992"/>
    <n v="0.05"/>
    <n v="32990.19"/>
    <n v="24098.68"/>
    <n v="8891.51"/>
    <x v="1"/>
    <n v="0.26951981786100648"/>
    <x v="0"/>
    <x v="6"/>
    <x v="6"/>
    <s v="Q3"/>
  </r>
  <r>
    <s v="ORD101622"/>
    <x v="182"/>
    <s v="CUST1546"/>
    <s v="Vikram Das"/>
    <x v="3"/>
    <s v="West Bengal"/>
    <s v="Kolkata"/>
    <x v="1"/>
    <s v="Stationery"/>
    <x v="17"/>
    <n v="2"/>
    <n v="306.94"/>
    <n v="0.2"/>
    <n v="491.1"/>
    <n v="247.73"/>
    <n v="243.37"/>
    <x v="2"/>
    <n v="0.49556098554265932"/>
    <x v="0"/>
    <x v="6"/>
    <x v="6"/>
    <s v="Q3"/>
  </r>
  <r>
    <s v="ORD102271"/>
    <x v="182"/>
    <s v="CUST1383"/>
    <s v="Varun Gupta"/>
    <x v="3"/>
    <s v="West Bengal"/>
    <s v="Kolkata"/>
    <x v="1"/>
    <s v="Storage"/>
    <x v="2"/>
    <n v="2"/>
    <n v="731.06"/>
    <n v="0.05"/>
    <n v="1389.01"/>
    <n v="699.26"/>
    <n v="689.75"/>
    <x v="3"/>
    <n v="0.49657669851188979"/>
    <x v="0"/>
    <x v="6"/>
    <x v="6"/>
    <s v="Q3"/>
  </r>
  <r>
    <s v="ORD100477"/>
    <x v="183"/>
    <s v="CUST1117"/>
    <s v="Vikram Verma"/>
    <x v="0"/>
    <s v="Maharashtra"/>
    <s v="Mumbai"/>
    <x v="2"/>
    <s v="Office"/>
    <x v="14"/>
    <n v="2"/>
    <n v="8957.5400000000009"/>
    <n v="0.1"/>
    <n v="16123.57"/>
    <n v="12346.99"/>
    <n v="3776.58"/>
    <x v="4"/>
    <n v="0.23422728341180021"/>
    <x v="0"/>
    <x v="6"/>
    <x v="6"/>
    <s v="Q3"/>
  </r>
  <r>
    <s v="ORD100189"/>
    <x v="183"/>
    <s v="CUST1274"/>
    <s v="Ishaan Malhotra"/>
    <x v="2"/>
    <s v="Karnataka"/>
    <s v="Hubballi"/>
    <x v="3"/>
    <s v="Cleaning"/>
    <x v="12"/>
    <n v="5"/>
    <n v="13276.2"/>
    <n v="0"/>
    <n v="66381"/>
    <n v="48996.73"/>
    <n v="17384.27"/>
    <x v="3"/>
    <n v="0.26188623250628951"/>
    <x v="0"/>
    <x v="6"/>
    <x v="6"/>
    <s v="Q3"/>
  </r>
  <r>
    <s v="ORD100424"/>
    <x v="183"/>
    <s v="CUST1085"/>
    <s v="Aarav Verma"/>
    <x v="2"/>
    <s v="Telangana"/>
    <s v="Nizamabad"/>
    <x v="3"/>
    <s v="Kitchen"/>
    <x v="7"/>
    <n v="5"/>
    <n v="1785.68"/>
    <n v="0.2"/>
    <n v="7142.72"/>
    <n v="4739.12"/>
    <n v="2403.6"/>
    <x v="0"/>
    <n v="0.33651046100085119"/>
    <x v="0"/>
    <x v="6"/>
    <x v="6"/>
    <s v="Q3"/>
  </r>
  <r>
    <s v="ORD101587"/>
    <x v="183"/>
    <s v="CUST1617"/>
    <s v="Ananya Reddy"/>
    <x v="0"/>
    <s v="Maharashtra"/>
    <s v="Mumbai"/>
    <x v="3"/>
    <s v="Kitchen"/>
    <x v="13"/>
    <n v="1"/>
    <n v="3446.49"/>
    <n v="0.05"/>
    <n v="3274.17"/>
    <n v="1940.46"/>
    <n v="1333.71"/>
    <x v="3"/>
    <n v="0.40734292965850888"/>
    <x v="0"/>
    <x v="6"/>
    <x v="6"/>
    <s v="Q3"/>
  </r>
  <r>
    <s v="ORD102024"/>
    <x v="184"/>
    <s v="CUST1045"/>
    <s v="Ishaan Iyer"/>
    <x v="2"/>
    <s v="Telangana"/>
    <s v="Nizamabad"/>
    <x v="1"/>
    <s v="Stationery"/>
    <x v="17"/>
    <n v="1"/>
    <n v="313.58999999999997"/>
    <n v="0.05"/>
    <n v="297.91000000000003"/>
    <n v="135.78"/>
    <n v="162.13"/>
    <x v="0"/>
    <n v="0.54422476586888646"/>
    <x v="0"/>
    <x v="6"/>
    <x v="6"/>
    <s v="Q3"/>
  </r>
  <r>
    <s v="ORD100195"/>
    <x v="184"/>
    <s v="CUST1334"/>
    <s v="Rohan Nair"/>
    <x v="0"/>
    <s v="Maharashtra"/>
    <s v="Nashik"/>
    <x v="1"/>
    <s v="Stationery"/>
    <x v="1"/>
    <n v="1"/>
    <n v="238.09"/>
    <n v="0.05"/>
    <n v="226.19"/>
    <n v="93.69"/>
    <n v="132.5"/>
    <x v="4"/>
    <n v="0.58579070692780411"/>
    <x v="0"/>
    <x v="6"/>
    <x v="6"/>
    <s v="Q3"/>
  </r>
  <r>
    <s v="ORD100485"/>
    <x v="185"/>
    <s v="CUST1457"/>
    <s v="Aisha Naidu"/>
    <x v="2"/>
    <s v="Tamil Nadu"/>
    <s v="Salem"/>
    <x v="0"/>
    <s v="Computers"/>
    <x v="3"/>
    <n v="3"/>
    <n v="15649.55"/>
    <n v="0.15"/>
    <n v="39906.35"/>
    <n v="35165.15"/>
    <n v="4741.2"/>
    <x v="4"/>
    <n v="0.11880815960367209"/>
    <x v="0"/>
    <x v="6"/>
    <x v="6"/>
    <s v="Q3"/>
  </r>
  <r>
    <s v="ORD101673"/>
    <x v="185"/>
    <s v="CUST1560"/>
    <s v="Kiran Malhotra"/>
    <x v="3"/>
    <s v="West Bengal"/>
    <s v="Kolkata"/>
    <x v="3"/>
    <s v="Cleaning"/>
    <x v="15"/>
    <n v="2"/>
    <n v="7838.86"/>
    <n v="0.05"/>
    <n v="14893.83"/>
    <n v="10322.620000000001"/>
    <n v="4571.21"/>
    <x v="2"/>
    <n v="0.30691971104813198"/>
    <x v="0"/>
    <x v="6"/>
    <x v="6"/>
    <s v="Q3"/>
  </r>
  <r>
    <s v="ORD100699"/>
    <x v="185"/>
    <s v="CUST1628"/>
    <s v="Nikhil Patel"/>
    <x v="0"/>
    <s v="Maharashtra"/>
    <s v="Mumbai"/>
    <x v="0"/>
    <s v="Accessories"/>
    <x v="5"/>
    <n v="2"/>
    <n v="2467.14"/>
    <n v="0.05"/>
    <n v="4687.57"/>
    <n v="2747.64"/>
    <n v="1939.93"/>
    <x v="2"/>
    <n v="0.41384555323973832"/>
    <x v="0"/>
    <x v="6"/>
    <x v="6"/>
    <s v="Q3"/>
  </r>
  <r>
    <s v="ORD100777"/>
    <x v="185"/>
    <s v="CUST1649"/>
    <s v="Kavya Rao"/>
    <x v="1"/>
    <s v="Delhi"/>
    <s v="New Delhi"/>
    <x v="3"/>
    <s v="Cleaning"/>
    <x v="15"/>
    <n v="1"/>
    <n v="7064.74"/>
    <n v="0.05"/>
    <n v="6711.5"/>
    <n v="4450.42"/>
    <n v="2261.08"/>
    <x v="1"/>
    <n v="0.33689637189897942"/>
    <x v="0"/>
    <x v="6"/>
    <x v="6"/>
    <s v="Q3"/>
  </r>
  <r>
    <s v="ORD101991"/>
    <x v="185"/>
    <s v="CUST1350"/>
    <s v="Meera Singh"/>
    <x v="3"/>
    <s v="West Bengal"/>
    <s v="Durgapur"/>
    <x v="0"/>
    <s v="Accessories"/>
    <x v="5"/>
    <n v="1"/>
    <n v="2383.02"/>
    <n v="0"/>
    <n v="2383.02"/>
    <n v="1275.5"/>
    <n v="1107.52"/>
    <x v="1"/>
    <n v="0.46475480692566568"/>
    <x v="0"/>
    <x v="6"/>
    <x v="6"/>
    <s v="Q3"/>
  </r>
  <r>
    <s v="ORD101806"/>
    <x v="185"/>
    <s v="CUST1300"/>
    <s v="Kiran Singh"/>
    <x v="3"/>
    <s v="West Bengal"/>
    <s v="Siliguri"/>
    <x v="0"/>
    <s v="Audio"/>
    <x v="11"/>
    <n v="2"/>
    <n v="1980.82"/>
    <n v="0.2"/>
    <n v="3169.31"/>
    <n v="2284.0300000000002"/>
    <n v="885.28"/>
    <x v="0"/>
    <n v="0.27932893910661938"/>
    <x v="0"/>
    <x v="6"/>
    <x v="6"/>
    <s v="Q3"/>
  </r>
  <r>
    <s v="ORD101347"/>
    <x v="185"/>
    <s v="CUST1558"/>
    <s v="Kavya Gupta"/>
    <x v="2"/>
    <s v="Telangana"/>
    <s v="Warangal"/>
    <x v="1"/>
    <s v="Stationery"/>
    <x v="17"/>
    <n v="1"/>
    <n v="281.98"/>
    <n v="0.05"/>
    <n v="267.88"/>
    <n v="121.16"/>
    <n v="146.72"/>
    <x v="2"/>
    <n v="0.54770792892339859"/>
    <x v="0"/>
    <x v="6"/>
    <x v="6"/>
    <s v="Q3"/>
  </r>
  <r>
    <s v="ORD102335"/>
    <x v="186"/>
    <s v="CUST1496"/>
    <s v="Priya Das"/>
    <x v="1"/>
    <s v="Delhi"/>
    <s v="New Delhi"/>
    <x v="0"/>
    <s v="Computers"/>
    <x v="0"/>
    <n v="6"/>
    <n v="59208.89"/>
    <n v="0.2"/>
    <n v="284202.67"/>
    <n v="324004.55"/>
    <n v="-39801.879999999997"/>
    <x v="1"/>
    <n v="-0.14004752312847729"/>
    <x v="0"/>
    <x v="6"/>
    <x v="6"/>
    <s v="Q3"/>
  </r>
  <r>
    <s v="ORD101031"/>
    <x v="187"/>
    <s v="CUST1009"/>
    <s v="Ananya Joshi"/>
    <x v="3"/>
    <s v="West Bengal"/>
    <s v="Kolkata"/>
    <x v="0"/>
    <s v="Audio"/>
    <x v="8"/>
    <n v="1"/>
    <n v="2888.53"/>
    <n v="0.05"/>
    <n v="2744.1"/>
    <n v="1513.52"/>
    <n v="1230.58"/>
    <x v="1"/>
    <n v="0.44844575634998718"/>
    <x v="0"/>
    <x v="6"/>
    <x v="6"/>
    <s v="Q3"/>
  </r>
  <r>
    <s v="ORD100451"/>
    <x v="187"/>
    <s v="CUST1275"/>
    <s v="Aditya Mehta"/>
    <x v="2"/>
    <s v="Tamil Nadu"/>
    <s v="Madurai"/>
    <x v="0"/>
    <s v="Computers"/>
    <x v="3"/>
    <n v="2"/>
    <n v="16237.76"/>
    <n v="0.2"/>
    <n v="25980.42"/>
    <n v="24309.7"/>
    <n v="1670.72"/>
    <x v="2"/>
    <n v="6.4306889572993825E-2"/>
    <x v="0"/>
    <x v="6"/>
    <x v="6"/>
    <s v="Q3"/>
  </r>
  <r>
    <s v="ORD102039"/>
    <x v="188"/>
    <s v="CUST1177"/>
    <s v="Ananya Singh"/>
    <x v="1"/>
    <s v="Delhi"/>
    <s v="New Delhi"/>
    <x v="1"/>
    <s v="Storage"/>
    <x v="2"/>
    <n v="2"/>
    <n v="699.55"/>
    <n v="0.15"/>
    <n v="1189.23"/>
    <n v="634.41"/>
    <n v="554.82000000000005"/>
    <x v="0"/>
    <n v="0.46653717111071868"/>
    <x v="0"/>
    <x v="6"/>
    <x v="6"/>
    <s v="Q3"/>
  </r>
  <r>
    <s v="ORD100816"/>
    <x v="188"/>
    <s v="CUST1453"/>
    <s v="Meera Iyer"/>
    <x v="2"/>
    <s v="Karnataka"/>
    <s v="Bengaluru"/>
    <x v="0"/>
    <s v="Computers"/>
    <x v="3"/>
    <n v="6"/>
    <n v="16427.27"/>
    <n v="0.05"/>
    <n v="93635.44"/>
    <n v="74359.77"/>
    <n v="19275.669999999998"/>
    <x v="1"/>
    <n v="0.20585870050912339"/>
    <x v="0"/>
    <x v="6"/>
    <x v="6"/>
    <s v="Q3"/>
  </r>
  <r>
    <s v="ORD101355"/>
    <x v="188"/>
    <s v="CUST1443"/>
    <s v="Priya Verma"/>
    <x v="0"/>
    <s v="Maharashtra"/>
    <s v="Pune"/>
    <x v="3"/>
    <s v="Kitchen"/>
    <x v="13"/>
    <n v="6"/>
    <n v="3149.77"/>
    <n v="0.1"/>
    <n v="17008.759999999998"/>
    <n v="10570.15"/>
    <n v="6438.61"/>
    <x v="2"/>
    <n v="0.37854670181718131"/>
    <x v="0"/>
    <x v="6"/>
    <x v="6"/>
    <s v="Q3"/>
  </r>
  <r>
    <s v="ORD102338"/>
    <x v="189"/>
    <s v="CUST1254"/>
    <s v="Rohan Naidu"/>
    <x v="3"/>
    <s v="West Bengal"/>
    <s v="Siliguri"/>
    <x v="2"/>
    <s v="Living Room"/>
    <x v="4"/>
    <n v="4"/>
    <n v="5251.65"/>
    <n v="0.05"/>
    <n v="19956.27"/>
    <n v="12882.55"/>
    <n v="7073.72"/>
    <x v="1"/>
    <n v="0.35446102903999588"/>
    <x v="0"/>
    <x v="6"/>
    <x v="6"/>
    <s v="Q3"/>
  </r>
  <r>
    <s v="ORD101365"/>
    <x v="190"/>
    <s v="CUST1105"/>
    <s v="Nikhil Malhotra"/>
    <x v="0"/>
    <s v="Maharashtra"/>
    <s v="Pune"/>
    <x v="3"/>
    <s v="Cleaning"/>
    <x v="15"/>
    <n v="2"/>
    <n v="7691.41"/>
    <n v="0.1"/>
    <n v="13844.54"/>
    <n v="9670.34"/>
    <n v="4174.2"/>
    <x v="0"/>
    <n v="0.30150514209934021"/>
    <x v="0"/>
    <x v="6"/>
    <x v="6"/>
    <s v="Q3"/>
  </r>
  <r>
    <s v="ORD100481"/>
    <x v="190"/>
    <s v="CUST1194"/>
    <s v="Vikram Sharma"/>
    <x v="2"/>
    <s v="Karnataka"/>
    <s v="Mysuru"/>
    <x v="2"/>
    <s v="Office"/>
    <x v="14"/>
    <n v="3"/>
    <n v="8539.94"/>
    <n v="0.05"/>
    <n v="24338.83"/>
    <n v="18011.330000000002"/>
    <n v="6327.5"/>
    <x v="0"/>
    <n v="0.25997552059815532"/>
    <x v="0"/>
    <x v="6"/>
    <x v="6"/>
    <s v="Q3"/>
  </r>
  <r>
    <s v="ORD102215"/>
    <x v="190"/>
    <s v="CUST1447"/>
    <s v="Vikram Joshi"/>
    <x v="1"/>
    <s v="Delhi"/>
    <s v="Delhi"/>
    <x v="0"/>
    <s v="Accessories"/>
    <x v="5"/>
    <n v="3"/>
    <n v="2506.16"/>
    <n v="0.15"/>
    <n v="6390.71"/>
    <n v="4034"/>
    <n v="2356.71"/>
    <x v="2"/>
    <n v="0.36877123199143758"/>
    <x v="0"/>
    <x v="6"/>
    <x v="6"/>
    <s v="Q3"/>
  </r>
  <r>
    <s v="ORD100030"/>
    <x v="190"/>
    <s v="CUST1296"/>
    <s v="Vikram Patel"/>
    <x v="3"/>
    <s v="West Bengal"/>
    <s v="Kolkata"/>
    <x v="2"/>
    <s v="Office"/>
    <x v="10"/>
    <n v="2"/>
    <n v="7126.6"/>
    <n v="0.05"/>
    <n v="13540.54"/>
    <n v="9390.23"/>
    <n v="4150.3100000000004"/>
    <x v="0"/>
    <n v="0.30650993239560609"/>
    <x v="0"/>
    <x v="6"/>
    <x v="6"/>
    <s v="Q3"/>
  </r>
  <r>
    <s v="ORD100088"/>
    <x v="190"/>
    <s v="CUST1319"/>
    <s v="Aarav Singh"/>
    <x v="2"/>
    <s v="Tamil Nadu"/>
    <s v="Chennai"/>
    <x v="0"/>
    <s v="Accessories"/>
    <x v="6"/>
    <n v="1"/>
    <n v="751.18"/>
    <n v="0.15"/>
    <n v="638.5"/>
    <n v="466.04"/>
    <n v="172.46"/>
    <x v="2"/>
    <n v="0.27010180109631948"/>
    <x v="0"/>
    <x v="6"/>
    <x v="6"/>
    <s v="Q3"/>
  </r>
  <r>
    <s v="ORD100675"/>
    <x v="191"/>
    <s v="CUST1318"/>
    <s v="Aisha Nair"/>
    <x v="2"/>
    <s v="Karnataka"/>
    <s v="Mysuru"/>
    <x v="0"/>
    <s v="Audio"/>
    <x v="11"/>
    <n v="5"/>
    <n v="2093.91"/>
    <n v="0.1"/>
    <n v="9422.59"/>
    <n v="5905.18"/>
    <n v="3517.41"/>
    <x v="1"/>
    <n v="0.37329545273645559"/>
    <x v="0"/>
    <x v="6"/>
    <x v="6"/>
    <s v="Q3"/>
  </r>
  <r>
    <s v="ORD100563"/>
    <x v="191"/>
    <s v="CUST1143"/>
    <s v="Neha Rao"/>
    <x v="2"/>
    <s v="Tamil Nadu"/>
    <s v="Chennai"/>
    <x v="1"/>
    <s v="Storage"/>
    <x v="2"/>
    <n v="3"/>
    <n v="740.74"/>
    <n v="0.05"/>
    <n v="2111.11"/>
    <n v="1079.23"/>
    <n v="1031.8800000000001"/>
    <x v="4"/>
    <n v="0.48878552041343182"/>
    <x v="0"/>
    <x v="6"/>
    <x v="6"/>
    <s v="Q3"/>
  </r>
  <r>
    <s v="ORD100387"/>
    <x v="191"/>
    <s v="CUST1089"/>
    <s v="Rohan Sharma"/>
    <x v="2"/>
    <s v="Tamil Nadu"/>
    <s v="Chennai"/>
    <x v="0"/>
    <s v="Accessories"/>
    <x v="6"/>
    <n v="1"/>
    <n v="812.3"/>
    <n v="0"/>
    <n v="812.3"/>
    <n v="508.8"/>
    <n v="303.5"/>
    <x v="2"/>
    <n v="0.37363043210636471"/>
    <x v="0"/>
    <x v="6"/>
    <x v="6"/>
    <s v="Q3"/>
  </r>
  <r>
    <s v="ORD101050"/>
    <x v="191"/>
    <s v="CUST1005"/>
    <s v="Arjun Rao"/>
    <x v="2"/>
    <s v="Karnataka"/>
    <s v="Hubballi"/>
    <x v="0"/>
    <s v="Audio"/>
    <x v="8"/>
    <n v="4"/>
    <n v="2966.71"/>
    <n v="0.1"/>
    <n v="10680.16"/>
    <n v="6292.8"/>
    <n v="4387.3599999999997"/>
    <x v="2"/>
    <n v="0.41079534388997913"/>
    <x v="0"/>
    <x v="6"/>
    <x v="6"/>
    <s v="Q3"/>
  </r>
  <r>
    <s v="ORD102262"/>
    <x v="191"/>
    <s v="CUST1199"/>
    <s v="Sneha Naidu"/>
    <x v="1"/>
    <s v="Delhi"/>
    <s v="New Delhi"/>
    <x v="0"/>
    <s v="Computers"/>
    <x v="3"/>
    <n v="1"/>
    <n v="15704"/>
    <n v="0"/>
    <n v="15704"/>
    <n v="11874.71"/>
    <n v="3829.29"/>
    <x v="0"/>
    <n v="0.24384169638308709"/>
    <x v="0"/>
    <x v="6"/>
    <x v="6"/>
    <s v="Q3"/>
  </r>
  <r>
    <s v="ORD102488"/>
    <x v="191"/>
    <s v="CUST1059"/>
    <s v="Pooja Reddy"/>
    <x v="2"/>
    <s v="Telangana"/>
    <s v="Hyderabad"/>
    <x v="2"/>
    <s v="Office"/>
    <x v="10"/>
    <n v="5"/>
    <n v="6920.28"/>
    <n v="0.15"/>
    <n v="29411.19"/>
    <n v="22676.42"/>
    <n v="6734.77"/>
    <x v="0"/>
    <n v="0.228986654399227"/>
    <x v="0"/>
    <x v="6"/>
    <x v="6"/>
    <s v="Q3"/>
  </r>
  <r>
    <s v="ORD100722"/>
    <x v="191"/>
    <s v="CUST1214"/>
    <s v="Nikhil Patel"/>
    <x v="2"/>
    <s v="Telangana"/>
    <s v="Hyderabad"/>
    <x v="0"/>
    <s v="Audio"/>
    <x v="11"/>
    <n v="2"/>
    <n v="2053"/>
    <n v="0.1"/>
    <n v="3695.4"/>
    <n v="2336.41"/>
    <n v="1358.99"/>
    <x v="3"/>
    <n v="0.36775179953455639"/>
    <x v="0"/>
    <x v="6"/>
    <x v="6"/>
    <s v="Q3"/>
  </r>
  <r>
    <s v="ORD102155"/>
    <x v="192"/>
    <s v="CUST1287"/>
    <s v="Meera Gupta"/>
    <x v="1"/>
    <s v="Delhi"/>
    <s v="New Delhi"/>
    <x v="3"/>
    <s v="Cleaning"/>
    <x v="12"/>
    <n v="2"/>
    <n v="12542.88"/>
    <n v="0.1"/>
    <n v="22577.18"/>
    <n v="17400.79"/>
    <n v="5176.3900000000003"/>
    <x v="3"/>
    <n v="0.2292753125058134"/>
    <x v="0"/>
    <x v="6"/>
    <x v="6"/>
    <s v="Q3"/>
  </r>
  <r>
    <s v="ORD101415"/>
    <x v="192"/>
    <s v="CUST1348"/>
    <s v="Aditya Mehta"/>
    <x v="3"/>
    <s v="West Bengal"/>
    <s v="Kolkata"/>
    <x v="3"/>
    <s v="Cleaning"/>
    <x v="12"/>
    <n v="2"/>
    <n v="12252.31"/>
    <n v="0.05"/>
    <n v="23279.39"/>
    <n v="17863.88"/>
    <n v="5415.51"/>
    <x v="2"/>
    <n v="0.23263109557423969"/>
    <x v="0"/>
    <x v="6"/>
    <x v="6"/>
    <s v="Q3"/>
  </r>
  <r>
    <s v="ORD100863"/>
    <x v="192"/>
    <s v="CUST1186"/>
    <s v="Meera Naidu"/>
    <x v="2"/>
    <s v="Tamil Nadu"/>
    <s v="Coimbatore"/>
    <x v="0"/>
    <s v="Audio"/>
    <x v="11"/>
    <n v="2"/>
    <n v="2091.5100000000002"/>
    <n v="0.05"/>
    <n v="3973.87"/>
    <n v="2399.21"/>
    <n v="1574.66"/>
    <x v="3"/>
    <n v="0.39625352615963788"/>
    <x v="0"/>
    <x v="6"/>
    <x v="6"/>
    <s v="Q3"/>
  </r>
  <r>
    <s v="ORD102117"/>
    <x v="192"/>
    <s v="CUST1420"/>
    <s v="Meera Sharma"/>
    <x v="2"/>
    <s v="Karnataka"/>
    <s v="Bengaluru"/>
    <x v="3"/>
    <s v="Kitchen"/>
    <x v="7"/>
    <n v="3"/>
    <n v="1691.57"/>
    <n v="0.15"/>
    <n v="4313.5"/>
    <n v="2676.32"/>
    <n v="1637.18"/>
    <x v="0"/>
    <n v="0.37954793091457062"/>
    <x v="0"/>
    <x v="6"/>
    <x v="6"/>
    <s v="Q3"/>
  </r>
  <r>
    <s v="ORD100629"/>
    <x v="192"/>
    <s v="CUST1552"/>
    <s v="Kavya Rao"/>
    <x v="2"/>
    <s v="Karnataka"/>
    <s v="Hubballi"/>
    <x v="0"/>
    <s v="Computers"/>
    <x v="0"/>
    <n v="2"/>
    <n v="61609.68"/>
    <n v="0"/>
    <n v="123219.36"/>
    <n v="109148.09"/>
    <n v="14071.27"/>
    <x v="1"/>
    <n v="0.114196908667599"/>
    <x v="0"/>
    <x v="6"/>
    <x v="6"/>
    <s v="Q3"/>
  </r>
  <r>
    <s v="ORD102246"/>
    <x v="193"/>
    <s v="CUST1193"/>
    <s v="Sanjana Gupta"/>
    <x v="2"/>
    <s v="Karnataka"/>
    <s v="Mysuru"/>
    <x v="0"/>
    <s v="Computers"/>
    <x v="0"/>
    <n v="4"/>
    <n v="59697.42"/>
    <n v="0.05"/>
    <n v="226850.2"/>
    <n v="210877.18"/>
    <n v="15973.02"/>
    <x v="4"/>
    <n v="7.0412192715721647E-2"/>
    <x v="0"/>
    <x v="6"/>
    <x v="6"/>
    <s v="Q3"/>
  </r>
  <r>
    <s v="ORD100977"/>
    <x v="193"/>
    <s v="CUST1611"/>
    <s v="Ishaan Naidu"/>
    <x v="3"/>
    <s v="West Bengal"/>
    <s v="Siliguri"/>
    <x v="0"/>
    <s v="Accessories"/>
    <x v="6"/>
    <n v="1"/>
    <n v="818.64"/>
    <n v="0.05"/>
    <n v="777.71"/>
    <n v="503.22"/>
    <n v="274.49"/>
    <x v="1"/>
    <n v="0.35294647104962001"/>
    <x v="0"/>
    <x v="6"/>
    <x v="6"/>
    <s v="Q3"/>
  </r>
  <r>
    <s v="ORD100798"/>
    <x v="193"/>
    <s v="CUST1248"/>
    <s v="Arjun Rao"/>
    <x v="3"/>
    <s v="West Bengal"/>
    <s v="Durgapur"/>
    <x v="2"/>
    <s v="Office"/>
    <x v="14"/>
    <n v="2"/>
    <n v="8351.0300000000007"/>
    <n v="0.1"/>
    <n v="15031.85"/>
    <n v="11559.93"/>
    <n v="3471.92"/>
    <x v="1"/>
    <n v="0.23097090511148"/>
    <x v="0"/>
    <x v="6"/>
    <x v="6"/>
    <s v="Q3"/>
  </r>
  <r>
    <s v="ORD101111"/>
    <x v="194"/>
    <s v="CUST1117"/>
    <s v="Varun Verma"/>
    <x v="2"/>
    <s v="Karnataka"/>
    <s v="Mangaluru"/>
    <x v="3"/>
    <s v="Cleaning"/>
    <x v="15"/>
    <n v="3"/>
    <n v="7208.83"/>
    <n v="0.1"/>
    <n v="19463.84"/>
    <n v="14128.15"/>
    <n v="5335.69"/>
    <x v="0"/>
    <n v="0.27413347006551642"/>
    <x v="0"/>
    <x v="6"/>
    <x v="6"/>
    <s v="Q3"/>
  </r>
  <r>
    <s v="ORD100628"/>
    <x v="194"/>
    <s v="CUST1505"/>
    <s v="Rahul Das"/>
    <x v="2"/>
    <s v="Tamil Nadu"/>
    <s v="Madurai"/>
    <x v="1"/>
    <s v="Storage"/>
    <x v="2"/>
    <n v="3"/>
    <n v="670.55"/>
    <n v="0.05"/>
    <n v="1911.07"/>
    <n v="934.72"/>
    <n v="976.35"/>
    <x v="1"/>
    <n v="0.51089180406787826"/>
    <x v="0"/>
    <x v="6"/>
    <x v="6"/>
    <s v="Q3"/>
  </r>
  <r>
    <s v="ORD100861"/>
    <x v="194"/>
    <s v="CUST1542"/>
    <s v="Sanjana Sharma"/>
    <x v="2"/>
    <s v="Karnataka"/>
    <s v="Mysuru"/>
    <x v="1"/>
    <s v="Stationery"/>
    <x v="17"/>
    <n v="2"/>
    <n v="292.23"/>
    <n v="0.1"/>
    <n v="526.01"/>
    <n v="239.04"/>
    <n v="286.97000000000003"/>
    <x v="2"/>
    <n v="0.54555997034276926"/>
    <x v="0"/>
    <x v="6"/>
    <x v="6"/>
    <s v="Q3"/>
  </r>
  <r>
    <s v="ORD101175"/>
    <x v="195"/>
    <s v="CUST1491"/>
    <s v="Aisha Iyer"/>
    <x v="1"/>
    <s v="Delhi"/>
    <s v="New Delhi"/>
    <x v="2"/>
    <s v="Office"/>
    <x v="10"/>
    <n v="1"/>
    <n v="7081.63"/>
    <n v="0.2"/>
    <n v="5665.3"/>
    <n v="4571.25"/>
    <n v="1094.05"/>
    <x v="4"/>
    <n v="0.1931142216652251"/>
    <x v="0"/>
    <x v="6"/>
    <x v="6"/>
    <s v="Q3"/>
  </r>
  <r>
    <s v="ORD101040"/>
    <x v="195"/>
    <s v="CUST1476"/>
    <s v="Varun Kumar"/>
    <x v="2"/>
    <s v="Telangana"/>
    <s v="Nizamabad"/>
    <x v="0"/>
    <s v="Accessories"/>
    <x v="5"/>
    <n v="3"/>
    <n v="2373.5300000000002"/>
    <n v="0.05"/>
    <n v="6764.56"/>
    <n v="3962.73"/>
    <n v="2801.83"/>
    <x v="1"/>
    <n v="0.41419249736863889"/>
    <x v="0"/>
    <x v="6"/>
    <x v="6"/>
    <s v="Q3"/>
  </r>
  <r>
    <s v="ORD100034"/>
    <x v="196"/>
    <s v="CUST1033"/>
    <s v="Aarav Rao"/>
    <x v="3"/>
    <s v="West Bengal"/>
    <s v="Durgapur"/>
    <x v="0"/>
    <s v="Audio"/>
    <x v="8"/>
    <n v="1"/>
    <n v="3024.64"/>
    <n v="0.05"/>
    <n v="2873.41"/>
    <n v="1562.28"/>
    <n v="1311.13"/>
    <x v="2"/>
    <n v="0.45629756978642111"/>
    <x v="0"/>
    <x v="6"/>
    <x v="6"/>
    <s v="Q3"/>
  </r>
  <r>
    <s v="ORD101877"/>
    <x v="196"/>
    <s v="CUST1445"/>
    <s v="Neha Iyer"/>
    <x v="1"/>
    <s v="Delhi"/>
    <s v="New Delhi"/>
    <x v="3"/>
    <s v="Kitchen"/>
    <x v="13"/>
    <n v="1"/>
    <n v="3326.6"/>
    <n v="0.15"/>
    <n v="2827.61"/>
    <n v="1847.29"/>
    <n v="980.32"/>
    <x v="2"/>
    <n v="0.34669561926856962"/>
    <x v="0"/>
    <x v="6"/>
    <x v="6"/>
    <s v="Q3"/>
  </r>
  <r>
    <s v="ORD101192"/>
    <x v="197"/>
    <s v="CUST1250"/>
    <s v="Varun Nair"/>
    <x v="2"/>
    <s v="Telangana"/>
    <s v="Warangal"/>
    <x v="0"/>
    <s v="Audio"/>
    <x v="11"/>
    <n v="2"/>
    <n v="2106.98"/>
    <n v="0"/>
    <n v="4213.96"/>
    <n v="2370.54"/>
    <n v="1843.42"/>
    <x v="0"/>
    <n v="0.43745550503564351"/>
    <x v="0"/>
    <x v="6"/>
    <x v="6"/>
    <s v="Q3"/>
  </r>
  <r>
    <s v="ORD100515"/>
    <x v="197"/>
    <s v="CUST1137"/>
    <s v="Diya Gupta"/>
    <x v="1"/>
    <s v="Delhi"/>
    <s v="New Delhi"/>
    <x v="0"/>
    <s v="Accessories"/>
    <x v="6"/>
    <n v="1"/>
    <n v="766.94"/>
    <n v="0.1"/>
    <n v="690.25"/>
    <n v="478.95"/>
    <n v="211.3"/>
    <x v="0"/>
    <n v="0.30612097066280342"/>
    <x v="0"/>
    <x v="6"/>
    <x v="6"/>
    <s v="Q3"/>
  </r>
  <r>
    <s v="ORD101404"/>
    <x v="198"/>
    <s v="CUST1388"/>
    <s v="Neha Kumar"/>
    <x v="2"/>
    <s v="Karnataka"/>
    <s v="Hubballi"/>
    <x v="2"/>
    <s v="Office"/>
    <x v="10"/>
    <n v="3"/>
    <n v="7278.99"/>
    <n v="0.1"/>
    <n v="19653.27"/>
    <n v="14298.24"/>
    <n v="5355.03"/>
    <x v="1"/>
    <n v="0.2724752674745729"/>
    <x v="0"/>
    <x v="6"/>
    <x v="6"/>
    <s v="Q3"/>
  </r>
  <r>
    <s v="ORD100212"/>
    <x v="198"/>
    <s v="CUST1405"/>
    <s v="Rohan Iyer"/>
    <x v="2"/>
    <s v="Karnataka"/>
    <s v="Mangaluru"/>
    <x v="3"/>
    <s v="Cleaning"/>
    <x v="15"/>
    <n v="2"/>
    <n v="7309.88"/>
    <n v="0.1"/>
    <n v="13157.78"/>
    <n v="9544.11"/>
    <n v="3613.67"/>
    <x v="1"/>
    <n v="0.27464131487226567"/>
    <x v="0"/>
    <x v="6"/>
    <x v="6"/>
    <s v="Q3"/>
  </r>
  <r>
    <s v="ORD100304"/>
    <x v="199"/>
    <s v="CUST1544"/>
    <s v="Priya Reddy"/>
    <x v="0"/>
    <s v="Maharashtra"/>
    <s v="Pune"/>
    <x v="1"/>
    <s v="Storage"/>
    <x v="9"/>
    <n v="4"/>
    <n v="524.52"/>
    <n v="0"/>
    <n v="2098.08"/>
    <n v="908.34"/>
    <n v="1189.74"/>
    <x v="0"/>
    <n v="0.56706131320064057"/>
    <x v="0"/>
    <x v="6"/>
    <x v="6"/>
    <s v="Q3"/>
  </r>
  <r>
    <s v="ORD101717"/>
    <x v="199"/>
    <s v="CUST1395"/>
    <s v="Pooja Patel"/>
    <x v="2"/>
    <s v="Karnataka"/>
    <s v="Mangaluru"/>
    <x v="0"/>
    <s v="Audio"/>
    <x v="11"/>
    <n v="3"/>
    <n v="2101.34"/>
    <n v="0.1"/>
    <n v="5673.62"/>
    <n v="3797.35"/>
    <n v="1876.27"/>
    <x v="0"/>
    <n v="0.33070068139917719"/>
    <x v="0"/>
    <x v="6"/>
    <x v="6"/>
    <s v="Q3"/>
  </r>
  <r>
    <s v="ORD101288"/>
    <x v="199"/>
    <s v="CUST1624"/>
    <s v="Meera Malhotra"/>
    <x v="2"/>
    <s v="Tamil Nadu"/>
    <s v="Chennai"/>
    <x v="1"/>
    <s v="Stationery"/>
    <x v="1"/>
    <n v="5"/>
    <n v="247.64"/>
    <n v="0.1"/>
    <n v="1114.3800000000001"/>
    <n v="486.97"/>
    <n v="627.41"/>
    <x v="4"/>
    <n v="0.56301261688113557"/>
    <x v="0"/>
    <x v="6"/>
    <x v="6"/>
    <s v="Q3"/>
  </r>
  <r>
    <s v="ORD101238"/>
    <x v="200"/>
    <s v="CUST1590"/>
    <s v="Aditya Mehta"/>
    <x v="2"/>
    <s v="Tamil Nadu"/>
    <s v="Coimbatore"/>
    <x v="0"/>
    <s v="Audio"/>
    <x v="8"/>
    <n v="1"/>
    <n v="3033.02"/>
    <n v="0.1"/>
    <n v="2729.72"/>
    <n v="1634.2"/>
    <n v="1095.52"/>
    <x v="0"/>
    <n v="0.40133053939598201"/>
    <x v="0"/>
    <x v="6"/>
    <x v="6"/>
    <s v="Q3"/>
  </r>
  <r>
    <s v="ORD101619"/>
    <x v="200"/>
    <s v="CUST1036"/>
    <s v="Rohan Iyer"/>
    <x v="1"/>
    <s v="Delhi"/>
    <s v="New Delhi"/>
    <x v="2"/>
    <s v="Living Room"/>
    <x v="16"/>
    <n v="4"/>
    <n v="3963.45"/>
    <n v="0.2"/>
    <n v="12683.04"/>
    <n v="9742.31"/>
    <n v="2940.73"/>
    <x v="2"/>
    <n v="0.23186318106699971"/>
    <x v="0"/>
    <x v="6"/>
    <x v="6"/>
    <s v="Q3"/>
  </r>
  <r>
    <s v="ORD100690"/>
    <x v="200"/>
    <s v="CUST1420"/>
    <s v="Meera Mehta"/>
    <x v="1"/>
    <s v="Delhi"/>
    <s v="Delhi"/>
    <x v="2"/>
    <s v="Living Room"/>
    <x v="16"/>
    <n v="2"/>
    <n v="4047.77"/>
    <n v="0.05"/>
    <n v="7690.76"/>
    <n v="4908.7"/>
    <n v="2782.06"/>
    <x v="1"/>
    <n v="0.36174058220513972"/>
    <x v="0"/>
    <x v="6"/>
    <x v="6"/>
    <s v="Q3"/>
  </r>
  <r>
    <s v="ORD101550"/>
    <x v="201"/>
    <s v="CUST1553"/>
    <s v="Ananya Verma"/>
    <x v="0"/>
    <s v="Maharashtra"/>
    <s v="Nagpur"/>
    <x v="0"/>
    <s v="Computers"/>
    <x v="3"/>
    <n v="2"/>
    <n v="16944.38"/>
    <n v="0.05"/>
    <n v="32194.32"/>
    <n v="24732.25"/>
    <n v="7462.07"/>
    <x v="0"/>
    <n v="0.23178219015031221"/>
    <x v="0"/>
    <x v="6"/>
    <x v="6"/>
    <s v="Q3"/>
  </r>
  <r>
    <s v="ORD101389"/>
    <x v="201"/>
    <s v="CUST1359"/>
    <s v="Meera Singh"/>
    <x v="1"/>
    <s v="Delhi"/>
    <s v="New Delhi"/>
    <x v="2"/>
    <s v="Living Room"/>
    <x v="4"/>
    <n v="4"/>
    <n v="5120.6000000000004"/>
    <n v="0.05"/>
    <n v="19458.28"/>
    <n v="12734.25"/>
    <n v="6724.03"/>
    <x v="1"/>
    <n v="0.34556137541447651"/>
    <x v="0"/>
    <x v="6"/>
    <x v="6"/>
    <s v="Q3"/>
  </r>
  <r>
    <s v="ORD100724"/>
    <x v="201"/>
    <s v="CUST1469"/>
    <s v="Diya Rao"/>
    <x v="0"/>
    <s v="Maharashtra"/>
    <s v="Pune"/>
    <x v="1"/>
    <s v="Storage"/>
    <x v="2"/>
    <n v="2"/>
    <n v="718.56"/>
    <n v="0.15"/>
    <n v="1221.55"/>
    <n v="691.91"/>
    <n v="529.64"/>
    <x v="0"/>
    <n v="0.4335802873398551"/>
    <x v="0"/>
    <x v="6"/>
    <x v="6"/>
    <s v="Q3"/>
  </r>
  <r>
    <s v="ORD101286"/>
    <x v="202"/>
    <s v="CUST1583"/>
    <s v="Nikhil Rao"/>
    <x v="0"/>
    <s v="Maharashtra"/>
    <s v="Pune"/>
    <x v="2"/>
    <s v="Office"/>
    <x v="14"/>
    <n v="2"/>
    <n v="8557.9599999999991"/>
    <n v="0"/>
    <n v="17115.919999999998"/>
    <n v="12029.24"/>
    <n v="5086.68"/>
    <x v="0"/>
    <n v="0.29718998452902329"/>
    <x v="0"/>
    <x v="6"/>
    <x v="6"/>
    <s v="Q3"/>
  </r>
  <r>
    <s v="ORD100839"/>
    <x v="202"/>
    <s v="CUST1283"/>
    <s v="Rahul Malhotra"/>
    <x v="0"/>
    <s v="Maharashtra"/>
    <s v="Nashik"/>
    <x v="0"/>
    <s v="Audio"/>
    <x v="8"/>
    <n v="6"/>
    <n v="2984.19"/>
    <n v="0.05"/>
    <n v="17009.88"/>
    <n v="9572.31"/>
    <n v="7437.57"/>
    <x v="1"/>
    <n v="0.4372499982363191"/>
    <x v="0"/>
    <x v="6"/>
    <x v="6"/>
    <s v="Q3"/>
  </r>
  <r>
    <s v="ORD100419"/>
    <x v="203"/>
    <s v="CUST1279"/>
    <s v="Vikram Verma"/>
    <x v="2"/>
    <s v="Telangana"/>
    <s v="Nizamabad"/>
    <x v="0"/>
    <s v="Computers"/>
    <x v="3"/>
    <n v="4"/>
    <n v="16816.57"/>
    <n v="0.1"/>
    <n v="60539.65"/>
    <n v="50944.89"/>
    <n v="9594.76"/>
    <x v="2"/>
    <n v="0.15848720631850369"/>
    <x v="0"/>
    <x v="7"/>
    <x v="7"/>
    <s v="Q3"/>
  </r>
  <r>
    <s v="ORD102316"/>
    <x v="203"/>
    <s v="CUST1138"/>
    <s v="Aisha Gupta"/>
    <x v="0"/>
    <s v="Maharashtra"/>
    <s v="Mumbai"/>
    <x v="1"/>
    <s v="Stationery"/>
    <x v="1"/>
    <n v="2"/>
    <n v="260.55"/>
    <n v="0"/>
    <n v="521.1"/>
    <n v="199.12"/>
    <n v="321.98"/>
    <x v="0"/>
    <n v="0.61788524275570911"/>
    <x v="0"/>
    <x v="7"/>
    <x v="7"/>
    <s v="Q3"/>
  </r>
  <r>
    <s v="ORD100355"/>
    <x v="204"/>
    <s v="CUST1570"/>
    <s v="Kiran Mehta"/>
    <x v="1"/>
    <s v="Delhi"/>
    <s v="Delhi"/>
    <x v="0"/>
    <s v="Computers"/>
    <x v="0"/>
    <n v="5"/>
    <n v="60402.16"/>
    <n v="0.15"/>
    <n v="256709.18"/>
    <n v="261062.32"/>
    <n v="-4353.1400000000003"/>
    <x v="0"/>
    <n v="-1.6957476939469019E-2"/>
    <x v="0"/>
    <x v="7"/>
    <x v="7"/>
    <s v="Q3"/>
  </r>
  <r>
    <s v="ORD101083"/>
    <x v="204"/>
    <s v="CUST1200"/>
    <s v="Priya Sharma"/>
    <x v="2"/>
    <s v="Karnataka"/>
    <s v="Bengaluru"/>
    <x v="0"/>
    <s v="Computers"/>
    <x v="0"/>
    <n v="2"/>
    <n v="62272.59"/>
    <n v="0"/>
    <n v="124545.18"/>
    <n v="109134.57"/>
    <n v="15410.61"/>
    <x v="4"/>
    <n v="0.1237350975766385"/>
    <x v="0"/>
    <x v="7"/>
    <x v="7"/>
    <s v="Q3"/>
  </r>
  <r>
    <s v="ORD102403"/>
    <x v="204"/>
    <s v="CUST1345"/>
    <s v="Ishaan Joshi"/>
    <x v="2"/>
    <s v="Telangana"/>
    <s v="Karimnagar"/>
    <x v="2"/>
    <s v="Office"/>
    <x v="10"/>
    <n v="5"/>
    <n v="7006.06"/>
    <n v="0.1"/>
    <n v="31527.27"/>
    <n v="22918.7"/>
    <n v="8608.57"/>
    <x v="1"/>
    <n v="0.27305155187873859"/>
    <x v="0"/>
    <x v="7"/>
    <x v="7"/>
    <s v="Q3"/>
  </r>
  <r>
    <s v="ORD100601"/>
    <x v="205"/>
    <s v="CUST1559"/>
    <s v="Diya Joshi"/>
    <x v="2"/>
    <s v="Karnataka"/>
    <s v="Mangaluru"/>
    <x v="3"/>
    <s v="Kitchen"/>
    <x v="13"/>
    <n v="1"/>
    <n v="3427.85"/>
    <n v="0.1"/>
    <n v="3085.07"/>
    <n v="1946.14"/>
    <n v="1138.93"/>
    <x v="2"/>
    <n v="0.36917476750932721"/>
    <x v="0"/>
    <x v="7"/>
    <x v="7"/>
    <s v="Q3"/>
  </r>
  <r>
    <s v="ORD101346"/>
    <x v="205"/>
    <s v="CUST1491"/>
    <s v="Sanjana Joshi"/>
    <x v="2"/>
    <s v="Telangana"/>
    <s v="Hyderabad"/>
    <x v="3"/>
    <s v="Kitchen"/>
    <x v="7"/>
    <n v="2"/>
    <n v="1763.78"/>
    <n v="0.1"/>
    <n v="3174.8"/>
    <n v="1865.03"/>
    <n v="1309.77"/>
    <x v="0"/>
    <n v="0.41255197177774983"/>
    <x v="0"/>
    <x v="7"/>
    <x v="7"/>
    <s v="Q3"/>
  </r>
  <r>
    <s v="ORD100568"/>
    <x v="205"/>
    <s v="CUST1262"/>
    <s v="Nikhil Kumar"/>
    <x v="0"/>
    <s v="Maharashtra"/>
    <s v="Pune"/>
    <x v="1"/>
    <s v="Storage"/>
    <x v="9"/>
    <n v="1"/>
    <n v="511.22"/>
    <n v="0.1"/>
    <n v="460.1"/>
    <n v="228.42"/>
    <n v="231.68"/>
    <x v="2"/>
    <n v="0.50354270810693325"/>
    <x v="0"/>
    <x v="7"/>
    <x v="7"/>
    <s v="Q3"/>
  </r>
  <r>
    <s v="ORD101935"/>
    <x v="205"/>
    <s v="CUST1240"/>
    <s v="Aditya Malhotra"/>
    <x v="0"/>
    <s v="Maharashtra"/>
    <s v="Pune"/>
    <x v="1"/>
    <s v="Storage"/>
    <x v="2"/>
    <n v="5"/>
    <n v="726.49"/>
    <n v="0.05"/>
    <n v="3450.83"/>
    <n v="1665.48"/>
    <n v="1785.35"/>
    <x v="0"/>
    <n v="0.51736828531107004"/>
    <x v="0"/>
    <x v="7"/>
    <x v="7"/>
    <s v="Q3"/>
  </r>
  <r>
    <s v="ORD100751"/>
    <x v="206"/>
    <s v="CUST1090"/>
    <s v="Sanjana Rao"/>
    <x v="0"/>
    <s v="Maharashtra"/>
    <s v="Mumbai"/>
    <x v="2"/>
    <s v="Office"/>
    <x v="14"/>
    <n v="4"/>
    <n v="8461.08"/>
    <n v="0.05"/>
    <n v="32152.1"/>
    <n v="23392.93"/>
    <n v="8759.17"/>
    <x v="1"/>
    <n v="0.27242917258903782"/>
    <x v="0"/>
    <x v="7"/>
    <x v="7"/>
    <s v="Q3"/>
  </r>
  <r>
    <s v="ORD100955"/>
    <x v="206"/>
    <s v="CUST1481"/>
    <s v="Varun Patel"/>
    <x v="2"/>
    <s v="Tamil Nadu"/>
    <s v="Madurai"/>
    <x v="1"/>
    <s v="Stationery"/>
    <x v="17"/>
    <n v="1"/>
    <n v="307.17"/>
    <n v="0.2"/>
    <n v="245.74"/>
    <n v="125.16"/>
    <n v="120.58"/>
    <x v="0"/>
    <n v="0.49068120778058111"/>
    <x v="0"/>
    <x v="7"/>
    <x v="7"/>
    <s v="Q3"/>
  </r>
  <r>
    <s v="ORD100523"/>
    <x v="206"/>
    <s v="CUST1440"/>
    <s v="Varun Naidu"/>
    <x v="2"/>
    <s v="Tamil Nadu"/>
    <s v="Chennai"/>
    <x v="0"/>
    <s v="Computers"/>
    <x v="3"/>
    <n v="2"/>
    <n v="15643.22"/>
    <n v="0"/>
    <n v="31286.44"/>
    <n v="24174.240000000002"/>
    <n v="7112.2"/>
    <x v="2"/>
    <n v="0.2273253204902827"/>
    <x v="0"/>
    <x v="7"/>
    <x v="7"/>
    <s v="Q3"/>
  </r>
  <r>
    <s v="ORD102040"/>
    <x v="206"/>
    <s v="CUST1410"/>
    <s v="Sneha Iyer"/>
    <x v="2"/>
    <s v="Tamil Nadu"/>
    <s v="Madurai"/>
    <x v="0"/>
    <s v="Audio"/>
    <x v="8"/>
    <n v="4"/>
    <n v="3117.52"/>
    <n v="0"/>
    <n v="12470.08"/>
    <n v="6703.19"/>
    <n v="5766.89"/>
    <x v="0"/>
    <n v="0.46245813980343348"/>
    <x v="0"/>
    <x v="7"/>
    <x v="7"/>
    <s v="Q3"/>
  </r>
  <r>
    <s v="ORD101809"/>
    <x v="207"/>
    <s v="CUST1559"/>
    <s v="Kiran Singh"/>
    <x v="3"/>
    <s v="West Bengal"/>
    <s v="Kolkata"/>
    <x v="2"/>
    <s v="Living Room"/>
    <x v="16"/>
    <n v="4"/>
    <n v="4210.84"/>
    <n v="0"/>
    <n v="16843.36"/>
    <n v="10464.51"/>
    <n v="6378.85"/>
    <x v="3"/>
    <n v="0.37871600440767161"/>
    <x v="0"/>
    <x v="7"/>
    <x v="7"/>
    <s v="Q3"/>
  </r>
  <r>
    <s v="ORD102228"/>
    <x v="207"/>
    <s v="CUST1444"/>
    <s v="Aisha Reddy"/>
    <x v="1"/>
    <s v="Delhi"/>
    <s v="New Delhi"/>
    <x v="3"/>
    <s v="Kitchen"/>
    <x v="7"/>
    <n v="3"/>
    <n v="1853.47"/>
    <n v="0.1"/>
    <n v="5004.37"/>
    <n v="3068.35"/>
    <n v="1936.02"/>
    <x v="4"/>
    <n v="0.38686587922156029"/>
    <x v="0"/>
    <x v="7"/>
    <x v="7"/>
    <s v="Q3"/>
  </r>
  <r>
    <s v="ORD100134"/>
    <x v="207"/>
    <s v="CUST1300"/>
    <s v="Diya Gupta"/>
    <x v="3"/>
    <s v="West Bengal"/>
    <s v="Kolkata"/>
    <x v="2"/>
    <s v="Living Room"/>
    <x v="16"/>
    <n v="1"/>
    <n v="4227.74"/>
    <n v="0.1"/>
    <n v="3804.97"/>
    <n v="2624.77"/>
    <n v="1180.2"/>
    <x v="0"/>
    <n v="0.31017327337666267"/>
    <x v="0"/>
    <x v="7"/>
    <x v="7"/>
    <s v="Q3"/>
  </r>
  <r>
    <s v="ORD100694"/>
    <x v="207"/>
    <s v="CUST1076"/>
    <s v="Ananya Joshi"/>
    <x v="2"/>
    <s v="Telangana"/>
    <s v="Karimnagar"/>
    <x v="1"/>
    <s v="Stationery"/>
    <x v="17"/>
    <n v="2"/>
    <n v="282.05"/>
    <n v="0.15"/>
    <n v="479.49"/>
    <n v="242.18"/>
    <n v="237.31"/>
    <x v="2"/>
    <n v="0.4949216876264364"/>
    <x v="0"/>
    <x v="7"/>
    <x v="7"/>
    <s v="Q3"/>
  </r>
  <r>
    <s v="ORD101559"/>
    <x v="208"/>
    <s v="CUST1361"/>
    <s v="Ananya Patel"/>
    <x v="2"/>
    <s v="Telangana"/>
    <s v="Hyderabad"/>
    <x v="1"/>
    <s v="Storage"/>
    <x v="2"/>
    <n v="5"/>
    <n v="676.26"/>
    <n v="0.2"/>
    <n v="2705.04"/>
    <n v="1637.58"/>
    <n v="1067.46"/>
    <x v="0"/>
    <n v="0.3946189335462692"/>
    <x v="0"/>
    <x v="7"/>
    <x v="7"/>
    <s v="Q3"/>
  </r>
  <r>
    <s v="ORD101855"/>
    <x v="208"/>
    <s v="CUST1634"/>
    <s v="Kavya Gupta"/>
    <x v="1"/>
    <s v="Delhi"/>
    <s v="New Delhi"/>
    <x v="0"/>
    <s v="Computers"/>
    <x v="0"/>
    <n v="6"/>
    <n v="59074.73"/>
    <n v="0.05"/>
    <n v="336725.96"/>
    <n v="309081.71999999997"/>
    <n v="27644.240000000002"/>
    <x v="4"/>
    <n v="8.2097145108740652E-2"/>
    <x v="0"/>
    <x v="7"/>
    <x v="7"/>
    <s v="Q3"/>
  </r>
  <r>
    <s v="ORD101668"/>
    <x v="208"/>
    <s v="CUST1319"/>
    <s v="Nikhil Naidu"/>
    <x v="0"/>
    <s v="Maharashtra"/>
    <s v="Mumbai"/>
    <x v="3"/>
    <s v="Kitchen"/>
    <x v="7"/>
    <n v="1"/>
    <n v="1811.33"/>
    <n v="0.1"/>
    <n v="1630.2"/>
    <n v="956.78"/>
    <n v="673.42"/>
    <x v="4"/>
    <n v="0.41309041835357618"/>
    <x v="0"/>
    <x v="7"/>
    <x v="7"/>
    <s v="Q3"/>
  </r>
  <r>
    <s v="ORD101525"/>
    <x v="209"/>
    <s v="CUST1082"/>
    <s v="Ananya Nair"/>
    <x v="2"/>
    <s v="Karnataka"/>
    <s v="Hubballi"/>
    <x v="3"/>
    <s v="Kitchen"/>
    <x v="13"/>
    <n v="1"/>
    <n v="3484.17"/>
    <n v="0.05"/>
    <n v="3309.96"/>
    <n v="2040.82"/>
    <n v="1269.1400000000001"/>
    <x v="1"/>
    <n v="0.38343061547571572"/>
    <x v="0"/>
    <x v="7"/>
    <x v="7"/>
    <s v="Q3"/>
  </r>
  <r>
    <s v="ORD102180"/>
    <x v="209"/>
    <s v="CUST1191"/>
    <s v="Arjun Iyer"/>
    <x v="2"/>
    <s v="Tamil Nadu"/>
    <s v="Chennai"/>
    <x v="3"/>
    <s v="Cleaning"/>
    <x v="15"/>
    <n v="1"/>
    <n v="7410.27"/>
    <n v="0.1"/>
    <n v="6669.24"/>
    <n v="4675.7299999999996"/>
    <n v="1993.51"/>
    <x v="0"/>
    <n v="0.29891112030756128"/>
    <x v="0"/>
    <x v="7"/>
    <x v="7"/>
    <s v="Q3"/>
  </r>
  <r>
    <s v="ORD101018"/>
    <x v="209"/>
    <s v="CUST1210"/>
    <s v="Aditya Malhotra"/>
    <x v="2"/>
    <s v="Karnataka"/>
    <s v="Hubballi"/>
    <x v="2"/>
    <s v="Office"/>
    <x v="14"/>
    <n v="3"/>
    <n v="8458.48"/>
    <n v="0.05"/>
    <n v="24106.67"/>
    <n v="17455.27"/>
    <n v="6651.4"/>
    <x v="3"/>
    <n v="0.27591533795418449"/>
    <x v="0"/>
    <x v="7"/>
    <x v="7"/>
    <s v="Q3"/>
  </r>
  <r>
    <s v="ORD101360"/>
    <x v="210"/>
    <s v="CUST1625"/>
    <s v="Kavya Das"/>
    <x v="2"/>
    <s v="Telangana"/>
    <s v="Warangal"/>
    <x v="1"/>
    <s v="Stationery"/>
    <x v="17"/>
    <n v="1"/>
    <n v="296.52999999999997"/>
    <n v="0.1"/>
    <n v="266.88"/>
    <n v="121.59"/>
    <n v="145.29"/>
    <x v="2"/>
    <n v="0.54440197841726612"/>
    <x v="0"/>
    <x v="7"/>
    <x v="7"/>
    <s v="Q3"/>
  </r>
  <r>
    <s v="ORD101052"/>
    <x v="210"/>
    <s v="CUST1607"/>
    <s v="Meera Kumar"/>
    <x v="2"/>
    <s v="Telangana"/>
    <s v="Nizamabad"/>
    <x v="3"/>
    <s v="Kitchen"/>
    <x v="13"/>
    <n v="6"/>
    <n v="3108.11"/>
    <n v="0.05"/>
    <n v="17716.23"/>
    <n v="10576.38"/>
    <n v="7139.85"/>
    <x v="0"/>
    <n v="0.40301181459035018"/>
    <x v="0"/>
    <x v="7"/>
    <x v="7"/>
    <s v="Q3"/>
  </r>
  <r>
    <s v="ORD101703"/>
    <x v="210"/>
    <s v="CUST1282"/>
    <s v="Aarav Kumar"/>
    <x v="0"/>
    <s v="Maharashtra"/>
    <s v="Mumbai"/>
    <x v="1"/>
    <s v="Stationery"/>
    <x v="1"/>
    <n v="5"/>
    <n v="234.65"/>
    <n v="0.05"/>
    <n v="1114.5899999999999"/>
    <n v="433.05"/>
    <n v="681.54"/>
    <x v="1"/>
    <n v="0.61147148278739272"/>
    <x v="0"/>
    <x v="7"/>
    <x v="7"/>
    <s v="Q3"/>
  </r>
  <r>
    <s v="ORD101354"/>
    <x v="210"/>
    <s v="CUST1317"/>
    <s v="Sneha Sharma"/>
    <x v="2"/>
    <s v="Tamil Nadu"/>
    <s v="Madurai"/>
    <x v="2"/>
    <s v="Living Room"/>
    <x v="16"/>
    <n v="2"/>
    <n v="4184.05"/>
    <n v="0.1"/>
    <n v="7531.29"/>
    <n v="5188.28"/>
    <n v="2343.0100000000002"/>
    <x v="4"/>
    <n v="0.31110340990720048"/>
    <x v="0"/>
    <x v="7"/>
    <x v="7"/>
    <s v="Q3"/>
  </r>
  <r>
    <s v="ORD100246"/>
    <x v="211"/>
    <s v="CUST1466"/>
    <s v="Sneha Gupta"/>
    <x v="2"/>
    <s v="Karnataka"/>
    <s v="Mysuru"/>
    <x v="0"/>
    <s v="Audio"/>
    <x v="8"/>
    <n v="3"/>
    <n v="2946.9"/>
    <n v="0.05"/>
    <n v="8398.67"/>
    <n v="4541.58"/>
    <n v="3857.09"/>
    <x v="0"/>
    <n v="0.45925009555084317"/>
    <x v="0"/>
    <x v="7"/>
    <x v="7"/>
    <s v="Q3"/>
  </r>
  <r>
    <s v="ORD100846"/>
    <x v="211"/>
    <s v="CUST1106"/>
    <s v="Neha Iyer"/>
    <x v="2"/>
    <s v="Tamil Nadu"/>
    <s v="Coimbatore"/>
    <x v="2"/>
    <s v="Office"/>
    <x v="14"/>
    <n v="1"/>
    <n v="8254.83"/>
    <n v="0.05"/>
    <n v="7842.09"/>
    <n v="5534.67"/>
    <n v="2307.42"/>
    <x v="2"/>
    <n v="0.29423533777347621"/>
    <x v="0"/>
    <x v="7"/>
    <x v="7"/>
    <s v="Q3"/>
  </r>
  <r>
    <s v="ORD102241"/>
    <x v="211"/>
    <s v="CUST1282"/>
    <s v="Neha Sharma"/>
    <x v="3"/>
    <s v="West Bengal"/>
    <s v="Durgapur"/>
    <x v="2"/>
    <s v="Office"/>
    <x v="14"/>
    <n v="3"/>
    <n v="8281.35"/>
    <n v="0.05"/>
    <n v="23601.85"/>
    <n v="17354.939999999999"/>
    <n v="6246.91"/>
    <x v="0"/>
    <n v="0.26467882814270921"/>
    <x v="0"/>
    <x v="7"/>
    <x v="7"/>
    <s v="Q3"/>
  </r>
  <r>
    <s v="ORD101188"/>
    <x v="211"/>
    <s v="CUST1430"/>
    <s v="Pooja Sharma"/>
    <x v="2"/>
    <s v="Telangana"/>
    <s v="Nizamabad"/>
    <x v="1"/>
    <s v="Storage"/>
    <x v="9"/>
    <n v="1"/>
    <n v="507.02"/>
    <n v="0"/>
    <n v="507.02"/>
    <n v="234.89"/>
    <n v="272.13"/>
    <x v="3"/>
    <n v="0.53672438957043112"/>
    <x v="0"/>
    <x v="7"/>
    <x v="7"/>
    <s v="Q3"/>
  </r>
  <r>
    <s v="ORD100808"/>
    <x v="212"/>
    <s v="CUST1231"/>
    <s v="Kavya Verma"/>
    <x v="2"/>
    <s v="Karnataka"/>
    <s v="Mysuru"/>
    <x v="0"/>
    <s v="Audio"/>
    <x v="8"/>
    <n v="5"/>
    <n v="2935.93"/>
    <n v="0"/>
    <n v="14679.65"/>
    <n v="7650.79"/>
    <n v="7028.86"/>
    <x v="0"/>
    <n v="0.47881659303866242"/>
    <x v="0"/>
    <x v="7"/>
    <x v="7"/>
    <s v="Q3"/>
  </r>
  <r>
    <s v="ORD101627"/>
    <x v="212"/>
    <s v="CUST1434"/>
    <s v="Meera Rao"/>
    <x v="2"/>
    <s v="Telangana"/>
    <s v="Karimnagar"/>
    <x v="1"/>
    <s v="Storage"/>
    <x v="9"/>
    <n v="4"/>
    <n v="509.64"/>
    <n v="0"/>
    <n v="2038.56"/>
    <n v="905.77"/>
    <n v="1132.79"/>
    <x v="0"/>
    <n v="0.55568146142375008"/>
    <x v="0"/>
    <x v="7"/>
    <x v="7"/>
    <s v="Q3"/>
  </r>
  <r>
    <s v="ORD101931"/>
    <x v="212"/>
    <s v="CUST1080"/>
    <s v="Pooja Nair"/>
    <x v="2"/>
    <s v="Telangana"/>
    <s v="Warangal"/>
    <x v="1"/>
    <s v="Stationery"/>
    <x v="17"/>
    <n v="2"/>
    <n v="298.17"/>
    <n v="0.15"/>
    <n v="506.89"/>
    <n v="243.53"/>
    <n v="263.36"/>
    <x v="3"/>
    <n v="0.51956045690386476"/>
    <x v="0"/>
    <x v="7"/>
    <x v="7"/>
    <s v="Q3"/>
  </r>
  <r>
    <s v="ORD101045"/>
    <x v="212"/>
    <s v="CUST1095"/>
    <s v="Kiran Singh"/>
    <x v="2"/>
    <s v="Tamil Nadu"/>
    <s v="Chennai"/>
    <x v="3"/>
    <s v="Kitchen"/>
    <x v="13"/>
    <n v="4"/>
    <n v="3169.15"/>
    <n v="0.1"/>
    <n v="11408.94"/>
    <n v="7220.33"/>
    <n v="4188.6099999999997"/>
    <x v="1"/>
    <n v="0.36713401946193069"/>
    <x v="0"/>
    <x v="7"/>
    <x v="7"/>
    <s v="Q3"/>
  </r>
  <r>
    <s v="ORD101100"/>
    <x v="212"/>
    <s v="CUST1542"/>
    <s v="Aisha Das"/>
    <x v="2"/>
    <s v="Telangana"/>
    <s v="Nizamabad"/>
    <x v="3"/>
    <s v="Kitchen"/>
    <x v="7"/>
    <n v="1"/>
    <n v="1815.63"/>
    <n v="0.1"/>
    <n v="1634.07"/>
    <n v="972.57"/>
    <n v="661.5"/>
    <x v="0"/>
    <n v="0.40481741908241392"/>
    <x v="0"/>
    <x v="7"/>
    <x v="7"/>
    <s v="Q3"/>
  </r>
  <r>
    <s v="ORD100428"/>
    <x v="212"/>
    <s v="CUST1041"/>
    <s v="Neha Joshi"/>
    <x v="0"/>
    <s v="Maharashtra"/>
    <s v="Mumbai"/>
    <x v="0"/>
    <s v="Accessories"/>
    <x v="5"/>
    <n v="6"/>
    <n v="2473.7199999999998"/>
    <n v="0.1"/>
    <n v="13358.09"/>
    <n v="8221.41"/>
    <n v="5136.68"/>
    <x v="0"/>
    <n v="0.38453701090500209"/>
    <x v="0"/>
    <x v="7"/>
    <x v="7"/>
    <s v="Q3"/>
  </r>
  <r>
    <s v="ORD100282"/>
    <x v="213"/>
    <s v="CUST1387"/>
    <s v="Diya Malhotra"/>
    <x v="2"/>
    <s v="Telangana"/>
    <s v="Hyderabad"/>
    <x v="0"/>
    <s v="Accessories"/>
    <x v="5"/>
    <n v="3"/>
    <n v="2456.7800000000002"/>
    <n v="0.15"/>
    <n v="6264.79"/>
    <n v="3895.09"/>
    <n v="2369.6999999999998"/>
    <x v="0"/>
    <n v="0.37825689288866821"/>
    <x v="0"/>
    <x v="7"/>
    <x v="7"/>
    <s v="Q3"/>
  </r>
  <r>
    <s v="ORD101824"/>
    <x v="213"/>
    <s v="CUST1622"/>
    <s v="Sneha Gupta"/>
    <x v="2"/>
    <s v="Karnataka"/>
    <s v="Bengaluru"/>
    <x v="1"/>
    <s v="Storage"/>
    <x v="9"/>
    <n v="2"/>
    <n v="478.42"/>
    <n v="0.05"/>
    <n v="909"/>
    <n v="433.8"/>
    <n v="475.2"/>
    <x v="3"/>
    <n v="0.52277227722772279"/>
    <x v="0"/>
    <x v="7"/>
    <x v="7"/>
    <s v="Q3"/>
  </r>
  <r>
    <s v="ORD100651"/>
    <x v="213"/>
    <s v="CUST1310"/>
    <s v="Nikhil Joshi"/>
    <x v="3"/>
    <s v="West Bengal"/>
    <s v="Siliguri"/>
    <x v="3"/>
    <s v="Cleaning"/>
    <x v="15"/>
    <n v="1"/>
    <n v="7778.47"/>
    <n v="0.2"/>
    <n v="6222.78"/>
    <n v="4992.5600000000004"/>
    <n v="1230.22"/>
    <x v="0"/>
    <n v="0.19769620651863001"/>
    <x v="0"/>
    <x v="7"/>
    <x v="7"/>
    <s v="Q3"/>
  </r>
  <r>
    <s v="ORD100676"/>
    <x v="214"/>
    <s v="CUST1584"/>
    <s v="Priya Das"/>
    <x v="0"/>
    <s v="Maharashtra"/>
    <s v="Mumbai"/>
    <x v="3"/>
    <s v="Cleaning"/>
    <x v="15"/>
    <n v="2"/>
    <n v="7625.29"/>
    <n v="0.1"/>
    <n v="13725.52"/>
    <n v="10141.07"/>
    <n v="3584.45"/>
    <x v="0"/>
    <n v="0.26115221864089672"/>
    <x v="0"/>
    <x v="7"/>
    <x v="7"/>
    <s v="Q3"/>
  </r>
  <r>
    <s v="ORD101010"/>
    <x v="214"/>
    <s v="CUST1348"/>
    <s v="Rahul Sharma"/>
    <x v="0"/>
    <s v="Maharashtra"/>
    <s v="Nagpur"/>
    <x v="0"/>
    <s v="Computers"/>
    <x v="0"/>
    <n v="3"/>
    <n v="59594.19"/>
    <n v="0"/>
    <n v="178782.57"/>
    <n v="155586.69"/>
    <n v="23195.88"/>
    <x v="4"/>
    <n v="0.129743520299546"/>
    <x v="0"/>
    <x v="7"/>
    <x v="7"/>
    <s v="Q3"/>
  </r>
  <r>
    <s v="ORD100623"/>
    <x v="214"/>
    <s v="CUST1256"/>
    <s v="Meera Malhotra"/>
    <x v="0"/>
    <s v="Maharashtra"/>
    <s v="Nagpur"/>
    <x v="3"/>
    <s v="Kitchen"/>
    <x v="7"/>
    <n v="3"/>
    <n v="1787.85"/>
    <n v="0.05"/>
    <n v="5095.37"/>
    <n v="2980.35"/>
    <n v="2115.02"/>
    <x v="2"/>
    <n v="0.41508663747676811"/>
    <x v="0"/>
    <x v="7"/>
    <x v="7"/>
    <s v="Q3"/>
  </r>
  <r>
    <s v="ORD100776"/>
    <x v="214"/>
    <s v="CUST1523"/>
    <s v="Aisha Malhotra"/>
    <x v="2"/>
    <s v="Telangana"/>
    <s v="Karimnagar"/>
    <x v="3"/>
    <s v="Kitchen"/>
    <x v="7"/>
    <n v="2"/>
    <n v="1840.66"/>
    <n v="0.05"/>
    <n v="3497.25"/>
    <n v="1977.54"/>
    <n v="1519.71"/>
    <x v="0"/>
    <n v="0.43454428479519619"/>
    <x v="0"/>
    <x v="7"/>
    <x v="7"/>
    <s v="Q3"/>
  </r>
  <r>
    <s v="ORD101907"/>
    <x v="215"/>
    <s v="CUST1246"/>
    <s v="Rahul Mehta"/>
    <x v="0"/>
    <s v="Maharashtra"/>
    <s v="Nagpur"/>
    <x v="1"/>
    <s v="Stationery"/>
    <x v="1"/>
    <n v="3"/>
    <n v="249.96"/>
    <n v="0.1"/>
    <n v="674.89"/>
    <n v="295.24"/>
    <n v="379.65"/>
    <x v="0"/>
    <n v="0.56253611699684392"/>
    <x v="0"/>
    <x v="7"/>
    <x v="7"/>
    <s v="Q3"/>
  </r>
  <r>
    <s v="ORD100608"/>
    <x v="215"/>
    <s v="CUST1477"/>
    <s v="Vikram Rao"/>
    <x v="2"/>
    <s v="Tamil Nadu"/>
    <s v="Salem"/>
    <x v="3"/>
    <s v="Cleaning"/>
    <x v="12"/>
    <n v="5"/>
    <n v="12866.58"/>
    <n v="0"/>
    <n v="64332.9"/>
    <n v="46871.25"/>
    <n v="17461.650000000001"/>
    <x v="1"/>
    <n v="0.27142643965995628"/>
    <x v="0"/>
    <x v="7"/>
    <x v="7"/>
    <s v="Q3"/>
  </r>
  <r>
    <s v="ORD100714"/>
    <x v="215"/>
    <s v="CUST1317"/>
    <s v="Pooja Patel"/>
    <x v="3"/>
    <s v="West Bengal"/>
    <s v="Siliguri"/>
    <x v="2"/>
    <s v="Office"/>
    <x v="10"/>
    <n v="1"/>
    <n v="6858.25"/>
    <n v="0.05"/>
    <n v="6515.34"/>
    <n v="4519.21"/>
    <n v="1996.13"/>
    <x v="0"/>
    <n v="0.30637388071842758"/>
    <x v="0"/>
    <x v="7"/>
    <x v="7"/>
    <s v="Q3"/>
  </r>
  <r>
    <s v="ORD101466"/>
    <x v="216"/>
    <s v="CUST1518"/>
    <s v="Aditya Reddy"/>
    <x v="3"/>
    <s v="West Bengal"/>
    <s v="Durgapur"/>
    <x v="1"/>
    <s v="Storage"/>
    <x v="9"/>
    <n v="2"/>
    <n v="482.7"/>
    <n v="0.15"/>
    <n v="820.59"/>
    <n v="431.01"/>
    <n v="389.58"/>
    <x v="1"/>
    <n v="0.47475596826673488"/>
    <x v="0"/>
    <x v="7"/>
    <x v="7"/>
    <s v="Q3"/>
  </r>
  <r>
    <s v="ORD101383"/>
    <x v="216"/>
    <s v="CUST1636"/>
    <s v="Neha Gupta"/>
    <x v="2"/>
    <s v="Telangana"/>
    <s v="Hyderabad"/>
    <x v="1"/>
    <s v="Stationery"/>
    <x v="17"/>
    <n v="3"/>
    <n v="285.17"/>
    <n v="0.15"/>
    <n v="727.18"/>
    <n v="362.81"/>
    <n v="364.37"/>
    <x v="1"/>
    <n v="0.50107263676118707"/>
    <x v="0"/>
    <x v="7"/>
    <x v="7"/>
    <s v="Q3"/>
  </r>
  <r>
    <s v="ORD100730"/>
    <x v="216"/>
    <s v="CUST1364"/>
    <s v="Sneha Kumar"/>
    <x v="2"/>
    <s v="Tamil Nadu"/>
    <s v="Madurai"/>
    <x v="0"/>
    <s v="Audio"/>
    <x v="11"/>
    <n v="2"/>
    <n v="2000.42"/>
    <n v="0.2"/>
    <n v="3200.67"/>
    <n v="2320.1799999999998"/>
    <n v="880.49"/>
    <x v="0"/>
    <n v="0.27509552687406069"/>
    <x v="0"/>
    <x v="7"/>
    <x v="7"/>
    <s v="Q3"/>
  </r>
  <r>
    <s v="ORD101563"/>
    <x v="216"/>
    <s v="CUST1193"/>
    <s v="Ishaan Patel"/>
    <x v="1"/>
    <s v="Delhi"/>
    <s v="Delhi"/>
    <x v="0"/>
    <s v="Accessories"/>
    <x v="6"/>
    <n v="3"/>
    <n v="751.42"/>
    <n v="0.05"/>
    <n v="2141.5500000000002"/>
    <n v="1453.25"/>
    <n v="688.3"/>
    <x v="1"/>
    <n v="0.32140272232728628"/>
    <x v="0"/>
    <x v="7"/>
    <x v="7"/>
    <s v="Q3"/>
  </r>
  <r>
    <s v="ORD101155"/>
    <x v="217"/>
    <s v="CUST1223"/>
    <s v="Diya Kumar"/>
    <x v="2"/>
    <s v="Karnataka"/>
    <s v="Hubballi"/>
    <x v="3"/>
    <s v="Kitchen"/>
    <x v="13"/>
    <n v="2"/>
    <n v="3123.02"/>
    <n v="0.1"/>
    <n v="5621.44"/>
    <n v="3693.23"/>
    <n v="1928.21"/>
    <x v="0"/>
    <n v="0.34300997609153527"/>
    <x v="0"/>
    <x v="7"/>
    <x v="7"/>
    <s v="Q3"/>
  </r>
  <r>
    <s v="ORD100500"/>
    <x v="217"/>
    <s v="CUST1014"/>
    <s v="Aisha Kumar"/>
    <x v="1"/>
    <s v="Delhi"/>
    <s v="New Delhi"/>
    <x v="2"/>
    <s v="Living Room"/>
    <x v="4"/>
    <n v="2"/>
    <n v="4857.03"/>
    <n v="0.1"/>
    <n v="8742.65"/>
    <n v="6093.62"/>
    <n v="2649.03"/>
    <x v="1"/>
    <n v="0.30300080639165472"/>
    <x v="0"/>
    <x v="7"/>
    <x v="7"/>
    <s v="Q3"/>
  </r>
  <r>
    <s v="ORD101783"/>
    <x v="217"/>
    <s v="CUST1604"/>
    <s v="Ishaan Naidu"/>
    <x v="2"/>
    <s v="Tamil Nadu"/>
    <s v="Salem"/>
    <x v="2"/>
    <s v="Office"/>
    <x v="14"/>
    <n v="5"/>
    <n v="8989.4599999999991"/>
    <n v="0"/>
    <n v="44947.3"/>
    <n v="31385.56"/>
    <n v="13561.74"/>
    <x v="1"/>
    <n v="0.30172535391447308"/>
    <x v="0"/>
    <x v="7"/>
    <x v="7"/>
    <s v="Q3"/>
  </r>
  <r>
    <s v="ORD100587"/>
    <x v="217"/>
    <s v="CUST1361"/>
    <s v="Diya Patel"/>
    <x v="1"/>
    <s v="Delhi"/>
    <s v="New Delhi"/>
    <x v="1"/>
    <s v="Stationery"/>
    <x v="1"/>
    <n v="1"/>
    <n v="244"/>
    <n v="0.05"/>
    <n v="231.8"/>
    <n v="93.71"/>
    <n v="138.09"/>
    <x v="0"/>
    <n v="0.59572907679033649"/>
    <x v="0"/>
    <x v="7"/>
    <x v="7"/>
    <s v="Q3"/>
  </r>
  <r>
    <s v="ORD101443"/>
    <x v="218"/>
    <s v="CUST1257"/>
    <s v="Ishaan Rao"/>
    <x v="3"/>
    <s v="West Bengal"/>
    <s v="Kolkata"/>
    <x v="3"/>
    <s v="Kitchen"/>
    <x v="13"/>
    <n v="4"/>
    <n v="3286.65"/>
    <n v="0.05"/>
    <n v="12489.27"/>
    <n v="7468.86"/>
    <n v="5020.41"/>
    <x v="0"/>
    <n v="0.40197785779312961"/>
    <x v="0"/>
    <x v="7"/>
    <x v="7"/>
    <s v="Q3"/>
  </r>
  <r>
    <s v="ORD100750"/>
    <x v="218"/>
    <s v="CUST1633"/>
    <s v="Rahul Das"/>
    <x v="2"/>
    <s v="Tamil Nadu"/>
    <s v="Chennai"/>
    <x v="0"/>
    <s v="Audio"/>
    <x v="8"/>
    <n v="2"/>
    <n v="3136.17"/>
    <n v="0.1"/>
    <n v="5645.11"/>
    <n v="3144.62"/>
    <n v="2500.4899999999998"/>
    <x v="0"/>
    <n v="0.44294796735581771"/>
    <x v="0"/>
    <x v="7"/>
    <x v="7"/>
    <s v="Q3"/>
  </r>
  <r>
    <s v="ORD101658"/>
    <x v="218"/>
    <s v="CUST1322"/>
    <s v="Kavya Naidu"/>
    <x v="2"/>
    <s v="Tamil Nadu"/>
    <s v="Coimbatore"/>
    <x v="0"/>
    <s v="Computers"/>
    <x v="3"/>
    <n v="1"/>
    <n v="15993.24"/>
    <n v="0"/>
    <n v="15993.24"/>
    <n v="11696.01"/>
    <n v="4297.2299999999996"/>
    <x v="3"/>
    <n v="0.26869039669260258"/>
    <x v="0"/>
    <x v="7"/>
    <x v="7"/>
    <s v="Q3"/>
  </r>
  <r>
    <s v="ORD100932"/>
    <x v="218"/>
    <s v="CUST1279"/>
    <s v="Neha Iyer"/>
    <x v="2"/>
    <s v="Tamil Nadu"/>
    <s v="Salem"/>
    <x v="3"/>
    <s v="Cleaning"/>
    <x v="15"/>
    <n v="6"/>
    <n v="7094.92"/>
    <n v="0.15"/>
    <n v="36184.089999999997"/>
    <n v="28621.53"/>
    <n v="7562.56"/>
    <x v="2"/>
    <n v="0.2090023543496603"/>
    <x v="0"/>
    <x v="7"/>
    <x v="7"/>
    <s v="Q3"/>
  </r>
  <r>
    <s v="ORD100183"/>
    <x v="219"/>
    <s v="CUST1560"/>
    <s v="Priya Nair"/>
    <x v="3"/>
    <s v="West Bengal"/>
    <s v="Siliguri"/>
    <x v="0"/>
    <s v="Audio"/>
    <x v="8"/>
    <n v="1"/>
    <n v="2976.98"/>
    <n v="0"/>
    <n v="2976.98"/>
    <n v="1523.63"/>
    <n v="1453.35"/>
    <x v="1"/>
    <n v="0.48819609134088898"/>
    <x v="0"/>
    <x v="7"/>
    <x v="7"/>
    <s v="Q3"/>
  </r>
  <r>
    <s v="ORD101399"/>
    <x v="219"/>
    <s v="CUST1081"/>
    <s v="Aarav Patel"/>
    <x v="0"/>
    <s v="Maharashtra"/>
    <s v="Nashik"/>
    <x v="1"/>
    <s v="Storage"/>
    <x v="2"/>
    <n v="2"/>
    <n v="666.08"/>
    <n v="0.2"/>
    <n v="1065.73"/>
    <n v="640.94000000000005"/>
    <n v="424.79"/>
    <x v="0"/>
    <n v="0.39859063740346989"/>
    <x v="0"/>
    <x v="7"/>
    <x v="7"/>
    <s v="Q3"/>
  </r>
  <r>
    <s v="ORD100736"/>
    <x v="219"/>
    <s v="CUST1233"/>
    <s v="Kavya Nair"/>
    <x v="3"/>
    <s v="West Bengal"/>
    <s v="Durgapur"/>
    <x v="1"/>
    <s v="Stationery"/>
    <x v="1"/>
    <n v="2"/>
    <n v="240.18"/>
    <n v="0.15"/>
    <n v="408.31"/>
    <n v="181.51"/>
    <n v="226.8"/>
    <x v="3"/>
    <n v="0.55546031201782964"/>
    <x v="0"/>
    <x v="7"/>
    <x v="7"/>
    <s v="Q3"/>
  </r>
  <r>
    <s v="ORD102294"/>
    <x v="219"/>
    <s v="CUST1039"/>
    <s v="Arjun Joshi"/>
    <x v="3"/>
    <s v="West Bengal"/>
    <s v="Kolkata"/>
    <x v="3"/>
    <s v="Kitchen"/>
    <x v="13"/>
    <n v="2"/>
    <n v="3482.96"/>
    <n v="0.05"/>
    <n v="6617.62"/>
    <n v="3969.51"/>
    <n v="2648.11"/>
    <x v="0"/>
    <n v="0.40016048065618759"/>
    <x v="0"/>
    <x v="7"/>
    <x v="7"/>
    <s v="Q3"/>
  </r>
  <r>
    <s v="ORD100854"/>
    <x v="220"/>
    <s v="CUST1292"/>
    <s v="Priya Nair"/>
    <x v="0"/>
    <s v="Maharashtra"/>
    <s v="Nagpur"/>
    <x v="2"/>
    <s v="Living Room"/>
    <x v="16"/>
    <n v="4"/>
    <n v="4017.09"/>
    <n v="0.1"/>
    <n v="14461.52"/>
    <n v="9757.7099999999991"/>
    <n v="4703.8100000000004"/>
    <x v="1"/>
    <n v="0.32526387267728429"/>
    <x v="0"/>
    <x v="7"/>
    <x v="7"/>
    <s v="Q3"/>
  </r>
  <r>
    <s v="ORD102206"/>
    <x v="220"/>
    <s v="CUST1070"/>
    <s v="Kavya Rao"/>
    <x v="2"/>
    <s v="Telangana"/>
    <s v="Warangal"/>
    <x v="3"/>
    <s v="Cleaning"/>
    <x v="12"/>
    <n v="2"/>
    <n v="12857.06"/>
    <n v="0.15"/>
    <n v="21857"/>
    <n v="18287.09"/>
    <n v="3569.91"/>
    <x v="0"/>
    <n v="0.16333028320446541"/>
    <x v="0"/>
    <x v="7"/>
    <x v="7"/>
    <s v="Q3"/>
  </r>
  <r>
    <s v="ORD101723"/>
    <x v="221"/>
    <s v="CUST1282"/>
    <s v="Kiran Patel"/>
    <x v="0"/>
    <s v="Maharashtra"/>
    <s v="Nagpur"/>
    <x v="0"/>
    <s v="Audio"/>
    <x v="11"/>
    <n v="5"/>
    <n v="2051.83"/>
    <n v="0.1"/>
    <n v="9233.24"/>
    <n v="6022.72"/>
    <n v="3210.52"/>
    <x v="3"/>
    <n v="0.34771326208351572"/>
    <x v="0"/>
    <x v="7"/>
    <x v="7"/>
    <s v="Q3"/>
  </r>
  <r>
    <s v="ORD100813"/>
    <x v="221"/>
    <s v="CUST1526"/>
    <s v="Aisha Iyer"/>
    <x v="1"/>
    <s v="Delhi"/>
    <s v="Delhi"/>
    <x v="3"/>
    <s v="Kitchen"/>
    <x v="7"/>
    <n v="2"/>
    <n v="1851.97"/>
    <n v="0.15"/>
    <n v="3148.35"/>
    <n v="2049.48"/>
    <n v="1098.8699999999999"/>
    <x v="1"/>
    <n v="0.3490304445185573"/>
    <x v="0"/>
    <x v="7"/>
    <x v="7"/>
    <s v="Q3"/>
  </r>
  <r>
    <s v="ORD101414"/>
    <x v="221"/>
    <s v="CUST1650"/>
    <s v="Aarav Nair"/>
    <x v="2"/>
    <s v="Tamil Nadu"/>
    <s v="Coimbatore"/>
    <x v="0"/>
    <s v="Accessories"/>
    <x v="6"/>
    <n v="5"/>
    <n v="788.56"/>
    <n v="0"/>
    <n v="3942.8"/>
    <n v="2357.3200000000002"/>
    <n v="1585.48"/>
    <x v="2"/>
    <n v="0.40212032058435632"/>
    <x v="0"/>
    <x v="7"/>
    <x v="7"/>
    <s v="Q3"/>
  </r>
  <r>
    <s v="ORD101802"/>
    <x v="222"/>
    <s v="CUST1271"/>
    <s v="Pooja Naidu"/>
    <x v="3"/>
    <s v="West Bengal"/>
    <s v="Kolkata"/>
    <x v="0"/>
    <s v="Computers"/>
    <x v="3"/>
    <n v="3"/>
    <n v="15738.82"/>
    <n v="0.15"/>
    <n v="40133.99"/>
    <n v="36082.26"/>
    <n v="4051.73"/>
    <x v="1"/>
    <n v="0.10095507573505649"/>
    <x v="0"/>
    <x v="7"/>
    <x v="7"/>
    <s v="Q3"/>
  </r>
  <r>
    <s v="ORD100588"/>
    <x v="222"/>
    <s v="CUST1146"/>
    <s v="Varun Kumar"/>
    <x v="3"/>
    <s v="West Bengal"/>
    <s v="Durgapur"/>
    <x v="0"/>
    <s v="Accessories"/>
    <x v="6"/>
    <n v="4"/>
    <n v="785.13"/>
    <n v="0.1"/>
    <n v="2826.47"/>
    <n v="1962"/>
    <n v="864.47"/>
    <x v="2"/>
    <n v="0.3058479304574257"/>
    <x v="0"/>
    <x v="7"/>
    <x v="7"/>
    <s v="Q3"/>
  </r>
  <r>
    <s v="ORD101498"/>
    <x v="223"/>
    <s v="CUST1608"/>
    <s v="Neha Reddy"/>
    <x v="3"/>
    <s v="West Bengal"/>
    <s v="Siliguri"/>
    <x v="0"/>
    <s v="Audio"/>
    <x v="11"/>
    <n v="4"/>
    <n v="1983.67"/>
    <n v="0.1"/>
    <n v="7141.21"/>
    <n v="4656.9799999999996"/>
    <n v="2484.23"/>
    <x v="0"/>
    <n v="0.34787241937990898"/>
    <x v="0"/>
    <x v="7"/>
    <x v="7"/>
    <s v="Q3"/>
  </r>
  <r>
    <s v="ORD102455"/>
    <x v="223"/>
    <s v="CUST1454"/>
    <s v="Kavya Nair"/>
    <x v="0"/>
    <s v="Maharashtra"/>
    <s v="Mumbai"/>
    <x v="3"/>
    <s v="Cleaning"/>
    <x v="15"/>
    <n v="4"/>
    <n v="7149.33"/>
    <n v="0"/>
    <n v="28597.32"/>
    <n v="18029.52"/>
    <n v="10567.8"/>
    <x v="0"/>
    <n v="0.3695381245515314"/>
    <x v="0"/>
    <x v="7"/>
    <x v="7"/>
    <s v="Q3"/>
  </r>
  <r>
    <s v="ORD100173"/>
    <x v="224"/>
    <s v="CUST1499"/>
    <s v="Kiran Nair"/>
    <x v="2"/>
    <s v="Tamil Nadu"/>
    <s v="Chennai"/>
    <x v="1"/>
    <s v="Stationery"/>
    <x v="1"/>
    <n v="3"/>
    <n v="247.05"/>
    <n v="0.1"/>
    <n v="667.04"/>
    <n v="275.52"/>
    <n v="391.52"/>
    <x v="3"/>
    <n v="0.58695130726792999"/>
    <x v="0"/>
    <x v="7"/>
    <x v="7"/>
    <s v="Q3"/>
  </r>
  <r>
    <s v="ORD102487"/>
    <x v="224"/>
    <s v="CUST1097"/>
    <s v="Varun Iyer"/>
    <x v="2"/>
    <s v="Tamil Nadu"/>
    <s v="Coimbatore"/>
    <x v="2"/>
    <s v="Living Room"/>
    <x v="16"/>
    <n v="3"/>
    <n v="4010.06"/>
    <n v="0.15"/>
    <n v="10225.65"/>
    <n v="7366.55"/>
    <n v="2859.1"/>
    <x v="3"/>
    <n v="0.27960080777261098"/>
    <x v="0"/>
    <x v="7"/>
    <x v="7"/>
    <s v="Q3"/>
  </r>
  <r>
    <s v="ORD100153"/>
    <x v="224"/>
    <s v="CUST1326"/>
    <s v="Kiran Malhotra"/>
    <x v="2"/>
    <s v="Tamil Nadu"/>
    <s v="Madurai"/>
    <x v="2"/>
    <s v="Office"/>
    <x v="14"/>
    <n v="2"/>
    <n v="8085.58"/>
    <n v="0.05"/>
    <n v="15362.6"/>
    <n v="10702.62"/>
    <n v="4659.9799999999996"/>
    <x v="0"/>
    <n v="0.30333276919271468"/>
    <x v="0"/>
    <x v="7"/>
    <x v="7"/>
    <s v="Q3"/>
  </r>
  <r>
    <s v="ORD100024"/>
    <x v="224"/>
    <s v="CUST1632"/>
    <s v="Sneha Verma"/>
    <x v="2"/>
    <s v="Telangana"/>
    <s v="Warangal"/>
    <x v="1"/>
    <s v="Stationery"/>
    <x v="17"/>
    <n v="4"/>
    <n v="292.19"/>
    <n v="0"/>
    <n v="1168.76"/>
    <n v="501.77"/>
    <n v="666.99"/>
    <x v="0"/>
    <n v="0.57068174817755568"/>
    <x v="0"/>
    <x v="7"/>
    <x v="7"/>
    <s v="Q3"/>
  </r>
  <r>
    <s v="ORD101126"/>
    <x v="224"/>
    <s v="CUST1050"/>
    <s v="Aarav Iyer"/>
    <x v="2"/>
    <s v="Telangana"/>
    <s v="Warangal"/>
    <x v="1"/>
    <s v="Stationery"/>
    <x v="1"/>
    <n v="3"/>
    <n v="241.4"/>
    <n v="0.1"/>
    <n v="651.78"/>
    <n v="282.04000000000002"/>
    <n v="369.74"/>
    <x v="0"/>
    <n v="0.56727730215716965"/>
    <x v="0"/>
    <x v="7"/>
    <x v="7"/>
    <s v="Q3"/>
  </r>
  <r>
    <s v="ORD102151"/>
    <x v="225"/>
    <s v="CUST1266"/>
    <s v="Rahul Rao"/>
    <x v="2"/>
    <s v="Tamil Nadu"/>
    <s v="Coimbatore"/>
    <x v="0"/>
    <s v="Computers"/>
    <x v="0"/>
    <n v="3"/>
    <n v="57327.13"/>
    <n v="0"/>
    <n v="171981.39"/>
    <n v="146515.23000000001"/>
    <n v="25466.16"/>
    <x v="2"/>
    <n v="0.1480750911479434"/>
    <x v="0"/>
    <x v="7"/>
    <x v="7"/>
    <s v="Q3"/>
  </r>
  <r>
    <s v="ORD102260"/>
    <x v="225"/>
    <s v="CUST1532"/>
    <s v="Pooja Singh"/>
    <x v="1"/>
    <s v="Delhi"/>
    <s v="Delhi"/>
    <x v="0"/>
    <s v="Computers"/>
    <x v="3"/>
    <n v="3"/>
    <n v="16549.669999999998"/>
    <n v="0.05"/>
    <n v="47166.559999999998"/>
    <n v="35756.46"/>
    <n v="11410.1"/>
    <x v="3"/>
    <n v="0.24191079442723831"/>
    <x v="0"/>
    <x v="7"/>
    <x v="7"/>
    <s v="Q3"/>
  </r>
  <r>
    <s v="ORD100220"/>
    <x v="225"/>
    <s v="CUST1133"/>
    <s v="Priya Verma"/>
    <x v="0"/>
    <s v="Maharashtra"/>
    <s v="Mumbai"/>
    <x v="3"/>
    <s v="Cleaning"/>
    <x v="12"/>
    <n v="2"/>
    <n v="13560.51"/>
    <n v="0.1"/>
    <n v="24408.92"/>
    <n v="20203.45"/>
    <n v="4205.47"/>
    <x v="4"/>
    <n v="0.1722923423076482"/>
    <x v="0"/>
    <x v="7"/>
    <x v="7"/>
    <s v="Q3"/>
  </r>
  <r>
    <s v="ORD101851"/>
    <x v="225"/>
    <s v="CUST1165"/>
    <s v="Vikram Sharma"/>
    <x v="2"/>
    <s v="Karnataka"/>
    <s v="Bengaluru"/>
    <x v="1"/>
    <s v="Storage"/>
    <x v="2"/>
    <n v="3"/>
    <n v="740.33"/>
    <n v="0.15"/>
    <n v="1887.84"/>
    <n v="1036.9100000000001"/>
    <n v="850.93"/>
    <x v="1"/>
    <n v="0.45074264768200689"/>
    <x v="0"/>
    <x v="7"/>
    <x v="7"/>
    <s v="Q3"/>
  </r>
  <r>
    <s v="ORD101230"/>
    <x v="226"/>
    <s v="CUST1514"/>
    <s v="Kavya Kumar"/>
    <x v="2"/>
    <s v="Telangana"/>
    <s v="Karimnagar"/>
    <x v="0"/>
    <s v="Accessories"/>
    <x v="5"/>
    <n v="1"/>
    <n v="2491.7399999999998"/>
    <n v="0.05"/>
    <n v="2367.15"/>
    <n v="1413.8"/>
    <n v="953.35"/>
    <x v="0"/>
    <n v="0.40274169359778639"/>
    <x v="0"/>
    <x v="7"/>
    <x v="7"/>
    <s v="Q3"/>
  </r>
  <r>
    <s v="ORD102052"/>
    <x v="226"/>
    <s v="CUST1570"/>
    <s v="Aisha Sharma"/>
    <x v="2"/>
    <s v="Karnataka"/>
    <s v="Hubballi"/>
    <x v="0"/>
    <s v="Computers"/>
    <x v="3"/>
    <n v="4"/>
    <n v="15860.09"/>
    <n v="0.1"/>
    <n v="57096.32"/>
    <n v="46232.160000000003"/>
    <n v="10864.16"/>
    <x v="0"/>
    <n v="0.19027776220954351"/>
    <x v="0"/>
    <x v="7"/>
    <x v="7"/>
    <s v="Q3"/>
  </r>
  <r>
    <s v="ORD102183"/>
    <x v="226"/>
    <s v="CUST1517"/>
    <s v="Meera Sharma"/>
    <x v="1"/>
    <s v="Delhi"/>
    <s v="Delhi"/>
    <x v="1"/>
    <s v="Stationery"/>
    <x v="1"/>
    <n v="3"/>
    <n v="244.1"/>
    <n v="0.1"/>
    <n v="659.07"/>
    <n v="270.74"/>
    <n v="388.33"/>
    <x v="4"/>
    <n v="0.58920903697634541"/>
    <x v="0"/>
    <x v="7"/>
    <x v="7"/>
    <s v="Q3"/>
  </r>
  <r>
    <s v="ORD101662"/>
    <x v="226"/>
    <s v="CUST1417"/>
    <s v="Sneha Malhotra"/>
    <x v="2"/>
    <s v="Telangana"/>
    <s v="Warangal"/>
    <x v="0"/>
    <s v="Computers"/>
    <x v="0"/>
    <n v="2"/>
    <n v="58291.51"/>
    <n v="0.05"/>
    <n v="110753.87"/>
    <n v="102976.98"/>
    <n v="7776.89"/>
    <x v="0"/>
    <n v="7.0217772074239945E-2"/>
    <x v="0"/>
    <x v="7"/>
    <x v="7"/>
    <s v="Q3"/>
  </r>
  <r>
    <s v="ORD102304"/>
    <x v="226"/>
    <s v="CUST1264"/>
    <s v="Sanjana Kumar"/>
    <x v="3"/>
    <s v="West Bengal"/>
    <s v="Kolkata"/>
    <x v="1"/>
    <s v="Storage"/>
    <x v="2"/>
    <n v="3"/>
    <n v="681.52"/>
    <n v="0"/>
    <n v="2044.56"/>
    <n v="939.12"/>
    <n v="1105.44"/>
    <x v="0"/>
    <n v="0.5406737880032868"/>
    <x v="0"/>
    <x v="7"/>
    <x v="7"/>
    <s v="Q3"/>
  </r>
  <r>
    <s v="ORD100036"/>
    <x v="226"/>
    <s v="CUST1335"/>
    <s v="Aisha Joshi"/>
    <x v="3"/>
    <s v="West Bengal"/>
    <s v="Durgapur"/>
    <x v="3"/>
    <s v="Kitchen"/>
    <x v="13"/>
    <n v="3"/>
    <n v="3154.33"/>
    <n v="0.15"/>
    <n v="8043.54"/>
    <n v="5409.47"/>
    <n v="2634.07"/>
    <x v="2"/>
    <n v="0.32747645936987951"/>
    <x v="0"/>
    <x v="7"/>
    <x v="7"/>
    <s v="Q3"/>
  </r>
  <r>
    <s v="ORD100579"/>
    <x v="226"/>
    <s v="CUST1067"/>
    <s v="Rohan Malhotra"/>
    <x v="3"/>
    <s v="West Bengal"/>
    <s v="Siliguri"/>
    <x v="3"/>
    <s v="Kitchen"/>
    <x v="7"/>
    <n v="4"/>
    <n v="1835.25"/>
    <n v="0.1"/>
    <n v="6606.9"/>
    <n v="4097.46"/>
    <n v="2509.44"/>
    <x v="0"/>
    <n v="0.37982109612677661"/>
    <x v="0"/>
    <x v="7"/>
    <x v="7"/>
    <s v="Q3"/>
  </r>
  <r>
    <s v="ORD100510"/>
    <x v="226"/>
    <s v="CUST1044"/>
    <s v="Sanjana Verma"/>
    <x v="0"/>
    <s v="Maharashtra"/>
    <s v="Mumbai"/>
    <x v="1"/>
    <s v="Storage"/>
    <x v="2"/>
    <n v="4"/>
    <n v="665.6"/>
    <n v="0.15"/>
    <n v="2263.04"/>
    <n v="1295.3499999999999"/>
    <n v="967.69"/>
    <x v="4"/>
    <n v="0.42760622878959281"/>
    <x v="0"/>
    <x v="7"/>
    <x v="7"/>
    <s v="Q3"/>
  </r>
  <r>
    <s v="ORD101464"/>
    <x v="227"/>
    <s v="CUST1418"/>
    <s v="Sneha Gupta"/>
    <x v="1"/>
    <s v="Delhi"/>
    <s v="Delhi"/>
    <x v="0"/>
    <s v="Accessories"/>
    <x v="5"/>
    <n v="1"/>
    <n v="2473.17"/>
    <n v="0.1"/>
    <n v="2225.85"/>
    <n v="1397.53"/>
    <n v="828.32"/>
    <x v="0"/>
    <n v="0.37213648718467113"/>
    <x v="0"/>
    <x v="7"/>
    <x v="7"/>
    <s v="Q3"/>
  </r>
  <r>
    <s v="ORD100240"/>
    <x v="227"/>
    <s v="CUST1015"/>
    <s v="Aisha Iyer"/>
    <x v="2"/>
    <s v="Telangana"/>
    <s v="Karimnagar"/>
    <x v="2"/>
    <s v="Office"/>
    <x v="14"/>
    <n v="2"/>
    <n v="8787.44"/>
    <n v="0"/>
    <n v="17574.88"/>
    <n v="12373.89"/>
    <n v="5200.99"/>
    <x v="1"/>
    <n v="0.29593317280117981"/>
    <x v="0"/>
    <x v="7"/>
    <x v="7"/>
    <s v="Q3"/>
  </r>
  <r>
    <s v="ORD100136"/>
    <x v="228"/>
    <s v="CUST1100"/>
    <s v="Rahul Naidu"/>
    <x v="1"/>
    <s v="Delhi"/>
    <s v="New Delhi"/>
    <x v="2"/>
    <s v="Living Room"/>
    <x v="4"/>
    <n v="5"/>
    <n v="5226.3999999999996"/>
    <n v="0"/>
    <n v="26132"/>
    <n v="15425.44"/>
    <n v="10706.56"/>
    <x v="0"/>
    <n v="0.409710699525486"/>
    <x v="0"/>
    <x v="7"/>
    <x v="7"/>
    <s v="Q3"/>
  </r>
  <r>
    <s v="ORD101437"/>
    <x v="229"/>
    <s v="CUST1041"/>
    <s v="Meera Nair"/>
    <x v="2"/>
    <s v="Telangana"/>
    <s v="Warangal"/>
    <x v="0"/>
    <s v="Accessories"/>
    <x v="6"/>
    <n v="2"/>
    <n v="827.44"/>
    <n v="0"/>
    <n v="1654.88"/>
    <n v="989.53"/>
    <n v="665.35"/>
    <x v="2"/>
    <n v="0.40205332108672531"/>
    <x v="0"/>
    <x v="7"/>
    <x v="7"/>
    <s v="Q3"/>
  </r>
  <r>
    <s v="ORD100616"/>
    <x v="229"/>
    <s v="CUST1264"/>
    <s v="Pooja Das"/>
    <x v="2"/>
    <s v="Telangana"/>
    <s v="Warangal"/>
    <x v="0"/>
    <s v="Audio"/>
    <x v="8"/>
    <n v="1"/>
    <n v="3148.51"/>
    <n v="0.15"/>
    <n v="2676.23"/>
    <n v="1624.91"/>
    <n v="1051.32"/>
    <x v="1"/>
    <n v="0.39283619120927571"/>
    <x v="0"/>
    <x v="7"/>
    <x v="7"/>
    <s v="Q3"/>
  </r>
  <r>
    <s v="ORD101432"/>
    <x v="229"/>
    <s v="CUST1399"/>
    <s v="Diya Verma"/>
    <x v="2"/>
    <s v="Karnataka"/>
    <s v="Bengaluru"/>
    <x v="0"/>
    <s v="Accessories"/>
    <x v="5"/>
    <n v="1"/>
    <n v="2647.14"/>
    <n v="0.1"/>
    <n v="2382.4299999999998"/>
    <n v="1429.9"/>
    <n v="952.53"/>
    <x v="4"/>
    <n v="0.39981447513673019"/>
    <x v="0"/>
    <x v="7"/>
    <x v="7"/>
    <s v="Q3"/>
  </r>
  <r>
    <s v="ORD101818"/>
    <x v="229"/>
    <s v="CUST1217"/>
    <s v="Neha Iyer"/>
    <x v="2"/>
    <s v="Karnataka"/>
    <s v="Hubballi"/>
    <x v="2"/>
    <s v="Office"/>
    <x v="14"/>
    <n v="2"/>
    <n v="8931.0499999999993"/>
    <n v="0.1"/>
    <n v="16075.89"/>
    <n v="11918.52"/>
    <n v="4157.37"/>
    <x v="4"/>
    <n v="0.25860901013878551"/>
    <x v="0"/>
    <x v="7"/>
    <x v="7"/>
    <s v="Q3"/>
  </r>
  <r>
    <s v="ORD100238"/>
    <x v="230"/>
    <s v="CUST1424"/>
    <s v="Pooja Reddy"/>
    <x v="2"/>
    <s v="Tamil Nadu"/>
    <s v="Madurai"/>
    <x v="2"/>
    <s v="Living Room"/>
    <x v="16"/>
    <n v="1"/>
    <n v="4053.89"/>
    <n v="0"/>
    <n v="4053.89"/>
    <n v="2528.15"/>
    <n v="1525.74"/>
    <x v="0"/>
    <n v="0.37636443021394272"/>
    <x v="0"/>
    <x v="7"/>
    <x v="7"/>
    <s v="Q3"/>
  </r>
  <r>
    <s v="ORD101865"/>
    <x v="230"/>
    <s v="CUST1446"/>
    <s v="Rahul Malhotra"/>
    <x v="0"/>
    <s v="Maharashtra"/>
    <s v="Nashik"/>
    <x v="0"/>
    <s v="Accessories"/>
    <x v="6"/>
    <n v="2"/>
    <n v="846.21"/>
    <n v="0"/>
    <n v="1692.42"/>
    <n v="1086.45"/>
    <n v="605.97"/>
    <x v="1"/>
    <n v="0.35804942035664911"/>
    <x v="0"/>
    <x v="7"/>
    <x v="7"/>
    <s v="Q3"/>
  </r>
  <r>
    <s v="ORD100331"/>
    <x v="230"/>
    <s v="CUST1131"/>
    <s v="Sanjana Patel"/>
    <x v="2"/>
    <s v="Karnataka"/>
    <s v="Bengaluru"/>
    <x v="1"/>
    <s v="Stationery"/>
    <x v="1"/>
    <n v="3"/>
    <n v="239.01"/>
    <n v="0"/>
    <n v="717.03"/>
    <n v="262.55"/>
    <n v="454.48"/>
    <x v="0"/>
    <n v="0.63383679901817225"/>
    <x v="0"/>
    <x v="7"/>
    <x v="7"/>
    <s v="Q3"/>
  </r>
  <r>
    <s v="ORD100211"/>
    <x v="231"/>
    <s v="CUST1135"/>
    <s v="Rahul Mehta"/>
    <x v="1"/>
    <s v="Delhi"/>
    <s v="Delhi"/>
    <x v="1"/>
    <s v="Storage"/>
    <x v="9"/>
    <n v="3"/>
    <n v="473.72"/>
    <n v="0.15"/>
    <n v="1207.99"/>
    <n v="653.08000000000004"/>
    <n v="554.91"/>
    <x v="1"/>
    <n v="0.45936638548332348"/>
    <x v="0"/>
    <x v="7"/>
    <x v="7"/>
    <s v="Q3"/>
  </r>
  <r>
    <s v="ORD101838"/>
    <x v="231"/>
    <s v="CUST1579"/>
    <s v="Ishaan Gupta"/>
    <x v="2"/>
    <s v="Telangana"/>
    <s v="Warangal"/>
    <x v="1"/>
    <s v="Storage"/>
    <x v="2"/>
    <n v="6"/>
    <n v="674.57"/>
    <n v="0.05"/>
    <n v="3845.05"/>
    <n v="1872.59"/>
    <n v="1972.46"/>
    <x v="0"/>
    <n v="0.51298682721941191"/>
    <x v="0"/>
    <x v="7"/>
    <x v="7"/>
    <s v="Q3"/>
  </r>
  <r>
    <s v="ORD100290"/>
    <x v="231"/>
    <s v="CUST1059"/>
    <s v="Priya Naidu"/>
    <x v="0"/>
    <s v="Maharashtra"/>
    <s v="Nashik"/>
    <x v="0"/>
    <s v="Accessories"/>
    <x v="5"/>
    <n v="1"/>
    <n v="2610.85"/>
    <n v="0.1"/>
    <n v="2349.7600000000002"/>
    <n v="1456.54"/>
    <n v="893.22"/>
    <x v="0"/>
    <n v="0.38013243905760591"/>
    <x v="0"/>
    <x v="7"/>
    <x v="7"/>
    <s v="Q3"/>
  </r>
  <r>
    <s v="ORD100122"/>
    <x v="231"/>
    <s v="CUST1273"/>
    <s v="Diya Iyer"/>
    <x v="2"/>
    <s v="Tamil Nadu"/>
    <s v="Coimbatore"/>
    <x v="2"/>
    <s v="Office"/>
    <x v="10"/>
    <n v="3"/>
    <n v="7006.5"/>
    <n v="0.1"/>
    <n v="18917.55"/>
    <n v="13890.59"/>
    <n v="5026.96"/>
    <x v="0"/>
    <n v="0.26572997031856671"/>
    <x v="0"/>
    <x v="7"/>
    <x v="7"/>
    <s v="Q3"/>
  </r>
  <r>
    <s v="ORD100609"/>
    <x v="232"/>
    <s v="CUST1484"/>
    <s v="Diya Nair"/>
    <x v="2"/>
    <s v="Karnataka"/>
    <s v="Bengaluru"/>
    <x v="3"/>
    <s v="Kitchen"/>
    <x v="7"/>
    <n v="3"/>
    <n v="1871.8"/>
    <n v="0.1"/>
    <n v="5053.8599999999997"/>
    <n v="2922.39"/>
    <n v="2131.4699999999998"/>
    <x v="0"/>
    <n v="0.42175089931260462"/>
    <x v="0"/>
    <x v="7"/>
    <x v="7"/>
    <s v="Q3"/>
  </r>
  <r>
    <s v="ORD101409"/>
    <x v="232"/>
    <s v="CUST1053"/>
    <s v="Ananya Malhotra"/>
    <x v="3"/>
    <s v="West Bengal"/>
    <s v="Durgapur"/>
    <x v="0"/>
    <s v="Audio"/>
    <x v="8"/>
    <n v="4"/>
    <n v="3157.65"/>
    <n v="0.05"/>
    <n v="11999.07"/>
    <n v="6474.04"/>
    <n v="5525.03"/>
    <x v="0"/>
    <n v="0.46045485191769031"/>
    <x v="0"/>
    <x v="7"/>
    <x v="7"/>
    <s v="Q3"/>
  </r>
  <r>
    <s v="ORD100274"/>
    <x v="232"/>
    <s v="CUST1136"/>
    <s v="Ananya Kumar"/>
    <x v="3"/>
    <s v="West Bengal"/>
    <s v="Siliguri"/>
    <x v="0"/>
    <s v="Accessories"/>
    <x v="5"/>
    <n v="2"/>
    <n v="2427.85"/>
    <n v="0"/>
    <n v="4855.7"/>
    <n v="2774.48"/>
    <n v="2081.2199999999998"/>
    <x v="2"/>
    <n v="0.42861379409765837"/>
    <x v="0"/>
    <x v="7"/>
    <x v="7"/>
    <s v="Q3"/>
  </r>
  <r>
    <s v="ORD102077"/>
    <x v="233"/>
    <s v="CUST1363"/>
    <s v="Arjun Singh"/>
    <x v="2"/>
    <s v="Tamil Nadu"/>
    <s v="Madurai"/>
    <x v="3"/>
    <s v="Cleaning"/>
    <x v="15"/>
    <n v="2"/>
    <n v="7097.12"/>
    <n v="0.15"/>
    <n v="12065.1"/>
    <n v="9389.26"/>
    <n v="2675.84"/>
    <x v="0"/>
    <n v="0.2217834912267615"/>
    <x v="0"/>
    <x v="7"/>
    <x v="7"/>
    <s v="Q3"/>
  </r>
  <r>
    <s v="ORD101731"/>
    <x v="233"/>
    <s v="CUST1567"/>
    <s v="Aditya Singh"/>
    <x v="0"/>
    <s v="Maharashtra"/>
    <s v="Mumbai"/>
    <x v="3"/>
    <s v="Kitchen"/>
    <x v="13"/>
    <n v="2"/>
    <n v="3374.13"/>
    <n v="0.1"/>
    <n v="6073.43"/>
    <n v="3747.84"/>
    <n v="2325.59"/>
    <x v="0"/>
    <n v="0.38291212708469508"/>
    <x v="0"/>
    <x v="7"/>
    <x v="7"/>
    <s v="Q3"/>
  </r>
  <r>
    <s v="ORD100687"/>
    <x v="233"/>
    <s v="CUST1577"/>
    <s v="Vikram Nair"/>
    <x v="3"/>
    <s v="West Bengal"/>
    <s v="Kolkata"/>
    <x v="3"/>
    <s v="Kitchen"/>
    <x v="13"/>
    <n v="3"/>
    <n v="3139.22"/>
    <n v="0.1"/>
    <n v="8475.89"/>
    <n v="5528.68"/>
    <n v="2947.21"/>
    <x v="0"/>
    <n v="0.34771687692973841"/>
    <x v="0"/>
    <x v="7"/>
    <x v="7"/>
    <s v="Q3"/>
  </r>
  <r>
    <s v="ORD101528"/>
    <x v="233"/>
    <s v="CUST1451"/>
    <s v="Ananya Nair"/>
    <x v="2"/>
    <s v="Telangana"/>
    <s v="Nizamabad"/>
    <x v="0"/>
    <s v="Audio"/>
    <x v="8"/>
    <n v="1"/>
    <n v="3037.91"/>
    <n v="0.1"/>
    <n v="2734.12"/>
    <n v="1566.37"/>
    <n v="1167.75"/>
    <x v="0"/>
    <n v="0.42710268751920177"/>
    <x v="0"/>
    <x v="7"/>
    <x v="7"/>
    <s v="Q3"/>
  </r>
  <r>
    <s v="ORD102272"/>
    <x v="233"/>
    <s v="CUST1443"/>
    <s v="Aisha Reddy"/>
    <x v="3"/>
    <s v="West Bengal"/>
    <s v="Siliguri"/>
    <x v="3"/>
    <s v="Cleaning"/>
    <x v="12"/>
    <n v="2"/>
    <n v="12476.68"/>
    <n v="0.05"/>
    <n v="23705.69"/>
    <n v="18150.52"/>
    <n v="5555.17"/>
    <x v="4"/>
    <n v="0.23433909749094001"/>
    <x v="0"/>
    <x v="7"/>
    <x v="7"/>
    <s v="Q3"/>
  </r>
  <r>
    <s v="ORD100922"/>
    <x v="233"/>
    <s v="CUST1393"/>
    <s v="Rohan Rao"/>
    <x v="2"/>
    <s v="Telangana"/>
    <s v="Nizamabad"/>
    <x v="0"/>
    <s v="Audio"/>
    <x v="8"/>
    <n v="6"/>
    <n v="2851.49"/>
    <n v="0.1"/>
    <n v="15398.05"/>
    <n v="9034.14"/>
    <n v="6363.91"/>
    <x v="0"/>
    <n v="0.41329324167670578"/>
    <x v="0"/>
    <x v="7"/>
    <x v="7"/>
    <s v="Q3"/>
  </r>
  <r>
    <s v="ORD100525"/>
    <x v="234"/>
    <s v="CUST1475"/>
    <s v="Rohan Iyer"/>
    <x v="2"/>
    <s v="Karnataka"/>
    <s v="Mangaluru"/>
    <x v="0"/>
    <s v="Computers"/>
    <x v="0"/>
    <n v="1"/>
    <n v="55777.24"/>
    <n v="0.1"/>
    <n v="50199.519999999997"/>
    <n v="50358.2"/>
    <n v="-158.68"/>
    <x v="0"/>
    <n v="-3.1609863998699589E-3"/>
    <x v="0"/>
    <x v="8"/>
    <x v="8"/>
    <s v="Q3"/>
  </r>
  <r>
    <s v="ORD101628"/>
    <x v="234"/>
    <s v="CUST1513"/>
    <s v="Aisha Joshi"/>
    <x v="2"/>
    <s v="Tamil Nadu"/>
    <s v="Salem"/>
    <x v="0"/>
    <s v="Computers"/>
    <x v="0"/>
    <n v="1"/>
    <n v="61406.66"/>
    <n v="0.05"/>
    <n v="58336.33"/>
    <n v="55066.73"/>
    <n v="3269.6"/>
    <x v="0"/>
    <n v="5.6047406478947161E-2"/>
    <x v="0"/>
    <x v="8"/>
    <x v="8"/>
    <s v="Q3"/>
  </r>
  <r>
    <s v="ORD101747"/>
    <x v="234"/>
    <s v="CUST1646"/>
    <s v="Rohan Malhotra"/>
    <x v="2"/>
    <s v="Tamil Nadu"/>
    <s v="Coimbatore"/>
    <x v="3"/>
    <s v="Kitchen"/>
    <x v="7"/>
    <n v="3"/>
    <n v="1727.26"/>
    <n v="0"/>
    <n v="5181.78"/>
    <n v="2733.15"/>
    <n v="2448.63"/>
    <x v="0"/>
    <n v="0.47254611349767839"/>
    <x v="0"/>
    <x v="8"/>
    <x v="8"/>
    <s v="Q3"/>
  </r>
  <r>
    <s v="ORD101069"/>
    <x v="235"/>
    <s v="CUST1575"/>
    <s v="Aarav Sharma"/>
    <x v="1"/>
    <s v="Delhi"/>
    <s v="New Delhi"/>
    <x v="3"/>
    <s v="Cleaning"/>
    <x v="15"/>
    <n v="2"/>
    <n v="7154.72"/>
    <n v="0.05"/>
    <n v="13593.97"/>
    <n v="9083.3799999999992"/>
    <n v="4510.59"/>
    <x v="0"/>
    <n v="0.33180814728883468"/>
    <x v="0"/>
    <x v="8"/>
    <x v="8"/>
    <s v="Q3"/>
  </r>
  <r>
    <s v="ORD101146"/>
    <x v="235"/>
    <s v="CUST1405"/>
    <s v="Kavya Iyer"/>
    <x v="2"/>
    <s v="Tamil Nadu"/>
    <s v="Coimbatore"/>
    <x v="0"/>
    <s v="Audio"/>
    <x v="8"/>
    <n v="1"/>
    <n v="2827.79"/>
    <n v="0.1"/>
    <n v="2545.0100000000002"/>
    <n v="1432.86"/>
    <n v="1112.1500000000001"/>
    <x v="2"/>
    <n v="0.43699238902794102"/>
    <x v="0"/>
    <x v="8"/>
    <x v="8"/>
    <s v="Q3"/>
  </r>
  <r>
    <s v="ORD102216"/>
    <x v="235"/>
    <s v="CUST1342"/>
    <s v="Arjun Kumar"/>
    <x v="0"/>
    <s v="Maharashtra"/>
    <s v="Mumbai"/>
    <x v="1"/>
    <s v="Storage"/>
    <x v="9"/>
    <n v="2"/>
    <n v="516.46"/>
    <n v="0.15"/>
    <n v="877.98"/>
    <n v="476.15"/>
    <n v="401.83"/>
    <x v="1"/>
    <n v="0.45767557347547783"/>
    <x v="0"/>
    <x v="8"/>
    <x v="8"/>
    <s v="Q3"/>
  </r>
  <r>
    <s v="ORD101505"/>
    <x v="235"/>
    <s v="CUST1158"/>
    <s v="Meera Mehta"/>
    <x v="3"/>
    <s v="West Bengal"/>
    <s v="Durgapur"/>
    <x v="1"/>
    <s v="Stationery"/>
    <x v="17"/>
    <n v="3"/>
    <n v="308.98"/>
    <n v="0.15"/>
    <n v="787.9"/>
    <n v="382.13"/>
    <n v="405.77"/>
    <x v="2"/>
    <n v="0.51500190379489785"/>
    <x v="0"/>
    <x v="8"/>
    <x v="8"/>
    <s v="Q3"/>
  </r>
  <r>
    <s v="ORD101097"/>
    <x v="236"/>
    <s v="CUST1283"/>
    <s v="Ananya Singh"/>
    <x v="2"/>
    <s v="Tamil Nadu"/>
    <s v="Salem"/>
    <x v="3"/>
    <s v="Kitchen"/>
    <x v="13"/>
    <n v="4"/>
    <n v="3394.15"/>
    <n v="0"/>
    <n v="13576.6"/>
    <n v="7603.98"/>
    <n v="5972.62"/>
    <x v="2"/>
    <n v="0.43992015674027368"/>
    <x v="0"/>
    <x v="8"/>
    <x v="8"/>
    <s v="Q3"/>
  </r>
  <r>
    <s v="ORD100200"/>
    <x v="236"/>
    <s v="CUST1517"/>
    <s v="Sneha Malhotra"/>
    <x v="1"/>
    <s v="Delhi"/>
    <s v="Delhi"/>
    <x v="0"/>
    <s v="Computers"/>
    <x v="0"/>
    <n v="3"/>
    <n v="59162.48"/>
    <n v="0.1"/>
    <n v="159738.70000000001"/>
    <n v="152297.1"/>
    <n v="7441.6"/>
    <x v="1"/>
    <n v="4.6586080893358972E-2"/>
    <x v="0"/>
    <x v="8"/>
    <x v="8"/>
    <s v="Q3"/>
  </r>
  <r>
    <s v="ORD100827"/>
    <x v="236"/>
    <s v="CUST1052"/>
    <s v="Kavya Iyer"/>
    <x v="0"/>
    <s v="Maharashtra"/>
    <s v="Nashik"/>
    <x v="3"/>
    <s v="Kitchen"/>
    <x v="13"/>
    <n v="2"/>
    <n v="3307.78"/>
    <n v="0"/>
    <n v="6615.56"/>
    <n v="3800.95"/>
    <n v="2814.61"/>
    <x v="4"/>
    <n v="0.42545302287334708"/>
    <x v="0"/>
    <x v="8"/>
    <x v="8"/>
    <s v="Q3"/>
  </r>
  <r>
    <s v="ORD100012"/>
    <x v="237"/>
    <s v="CUST1626"/>
    <s v="Priya Nair"/>
    <x v="2"/>
    <s v="Tamil Nadu"/>
    <s v="Chennai"/>
    <x v="0"/>
    <s v="Computers"/>
    <x v="3"/>
    <n v="3"/>
    <n v="15207.34"/>
    <n v="0.05"/>
    <n v="43340.92"/>
    <n v="33170.870000000003"/>
    <n v="10170.049999999999"/>
    <x v="1"/>
    <n v="0.2346523793218972"/>
    <x v="0"/>
    <x v="8"/>
    <x v="8"/>
    <s v="Q3"/>
  </r>
  <r>
    <s v="ORD100293"/>
    <x v="237"/>
    <s v="CUST1373"/>
    <s v="Ananya Nair"/>
    <x v="3"/>
    <s v="West Bengal"/>
    <s v="Kolkata"/>
    <x v="0"/>
    <s v="Computers"/>
    <x v="0"/>
    <n v="4"/>
    <n v="60928.31"/>
    <n v="0.05"/>
    <n v="231527.58"/>
    <n v="219661.29"/>
    <n v="11866.29"/>
    <x v="3"/>
    <n v="5.1252166156619448E-2"/>
    <x v="0"/>
    <x v="8"/>
    <x v="8"/>
    <s v="Q3"/>
  </r>
  <r>
    <s v="ORD100251"/>
    <x v="237"/>
    <s v="CUST1190"/>
    <s v="Pooja Naidu"/>
    <x v="2"/>
    <s v="Tamil Nadu"/>
    <s v="Coimbatore"/>
    <x v="3"/>
    <s v="Cleaning"/>
    <x v="12"/>
    <n v="2"/>
    <n v="12258.38"/>
    <n v="0"/>
    <n v="24516.76"/>
    <n v="17231.400000000001"/>
    <n v="7285.36"/>
    <x v="3"/>
    <n v="0.2971583520824122"/>
    <x v="0"/>
    <x v="8"/>
    <x v="8"/>
    <s v="Q3"/>
  </r>
  <r>
    <s v="ORD100742"/>
    <x v="237"/>
    <s v="CUST1470"/>
    <s v="Nikhil Reddy"/>
    <x v="0"/>
    <s v="Maharashtra"/>
    <s v="Pune"/>
    <x v="3"/>
    <s v="Cleaning"/>
    <x v="12"/>
    <n v="1"/>
    <n v="13032.52"/>
    <n v="0.1"/>
    <n v="11729.27"/>
    <n v="9129.56"/>
    <n v="2599.71"/>
    <x v="1"/>
    <n v="0.22164294964648271"/>
    <x v="0"/>
    <x v="8"/>
    <x v="8"/>
    <s v="Q3"/>
  </r>
  <r>
    <s v="ORD102243"/>
    <x v="237"/>
    <s v="CUST1591"/>
    <s v="Aisha Patel"/>
    <x v="2"/>
    <s v="Telangana"/>
    <s v="Warangal"/>
    <x v="1"/>
    <s v="Storage"/>
    <x v="9"/>
    <n v="2"/>
    <n v="517.67999999999995"/>
    <n v="0.05"/>
    <n v="983.59"/>
    <n v="464.76"/>
    <n v="518.83000000000004"/>
    <x v="1"/>
    <n v="0.52748604601510796"/>
    <x v="0"/>
    <x v="8"/>
    <x v="8"/>
    <s v="Q3"/>
  </r>
  <r>
    <s v="ORD100069"/>
    <x v="238"/>
    <s v="CUST1649"/>
    <s v="Varun Iyer"/>
    <x v="2"/>
    <s v="Telangana"/>
    <s v="Karimnagar"/>
    <x v="2"/>
    <s v="Office"/>
    <x v="14"/>
    <n v="2"/>
    <n v="8096.13"/>
    <n v="0.1"/>
    <n v="14573.03"/>
    <n v="10921.38"/>
    <n v="3651.65"/>
    <x v="0"/>
    <n v="0.25057589259062801"/>
    <x v="0"/>
    <x v="8"/>
    <x v="8"/>
    <s v="Q3"/>
  </r>
  <r>
    <s v="ORD101128"/>
    <x v="238"/>
    <s v="CUST1556"/>
    <s v="Aarav Singh"/>
    <x v="2"/>
    <s v="Telangana"/>
    <s v="Hyderabad"/>
    <x v="1"/>
    <s v="Storage"/>
    <x v="9"/>
    <n v="1"/>
    <n v="518.45000000000005"/>
    <n v="0.05"/>
    <n v="492.53"/>
    <n v="239.08"/>
    <n v="253.45"/>
    <x v="2"/>
    <n v="0.51458794388159101"/>
    <x v="0"/>
    <x v="8"/>
    <x v="8"/>
    <s v="Q3"/>
  </r>
  <r>
    <s v="ORD102323"/>
    <x v="238"/>
    <s v="CUST1463"/>
    <s v="Ishaan Naidu"/>
    <x v="1"/>
    <s v="Delhi"/>
    <s v="Delhi"/>
    <x v="3"/>
    <s v="Cleaning"/>
    <x v="15"/>
    <n v="2"/>
    <n v="7769.82"/>
    <n v="0.05"/>
    <n v="14762.66"/>
    <n v="9794.48"/>
    <n v="4968.18"/>
    <x v="1"/>
    <n v="0.33653691136963132"/>
    <x v="0"/>
    <x v="8"/>
    <x v="8"/>
    <s v="Q3"/>
  </r>
  <r>
    <s v="ORD101591"/>
    <x v="238"/>
    <s v="CUST1560"/>
    <s v="Nikhil Sharma"/>
    <x v="2"/>
    <s v="Telangana"/>
    <s v="Karimnagar"/>
    <x v="0"/>
    <s v="Computers"/>
    <x v="3"/>
    <n v="1"/>
    <n v="16141"/>
    <n v="0.05"/>
    <n v="15333.95"/>
    <n v="12212.17"/>
    <n v="3121.78"/>
    <x v="0"/>
    <n v="0.20358616012182121"/>
    <x v="0"/>
    <x v="8"/>
    <x v="8"/>
    <s v="Q3"/>
  </r>
  <r>
    <s v="ORD102153"/>
    <x v="238"/>
    <s v="CUST1011"/>
    <s v="Nikhil Reddy"/>
    <x v="2"/>
    <s v="Karnataka"/>
    <s v="Hubballi"/>
    <x v="0"/>
    <s v="Accessories"/>
    <x v="5"/>
    <n v="6"/>
    <n v="2429.4"/>
    <n v="0.2"/>
    <n v="11661.12"/>
    <n v="7914.79"/>
    <n v="3746.33"/>
    <x v="1"/>
    <n v="0.32126673938695421"/>
    <x v="0"/>
    <x v="8"/>
    <x v="8"/>
    <s v="Q3"/>
  </r>
  <r>
    <s v="ORD101670"/>
    <x v="238"/>
    <s v="CUST1469"/>
    <s v="Sneha Nair"/>
    <x v="2"/>
    <s v="Telangana"/>
    <s v="Hyderabad"/>
    <x v="2"/>
    <s v="Office"/>
    <x v="10"/>
    <n v="3"/>
    <n v="6628.24"/>
    <n v="0.15"/>
    <n v="16902.009999999998"/>
    <n v="13023.54"/>
    <n v="3878.47"/>
    <x v="3"/>
    <n v="0.22946797451900691"/>
    <x v="0"/>
    <x v="8"/>
    <x v="8"/>
    <s v="Q3"/>
  </r>
  <r>
    <s v="ORD100079"/>
    <x v="239"/>
    <s v="CUST1504"/>
    <s v="Rohan Naidu"/>
    <x v="1"/>
    <s v="Delhi"/>
    <s v="New Delhi"/>
    <x v="1"/>
    <s v="Storage"/>
    <x v="9"/>
    <n v="3"/>
    <n v="528.86"/>
    <n v="0.15"/>
    <n v="1348.59"/>
    <n v="702.33"/>
    <n v="646.26"/>
    <x v="2"/>
    <n v="0.47921162102640541"/>
    <x v="0"/>
    <x v="8"/>
    <x v="8"/>
    <s v="Q3"/>
  </r>
  <r>
    <s v="ORD101947"/>
    <x v="240"/>
    <s v="CUST1626"/>
    <s v="Sneha Nair"/>
    <x v="0"/>
    <s v="Maharashtra"/>
    <s v="Pune"/>
    <x v="3"/>
    <s v="Kitchen"/>
    <x v="7"/>
    <n v="5"/>
    <n v="1798.31"/>
    <n v="0.15"/>
    <n v="7642.82"/>
    <n v="4780.3599999999997"/>
    <n v="2862.46"/>
    <x v="2"/>
    <n v="0.37452929677789087"/>
    <x v="0"/>
    <x v="8"/>
    <x v="8"/>
    <s v="Q3"/>
  </r>
  <r>
    <s v="ORD100900"/>
    <x v="240"/>
    <s v="CUST1251"/>
    <s v="Aisha Singh"/>
    <x v="2"/>
    <s v="Telangana"/>
    <s v="Hyderabad"/>
    <x v="0"/>
    <s v="Computers"/>
    <x v="3"/>
    <n v="3"/>
    <n v="15526.49"/>
    <n v="0.1"/>
    <n v="41921.519999999997"/>
    <n v="33715.46"/>
    <n v="8206.06"/>
    <x v="1"/>
    <n v="0.19574815035332691"/>
    <x v="0"/>
    <x v="8"/>
    <x v="8"/>
    <s v="Q3"/>
  </r>
  <r>
    <s v="ORD101641"/>
    <x v="240"/>
    <s v="CUST1514"/>
    <s v="Nikhil Das"/>
    <x v="1"/>
    <s v="Delhi"/>
    <s v="Delhi"/>
    <x v="2"/>
    <s v="Living Room"/>
    <x v="4"/>
    <n v="3"/>
    <n v="4733.95"/>
    <n v="0.05"/>
    <n v="13491.76"/>
    <n v="8865.07"/>
    <n v="4626.6899999999996"/>
    <x v="3"/>
    <n v="0.34292709031290208"/>
    <x v="0"/>
    <x v="8"/>
    <x v="8"/>
    <s v="Q3"/>
  </r>
  <r>
    <s v="ORD102296"/>
    <x v="240"/>
    <s v="CUST1554"/>
    <s v="Pooja Patel"/>
    <x v="1"/>
    <s v="Delhi"/>
    <s v="Delhi"/>
    <x v="0"/>
    <s v="Audio"/>
    <x v="8"/>
    <n v="3"/>
    <n v="2940.69"/>
    <n v="0.05"/>
    <n v="8380.9699999999993"/>
    <n v="4558.1099999999997"/>
    <n v="3822.86"/>
    <x v="0"/>
    <n v="0.45613574562371662"/>
    <x v="0"/>
    <x v="8"/>
    <x v="8"/>
    <s v="Q3"/>
  </r>
  <r>
    <s v="ORD100686"/>
    <x v="241"/>
    <s v="CUST1342"/>
    <s v="Vikram Mehta"/>
    <x v="3"/>
    <s v="West Bengal"/>
    <s v="Kolkata"/>
    <x v="0"/>
    <s v="Audio"/>
    <x v="8"/>
    <n v="2"/>
    <n v="3066.2"/>
    <n v="0"/>
    <n v="6132.4"/>
    <n v="3124.6"/>
    <n v="3007.8"/>
    <x v="1"/>
    <n v="0.4904768116887353"/>
    <x v="0"/>
    <x v="8"/>
    <x v="8"/>
    <s v="Q3"/>
  </r>
  <r>
    <s v="ORD101019"/>
    <x v="241"/>
    <s v="CUST1548"/>
    <s v="Rohan Singh"/>
    <x v="2"/>
    <s v="Tamil Nadu"/>
    <s v="Chennai"/>
    <x v="0"/>
    <s v="Audio"/>
    <x v="8"/>
    <n v="1"/>
    <n v="2995.75"/>
    <n v="0"/>
    <n v="2995.75"/>
    <n v="1565.74"/>
    <n v="1430.01"/>
    <x v="0"/>
    <n v="0.47734624050738539"/>
    <x v="0"/>
    <x v="8"/>
    <x v="8"/>
    <s v="Q3"/>
  </r>
  <r>
    <s v="ORD102356"/>
    <x v="241"/>
    <s v="CUST1012"/>
    <s v="Kavya Joshi"/>
    <x v="2"/>
    <s v="Tamil Nadu"/>
    <s v="Coimbatore"/>
    <x v="1"/>
    <s v="Storage"/>
    <x v="9"/>
    <n v="3"/>
    <n v="520.24"/>
    <n v="0.15"/>
    <n v="1326.61"/>
    <n v="687.78"/>
    <n v="638.83000000000004"/>
    <x v="0"/>
    <n v="0.48155071950309442"/>
    <x v="0"/>
    <x v="8"/>
    <x v="8"/>
    <s v="Q3"/>
  </r>
  <r>
    <s v="ORD100920"/>
    <x v="242"/>
    <s v="CUST1429"/>
    <s v="Priya Malhotra"/>
    <x v="2"/>
    <s v="Telangana"/>
    <s v="Nizamabad"/>
    <x v="1"/>
    <s v="Storage"/>
    <x v="9"/>
    <n v="1"/>
    <n v="488.12"/>
    <n v="0.1"/>
    <n v="439.31"/>
    <n v="220.6"/>
    <n v="218.71"/>
    <x v="2"/>
    <n v="0.49784889941043908"/>
    <x v="0"/>
    <x v="8"/>
    <x v="8"/>
    <s v="Q3"/>
  </r>
  <r>
    <s v="ORD100433"/>
    <x v="242"/>
    <s v="CUST1194"/>
    <s v="Kavya Nair"/>
    <x v="1"/>
    <s v="Delhi"/>
    <s v="New Delhi"/>
    <x v="0"/>
    <s v="Accessories"/>
    <x v="6"/>
    <n v="4"/>
    <n v="781.94"/>
    <n v="0.15"/>
    <n v="2658.6"/>
    <n v="1950.31"/>
    <n v="708.29"/>
    <x v="1"/>
    <n v="0.26641465432934619"/>
    <x v="0"/>
    <x v="8"/>
    <x v="8"/>
    <s v="Q3"/>
  </r>
  <r>
    <s v="ORD100656"/>
    <x v="243"/>
    <s v="CUST1561"/>
    <s v="Nikhil Singh"/>
    <x v="0"/>
    <s v="Maharashtra"/>
    <s v="Nagpur"/>
    <x v="0"/>
    <s v="Audio"/>
    <x v="8"/>
    <n v="4"/>
    <n v="2825.81"/>
    <n v="0"/>
    <n v="11303.24"/>
    <n v="5878.26"/>
    <n v="5424.98"/>
    <x v="0"/>
    <n v="0.47994911193604661"/>
    <x v="0"/>
    <x v="8"/>
    <x v="8"/>
    <s v="Q3"/>
  </r>
  <r>
    <s v="ORD102015"/>
    <x v="244"/>
    <s v="CUST1108"/>
    <s v="Varun Mehta"/>
    <x v="0"/>
    <s v="Maharashtra"/>
    <s v="Nashik"/>
    <x v="1"/>
    <s v="Storage"/>
    <x v="9"/>
    <n v="1"/>
    <n v="528.17999999999995"/>
    <n v="0.1"/>
    <n v="475.36"/>
    <n v="233.69"/>
    <n v="241.67"/>
    <x v="1"/>
    <n v="0.50839363850555364"/>
    <x v="0"/>
    <x v="8"/>
    <x v="8"/>
    <s v="Q3"/>
  </r>
  <r>
    <s v="ORD102284"/>
    <x v="244"/>
    <s v="CUST1082"/>
    <s v="Aarav Gupta"/>
    <x v="0"/>
    <s v="Maharashtra"/>
    <s v="Nashik"/>
    <x v="3"/>
    <s v="Kitchen"/>
    <x v="13"/>
    <n v="1"/>
    <n v="3443.78"/>
    <n v="0.1"/>
    <n v="3099.4"/>
    <n v="2010.58"/>
    <n v="1088.82"/>
    <x v="2"/>
    <n v="0.35130025166161188"/>
    <x v="0"/>
    <x v="8"/>
    <x v="8"/>
    <s v="Q3"/>
  </r>
  <r>
    <s v="ORD101879"/>
    <x v="244"/>
    <s v="CUST1048"/>
    <s v="Aditya Verma"/>
    <x v="0"/>
    <s v="Maharashtra"/>
    <s v="Nashik"/>
    <x v="1"/>
    <s v="Stationery"/>
    <x v="1"/>
    <n v="4"/>
    <n v="241.09"/>
    <n v="0.1"/>
    <n v="867.92"/>
    <n v="353.35"/>
    <n v="514.57000000000005"/>
    <x v="1"/>
    <n v="0.59287722370725426"/>
    <x v="0"/>
    <x v="8"/>
    <x v="8"/>
    <s v="Q3"/>
  </r>
  <r>
    <s v="ORD100254"/>
    <x v="244"/>
    <s v="CUST1064"/>
    <s v="Pooja Singh"/>
    <x v="2"/>
    <s v="Telangana"/>
    <s v="Hyderabad"/>
    <x v="0"/>
    <s v="Accessories"/>
    <x v="6"/>
    <n v="4"/>
    <n v="808.82"/>
    <n v="0.15"/>
    <n v="2749.99"/>
    <n v="2063.14"/>
    <n v="686.85"/>
    <x v="2"/>
    <n v="0.24976454459834399"/>
    <x v="0"/>
    <x v="8"/>
    <x v="8"/>
    <s v="Q3"/>
  </r>
  <r>
    <s v="ORD101021"/>
    <x v="245"/>
    <s v="CUST1024"/>
    <s v="Pooja Patel"/>
    <x v="2"/>
    <s v="Telangana"/>
    <s v="Hyderabad"/>
    <x v="0"/>
    <s v="Accessories"/>
    <x v="6"/>
    <n v="6"/>
    <n v="763.27"/>
    <n v="0"/>
    <n v="4579.62"/>
    <n v="2891.38"/>
    <n v="1688.24"/>
    <x v="1"/>
    <n v="0.36864193972425657"/>
    <x v="0"/>
    <x v="8"/>
    <x v="8"/>
    <s v="Q3"/>
  </r>
  <r>
    <s v="ORD102109"/>
    <x v="245"/>
    <s v="CUST1114"/>
    <s v="Aisha Nair"/>
    <x v="2"/>
    <s v="Telangana"/>
    <s v="Nizamabad"/>
    <x v="0"/>
    <s v="Accessories"/>
    <x v="6"/>
    <n v="1"/>
    <n v="840.02"/>
    <n v="0.15"/>
    <n v="714.02"/>
    <n v="520.66"/>
    <n v="193.36"/>
    <x v="2"/>
    <n v="0.27080473936304311"/>
    <x v="0"/>
    <x v="8"/>
    <x v="8"/>
    <s v="Q3"/>
  </r>
  <r>
    <s v="ORD100743"/>
    <x v="245"/>
    <s v="CUST1577"/>
    <s v="Diya Kumar"/>
    <x v="2"/>
    <s v="Tamil Nadu"/>
    <s v="Salem"/>
    <x v="0"/>
    <s v="Accessories"/>
    <x v="5"/>
    <n v="3"/>
    <n v="2602.7399999999998"/>
    <n v="0"/>
    <n v="7808.22"/>
    <n v="4449.82"/>
    <n v="3358.4"/>
    <x v="2"/>
    <n v="0.43011083191815802"/>
    <x v="0"/>
    <x v="8"/>
    <x v="8"/>
    <s v="Q3"/>
  </r>
  <r>
    <s v="ORD100178"/>
    <x v="245"/>
    <s v="CUST1086"/>
    <s v="Priya Kumar"/>
    <x v="2"/>
    <s v="Tamil Nadu"/>
    <s v="Coimbatore"/>
    <x v="2"/>
    <s v="Living Room"/>
    <x v="16"/>
    <n v="3"/>
    <n v="3862.47"/>
    <n v="0.1"/>
    <n v="10428.67"/>
    <n v="7443.27"/>
    <n v="2985.4"/>
    <x v="1"/>
    <n v="0.28626852705090872"/>
    <x v="0"/>
    <x v="8"/>
    <x v="8"/>
    <s v="Q3"/>
  </r>
  <r>
    <s v="ORD101479"/>
    <x v="246"/>
    <s v="CUST1642"/>
    <s v="Sneha Sharma"/>
    <x v="2"/>
    <s v="Karnataka"/>
    <s v="Hubballi"/>
    <x v="1"/>
    <s v="Stationery"/>
    <x v="1"/>
    <n v="1"/>
    <n v="244.57"/>
    <n v="0.05"/>
    <n v="232.34"/>
    <n v="96.58"/>
    <n v="135.76"/>
    <x v="3"/>
    <n v="0.58431608849100447"/>
    <x v="0"/>
    <x v="8"/>
    <x v="8"/>
    <s v="Q3"/>
  </r>
  <r>
    <s v="ORD100869"/>
    <x v="246"/>
    <s v="CUST1343"/>
    <s v="Ananya Patel"/>
    <x v="2"/>
    <s v="Tamil Nadu"/>
    <s v="Coimbatore"/>
    <x v="2"/>
    <s v="Office"/>
    <x v="10"/>
    <n v="2"/>
    <n v="7372.74"/>
    <n v="0.05"/>
    <n v="14008.21"/>
    <n v="9106.9599999999991"/>
    <n v="4901.25"/>
    <x v="2"/>
    <n v="0.34988410367919959"/>
    <x v="0"/>
    <x v="8"/>
    <x v="8"/>
    <s v="Q3"/>
  </r>
  <r>
    <s v="ORD101402"/>
    <x v="246"/>
    <s v="CUST1641"/>
    <s v="Kiran Joshi"/>
    <x v="1"/>
    <s v="Delhi"/>
    <s v="New Delhi"/>
    <x v="1"/>
    <s v="Stationery"/>
    <x v="17"/>
    <n v="5"/>
    <n v="314.07"/>
    <n v="0.15"/>
    <n v="1334.8"/>
    <n v="647.36"/>
    <n v="687.44"/>
    <x v="1"/>
    <n v="0.51501348516631706"/>
    <x v="0"/>
    <x v="8"/>
    <x v="8"/>
    <s v="Q3"/>
  </r>
  <r>
    <s v="ORD101449"/>
    <x v="246"/>
    <s v="CUST1361"/>
    <s v="Meera Joshi"/>
    <x v="3"/>
    <s v="West Bengal"/>
    <s v="Durgapur"/>
    <x v="1"/>
    <s v="Stationery"/>
    <x v="1"/>
    <n v="5"/>
    <n v="239.69"/>
    <n v="0.1"/>
    <n v="1078.6099999999999"/>
    <n v="454.8"/>
    <n v="623.80999999999995"/>
    <x v="4"/>
    <n v="0.57834620483770782"/>
    <x v="0"/>
    <x v="8"/>
    <x v="8"/>
    <s v="Q3"/>
  </r>
  <r>
    <s v="ORD100266"/>
    <x v="247"/>
    <s v="CUST1039"/>
    <s v="Kiran Gupta"/>
    <x v="1"/>
    <s v="Delhi"/>
    <s v="New Delhi"/>
    <x v="1"/>
    <s v="Stationery"/>
    <x v="17"/>
    <n v="6"/>
    <n v="313.7"/>
    <n v="0.1"/>
    <n v="1693.98"/>
    <n v="809.1"/>
    <n v="884.88"/>
    <x v="1"/>
    <n v="0.52236744235469135"/>
    <x v="0"/>
    <x v="8"/>
    <x v="8"/>
    <s v="Q3"/>
  </r>
  <r>
    <s v="ORD101823"/>
    <x v="247"/>
    <s v="CUST1574"/>
    <s v="Rohan Kumar"/>
    <x v="2"/>
    <s v="Telangana"/>
    <s v="Nizamabad"/>
    <x v="2"/>
    <s v="Office"/>
    <x v="14"/>
    <n v="5"/>
    <n v="8049.67"/>
    <n v="0.1"/>
    <n v="36223.51"/>
    <n v="28234.76"/>
    <n v="7988.75"/>
    <x v="1"/>
    <n v="0.22054047219609579"/>
    <x v="0"/>
    <x v="8"/>
    <x v="8"/>
    <s v="Q3"/>
  </r>
  <r>
    <s v="ORD100250"/>
    <x v="247"/>
    <s v="CUST1182"/>
    <s v="Kavya Kumar"/>
    <x v="3"/>
    <s v="West Bengal"/>
    <s v="Kolkata"/>
    <x v="0"/>
    <s v="Accessories"/>
    <x v="6"/>
    <n v="1"/>
    <n v="777.32"/>
    <n v="0.05"/>
    <n v="738.45"/>
    <n v="463.93"/>
    <n v="274.52"/>
    <x v="0"/>
    <n v="0.3717516419527388"/>
    <x v="0"/>
    <x v="8"/>
    <x v="8"/>
    <s v="Q3"/>
  </r>
  <r>
    <s v="ORD101348"/>
    <x v="248"/>
    <s v="CUST1014"/>
    <s v="Nikhil Patel"/>
    <x v="1"/>
    <s v="Delhi"/>
    <s v="New Delhi"/>
    <x v="3"/>
    <s v="Kitchen"/>
    <x v="7"/>
    <n v="6"/>
    <n v="1710.13"/>
    <n v="0.05"/>
    <n v="9747.74"/>
    <n v="5651.48"/>
    <n v="4096.26"/>
    <x v="0"/>
    <n v="0.4202266371487135"/>
    <x v="0"/>
    <x v="8"/>
    <x v="8"/>
    <s v="Q3"/>
  </r>
  <r>
    <s v="ORD100135"/>
    <x v="248"/>
    <s v="CUST1257"/>
    <s v="Rahul Patel"/>
    <x v="2"/>
    <s v="Tamil Nadu"/>
    <s v="Madurai"/>
    <x v="1"/>
    <s v="Storage"/>
    <x v="2"/>
    <n v="4"/>
    <n v="725.94"/>
    <n v="0.15"/>
    <n v="2468.1999999999998"/>
    <n v="1355.67"/>
    <n v="1112.53"/>
    <x v="1"/>
    <n v="0.45074548253788188"/>
    <x v="0"/>
    <x v="8"/>
    <x v="8"/>
    <s v="Q3"/>
  </r>
  <r>
    <s v="ORD102367"/>
    <x v="248"/>
    <s v="CUST1292"/>
    <s v="Arjun Joshi"/>
    <x v="3"/>
    <s v="West Bengal"/>
    <s v="Durgapur"/>
    <x v="1"/>
    <s v="Stationery"/>
    <x v="17"/>
    <n v="2"/>
    <n v="294.55"/>
    <n v="0.1"/>
    <n v="530.19000000000005"/>
    <n v="244.92"/>
    <n v="285.27"/>
    <x v="0"/>
    <n v="0.53805239631075641"/>
    <x v="0"/>
    <x v="8"/>
    <x v="8"/>
    <s v="Q3"/>
  </r>
  <r>
    <s v="ORD100170"/>
    <x v="249"/>
    <s v="CUST1100"/>
    <s v="Varun Sharma"/>
    <x v="3"/>
    <s v="West Bengal"/>
    <s v="Durgapur"/>
    <x v="2"/>
    <s v="Living Room"/>
    <x v="16"/>
    <n v="5"/>
    <n v="3872.48"/>
    <n v="0.2"/>
    <n v="15489.92"/>
    <n v="11758.31"/>
    <n v="3731.61"/>
    <x v="0"/>
    <n v="0.24090569867371811"/>
    <x v="0"/>
    <x v="8"/>
    <x v="8"/>
    <s v="Q3"/>
  </r>
  <r>
    <s v="ORD101832"/>
    <x v="249"/>
    <s v="CUST1002"/>
    <s v="Meera Patel"/>
    <x v="0"/>
    <s v="Maharashtra"/>
    <s v="Nagpur"/>
    <x v="1"/>
    <s v="Stationery"/>
    <x v="17"/>
    <n v="4"/>
    <n v="299.89999999999998"/>
    <n v="0.1"/>
    <n v="1079.6400000000001"/>
    <n v="498.32"/>
    <n v="581.32000000000005"/>
    <x v="3"/>
    <n v="0.53843873883887217"/>
    <x v="0"/>
    <x v="8"/>
    <x v="8"/>
    <s v="Q3"/>
  </r>
  <r>
    <s v="ORD101526"/>
    <x v="249"/>
    <s v="CUST1037"/>
    <s v="Meera Rao"/>
    <x v="0"/>
    <s v="Maharashtra"/>
    <s v="Mumbai"/>
    <x v="1"/>
    <s v="Storage"/>
    <x v="2"/>
    <n v="2"/>
    <n v="706.01"/>
    <n v="0.1"/>
    <n v="1270.82"/>
    <n v="647.79999999999995"/>
    <n v="623.02"/>
    <x v="0"/>
    <n v="0.49025038951228339"/>
    <x v="0"/>
    <x v="8"/>
    <x v="8"/>
    <s v="Q3"/>
  </r>
  <r>
    <s v="ORD101657"/>
    <x v="249"/>
    <s v="CUST1449"/>
    <s v="Rahul Iyer"/>
    <x v="3"/>
    <s v="West Bengal"/>
    <s v="Kolkata"/>
    <x v="2"/>
    <s v="Living Room"/>
    <x v="16"/>
    <n v="2"/>
    <n v="3998.94"/>
    <n v="0.1"/>
    <n v="7198.09"/>
    <n v="4880.63"/>
    <n v="2317.46"/>
    <x v="1"/>
    <n v="0.32195485191210438"/>
    <x v="0"/>
    <x v="8"/>
    <x v="8"/>
    <s v="Q3"/>
  </r>
  <r>
    <s v="ORD100108"/>
    <x v="249"/>
    <s v="CUST1620"/>
    <s v="Neha Reddy"/>
    <x v="2"/>
    <s v="Karnataka"/>
    <s v="Mysuru"/>
    <x v="1"/>
    <s v="Storage"/>
    <x v="2"/>
    <n v="4"/>
    <n v="739.65"/>
    <n v="0.15"/>
    <n v="2514.81"/>
    <n v="1444.2"/>
    <n v="1070.6099999999999"/>
    <x v="0"/>
    <n v="0.4257220227373042"/>
    <x v="0"/>
    <x v="8"/>
    <x v="8"/>
    <s v="Q3"/>
  </r>
  <r>
    <s v="ORD102213"/>
    <x v="249"/>
    <s v="CUST1503"/>
    <s v="Nikhil Nair"/>
    <x v="2"/>
    <s v="Karnataka"/>
    <s v="Bengaluru"/>
    <x v="3"/>
    <s v="Cleaning"/>
    <x v="12"/>
    <n v="2"/>
    <n v="13488.16"/>
    <n v="0.1"/>
    <n v="24278.69"/>
    <n v="18666.88"/>
    <n v="5611.81"/>
    <x v="1"/>
    <n v="0.23114138365784981"/>
    <x v="0"/>
    <x v="8"/>
    <x v="8"/>
    <s v="Q3"/>
  </r>
  <r>
    <s v="ORD100996"/>
    <x v="249"/>
    <s v="CUST1549"/>
    <s v="Ishaan Iyer"/>
    <x v="3"/>
    <s v="West Bengal"/>
    <s v="Durgapur"/>
    <x v="1"/>
    <s v="Stationery"/>
    <x v="1"/>
    <n v="2"/>
    <n v="253.65"/>
    <n v="0.15"/>
    <n v="431.2"/>
    <n v="195.22"/>
    <n v="235.98"/>
    <x v="2"/>
    <n v="0.54726345083487937"/>
    <x v="0"/>
    <x v="8"/>
    <x v="8"/>
    <s v="Q3"/>
  </r>
  <r>
    <s v="ORD101553"/>
    <x v="249"/>
    <s v="CUST1292"/>
    <s v="Aarav Singh"/>
    <x v="1"/>
    <s v="Delhi"/>
    <s v="New Delhi"/>
    <x v="0"/>
    <s v="Accessories"/>
    <x v="6"/>
    <n v="2"/>
    <n v="834.54"/>
    <n v="0.1"/>
    <n v="1502.17"/>
    <n v="1062.54"/>
    <n v="439.63"/>
    <x v="4"/>
    <n v="0.29266328045427609"/>
    <x v="0"/>
    <x v="8"/>
    <x v="8"/>
    <s v="Q3"/>
  </r>
  <r>
    <s v="ORD102230"/>
    <x v="250"/>
    <s v="CUST1601"/>
    <s v="Kiran Sharma"/>
    <x v="1"/>
    <s v="Delhi"/>
    <s v="Delhi"/>
    <x v="0"/>
    <s v="Audio"/>
    <x v="8"/>
    <n v="2"/>
    <n v="3139.8"/>
    <n v="0.15"/>
    <n v="5337.66"/>
    <n v="3237.95"/>
    <n v="2099.71"/>
    <x v="1"/>
    <n v="0.3933764983157414"/>
    <x v="0"/>
    <x v="8"/>
    <x v="8"/>
    <s v="Q3"/>
  </r>
  <r>
    <s v="ORD101590"/>
    <x v="250"/>
    <s v="CUST1488"/>
    <s v="Rahul Verma"/>
    <x v="0"/>
    <s v="Maharashtra"/>
    <s v="Pune"/>
    <x v="3"/>
    <s v="Kitchen"/>
    <x v="13"/>
    <n v="1"/>
    <n v="3246.94"/>
    <n v="0.15"/>
    <n v="2759.9"/>
    <n v="1831.34"/>
    <n v="928.56"/>
    <x v="0"/>
    <n v="0.33644697271640273"/>
    <x v="0"/>
    <x v="8"/>
    <x v="8"/>
    <s v="Q3"/>
  </r>
  <r>
    <s v="ORD101104"/>
    <x v="251"/>
    <s v="CUST1273"/>
    <s v="Aisha Verma"/>
    <x v="0"/>
    <s v="Maharashtra"/>
    <s v="Nagpur"/>
    <x v="3"/>
    <s v="Cleaning"/>
    <x v="12"/>
    <n v="1"/>
    <n v="12487.46"/>
    <n v="0.05"/>
    <n v="11863.09"/>
    <n v="8965.4500000000007"/>
    <n v="2897.64"/>
    <x v="3"/>
    <n v="0.24425676615451791"/>
    <x v="0"/>
    <x v="8"/>
    <x v="8"/>
    <s v="Q3"/>
  </r>
  <r>
    <s v="ORD100597"/>
    <x v="251"/>
    <s v="CUST1149"/>
    <s v="Sneha Malhotra"/>
    <x v="3"/>
    <s v="West Bengal"/>
    <s v="Durgapur"/>
    <x v="0"/>
    <s v="Accessories"/>
    <x v="6"/>
    <n v="1"/>
    <n v="779.28"/>
    <n v="0.1"/>
    <n v="701.35"/>
    <n v="477.11"/>
    <n v="224.24"/>
    <x v="3"/>
    <n v="0.31972624224709489"/>
    <x v="0"/>
    <x v="8"/>
    <x v="8"/>
    <s v="Q3"/>
  </r>
  <r>
    <s v="ORD100990"/>
    <x v="252"/>
    <s v="CUST1415"/>
    <s v="Aditya Singh"/>
    <x v="1"/>
    <s v="Delhi"/>
    <s v="New Delhi"/>
    <x v="1"/>
    <s v="Storage"/>
    <x v="9"/>
    <n v="5"/>
    <n v="510.12"/>
    <n v="0.1"/>
    <n v="2295.54"/>
    <n v="1147.78"/>
    <n v="1147.76"/>
    <x v="0"/>
    <n v="0.4999956437265306"/>
    <x v="0"/>
    <x v="8"/>
    <x v="8"/>
    <s v="Q3"/>
  </r>
  <r>
    <s v="ORD101711"/>
    <x v="252"/>
    <s v="CUST1166"/>
    <s v="Aisha Nair"/>
    <x v="2"/>
    <s v="Telangana"/>
    <s v="Nizamabad"/>
    <x v="0"/>
    <s v="Computers"/>
    <x v="3"/>
    <n v="6"/>
    <n v="16533.91"/>
    <n v="0.2"/>
    <n v="79362.77"/>
    <n v="76138.759999999995"/>
    <n v="3224.01"/>
    <x v="4"/>
    <n v="4.062370806865738E-2"/>
    <x v="0"/>
    <x v="8"/>
    <x v="8"/>
    <s v="Q3"/>
  </r>
  <r>
    <s v="ORD100147"/>
    <x v="253"/>
    <s v="CUST1273"/>
    <s v="Ishaan Joshi"/>
    <x v="2"/>
    <s v="Karnataka"/>
    <s v="Mysuru"/>
    <x v="2"/>
    <s v="Office"/>
    <x v="14"/>
    <n v="1"/>
    <n v="8259.1299999999992"/>
    <n v="0.05"/>
    <n v="7846.17"/>
    <n v="5665.85"/>
    <n v="2180.3200000000002"/>
    <x v="3"/>
    <n v="0.27788334945584919"/>
    <x v="0"/>
    <x v="8"/>
    <x v="8"/>
    <s v="Q3"/>
  </r>
  <r>
    <s v="ORD102127"/>
    <x v="253"/>
    <s v="CUST1562"/>
    <s v="Sneha Nair"/>
    <x v="0"/>
    <s v="Maharashtra"/>
    <s v="Nashik"/>
    <x v="0"/>
    <s v="Computers"/>
    <x v="0"/>
    <n v="2"/>
    <n v="61186.96"/>
    <n v="0.1"/>
    <n v="110136.53"/>
    <n v="107165.98"/>
    <n v="2970.55"/>
    <x v="3"/>
    <n v="2.697152343550319E-2"/>
    <x v="0"/>
    <x v="8"/>
    <x v="8"/>
    <s v="Q3"/>
  </r>
  <r>
    <s v="ORD102359"/>
    <x v="254"/>
    <s v="CUST1614"/>
    <s v="Aditya Kumar"/>
    <x v="3"/>
    <s v="West Bengal"/>
    <s v="Kolkata"/>
    <x v="3"/>
    <s v="Kitchen"/>
    <x v="13"/>
    <n v="3"/>
    <n v="3157.9"/>
    <n v="0.15"/>
    <n v="8052.65"/>
    <n v="5244.96"/>
    <n v="2807.69"/>
    <x v="1"/>
    <n v="0.34866658801760908"/>
    <x v="0"/>
    <x v="8"/>
    <x v="8"/>
    <s v="Q3"/>
  </r>
  <r>
    <s v="ORD100821"/>
    <x v="254"/>
    <s v="CUST1459"/>
    <s v="Nikhil Nair"/>
    <x v="1"/>
    <s v="Delhi"/>
    <s v="Delhi"/>
    <x v="3"/>
    <s v="Cleaning"/>
    <x v="15"/>
    <n v="1"/>
    <n v="7554.09"/>
    <n v="0.2"/>
    <n v="6043.27"/>
    <n v="4724.41"/>
    <n v="1318.86"/>
    <x v="1"/>
    <n v="0.21823615360558099"/>
    <x v="0"/>
    <x v="8"/>
    <x v="8"/>
    <s v="Q3"/>
  </r>
  <r>
    <s v="ORD102134"/>
    <x v="254"/>
    <s v="CUST1198"/>
    <s v="Ishaan Malhotra"/>
    <x v="0"/>
    <s v="Maharashtra"/>
    <s v="Mumbai"/>
    <x v="0"/>
    <s v="Accessories"/>
    <x v="6"/>
    <n v="1"/>
    <n v="843.68"/>
    <n v="0.05"/>
    <n v="801.5"/>
    <n v="509.49"/>
    <n v="292.01"/>
    <x v="2"/>
    <n v="0.36432938240798501"/>
    <x v="0"/>
    <x v="8"/>
    <x v="8"/>
    <s v="Q3"/>
  </r>
  <r>
    <s v="ORD101359"/>
    <x v="255"/>
    <s v="CUST1167"/>
    <s v="Meera Rao"/>
    <x v="1"/>
    <s v="Delhi"/>
    <s v="Delhi"/>
    <x v="1"/>
    <s v="Stationery"/>
    <x v="1"/>
    <n v="3"/>
    <n v="244.43"/>
    <n v="0.1"/>
    <n v="659.96"/>
    <n v="273.67"/>
    <n v="386.29"/>
    <x v="4"/>
    <n v="0.58532335293048066"/>
    <x v="0"/>
    <x v="8"/>
    <x v="8"/>
    <s v="Q3"/>
  </r>
  <r>
    <s v="ORD101220"/>
    <x v="255"/>
    <s v="CUST1283"/>
    <s v="Aarav Verma"/>
    <x v="1"/>
    <s v="Delhi"/>
    <s v="Delhi"/>
    <x v="0"/>
    <s v="Audio"/>
    <x v="8"/>
    <n v="3"/>
    <n v="2897.86"/>
    <n v="0"/>
    <n v="8693.58"/>
    <n v="4626.32"/>
    <n v="4067.26"/>
    <x v="3"/>
    <n v="0.46784638779421139"/>
    <x v="0"/>
    <x v="8"/>
    <x v="8"/>
    <s v="Q3"/>
  </r>
  <r>
    <s v="ORD100018"/>
    <x v="255"/>
    <s v="CUST1538"/>
    <s v="Aarav Nair"/>
    <x v="0"/>
    <s v="Maharashtra"/>
    <s v="Nashik"/>
    <x v="0"/>
    <s v="Computers"/>
    <x v="0"/>
    <n v="2"/>
    <n v="58566.5"/>
    <n v="0.1"/>
    <n v="105419.7"/>
    <n v="99132.18"/>
    <n v="6287.52"/>
    <x v="0"/>
    <n v="5.9642742295794818E-2"/>
    <x v="0"/>
    <x v="8"/>
    <x v="8"/>
    <s v="Q3"/>
  </r>
  <r>
    <s v="ORD102479"/>
    <x v="255"/>
    <s v="CUST1537"/>
    <s v="Aditya Rao"/>
    <x v="3"/>
    <s v="West Bengal"/>
    <s v="Durgapur"/>
    <x v="3"/>
    <s v="Cleaning"/>
    <x v="15"/>
    <n v="3"/>
    <n v="7195.02"/>
    <n v="0"/>
    <n v="21585.06"/>
    <n v="13681.01"/>
    <n v="7904.05"/>
    <x v="0"/>
    <n v="0.36618151628950762"/>
    <x v="0"/>
    <x v="8"/>
    <x v="8"/>
    <s v="Q3"/>
  </r>
  <r>
    <s v="ORD101792"/>
    <x v="255"/>
    <s v="CUST1502"/>
    <s v="Rohan Iyer"/>
    <x v="1"/>
    <s v="Delhi"/>
    <s v="New Delhi"/>
    <x v="2"/>
    <s v="Living Room"/>
    <x v="16"/>
    <n v="2"/>
    <n v="4116.63"/>
    <n v="0.05"/>
    <n v="7821.6"/>
    <n v="5034.1400000000003"/>
    <n v="2787.46"/>
    <x v="4"/>
    <n v="0.35637976884524902"/>
    <x v="0"/>
    <x v="8"/>
    <x v="8"/>
    <s v="Q3"/>
  </r>
  <r>
    <s v="ORD101214"/>
    <x v="255"/>
    <s v="CUST1226"/>
    <s v="Ananya Verma"/>
    <x v="2"/>
    <s v="Telangana"/>
    <s v="Warangal"/>
    <x v="2"/>
    <s v="Living Room"/>
    <x v="4"/>
    <n v="3"/>
    <n v="5126.37"/>
    <n v="0.2"/>
    <n v="12303.29"/>
    <n v="9642.8700000000008"/>
    <n v="2660.42"/>
    <x v="3"/>
    <n v="0.21623647008239261"/>
    <x v="0"/>
    <x v="8"/>
    <x v="8"/>
    <s v="Q3"/>
  </r>
  <r>
    <s v="ORD102189"/>
    <x v="256"/>
    <s v="CUST1175"/>
    <s v="Sneha Verma"/>
    <x v="1"/>
    <s v="Delhi"/>
    <s v="New Delhi"/>
    <x v="1"/>
    <s v="Stationery"/>
    <x v="17"/>
    <n v="5"/>
    <n v="287.10000000000002"/>
    <n v="0.05"/>
    <n v="1363.72"/>
    <n v="610.86"/>
    <n v="752.86"/>
    <x v="1"/>
    <n v="0.55206347344029572"/>
    <x v="0"/>
    <x v="8"/>
    <x v="8"/>
    <s v="Q3"/>
  </r>
  <r>
    <s v="ORD101301"/>
    <x v="256"/>
    <s v="CUST1104"/>
    <s v="Ishaan Reddy"/>
    <x v="1"/>
    <s v="Delhi"/>
    <s v="New Delhi"/>
    <x v="0"/>
    <s v="Accessories"/>
    <x v="5"/>
    <n v="4"/>
    <n v="2444.21"/>
    <n v="0.05"/>
    <n v="9288"/>
    <n v="5480.13"/>
    <n v="3807.87"/>
    <x v="3"/>
    <n v="0.40997739018087848"/>
    <x v="0"/>
    <x v="8"/>
    <x v="8"/>
    <s v="Q3"/>
  </r>
  <r>
    <s v="ORD101302"/>
    <x v="256"/>
    <s v="CUST1145"/>
    <s v="Arjun Rao"/>
    <x v="2"/>
    <s v="Karnataka"/>
    <s v="Mysuru"/>
    <x v="0"/>
    <s v="Accessories"/>
    <x v="5"/>
    <n v="2"/>
    <n v="2418.11"/>
    <n v="0.1"/>
    <n v="4352.6000000000004"/>
    <n v="2613.3200000000002"/>
    <n v="1739.28"/>
    <x v="4"/>
    <n v="0.39959564398290681"/>
    <x v="0"/>
    <x v="8"/>
    <x v="8"/>
    <s v="Q3"/>
  </r>
  <r>
    <s v="ORD100721"/>
    <x v="256"/>
    <s v="CUST1331"/>
    <s v="Ishaan Malhotra"/>
    <x v="2"/>
    <s v="Karnataka"/>
    <s v="Bengaluru"/>
    <x v="2"/>
    <s v="Living Room"/>
    <x v="16"/>
    <n v="3"/>
    <n v="3790.88"/>
    <n v="0.05"/>
    <n v="10804.01"/>
    <n v="7060.35"/>
    <n v="3743.66"/>
    <x v="2"/>
    <n v="0.34650652859447562"/>
    <x v="0"/>
    <x v="8"/>
    <x v="8"/>
    <s v="Q3"/>
  </r>
  <r>
    <s v="ORD100705"/>
    <x v="257"/>
    <s v="CUST1420"/>
    <s v="Ananya Verma"/>
    <x v="0"/>
    <s v="Maharashtra"/>
    <s v="Nagpur"/>
    <x v="1"/>
    <s v="Storage"/>
    <x v="9"/>
    <n v="1"/>
    <n v="525.95000000000005"/>
    <n v="0.05"/>
    <n v="499.65"/>
    <n v="236.36"/>
    <n v="263.29000000000002"/>
    <x v="3"/>
    <n v="0.52694886420494358"/>
    <x v="0"/>
    <x v="8"/>
    <x v="8"/>
    <s v="Q3"/>
  </r>
  <r>
    <s v="ORD100542"/>
    <x v="257"/>
    <s v="CUST1455"/>
    <s v="Kiran Singh"/>
    <x v="2"/>
    <s v="Karnataka"/>
    <s v="Bengaluru"/>
    <x v="2"/>
    <s v="Office"/>
    <x v="10"/>
    <n v="3"/>
    <n v="7407.68"/>
    <n v="0.15"/>
    <n v="18889.580000000002"/>
    <n v="14395.35"/>
    <n v="4494.2299999999996"/>
    <x v="4"/>
    <n v="0.23792111841554969"/>
    <x v="0"/>
    <x v="8"/>
    <x v="8"/>
    <s v="Q3"/>
  </r>
  <r>
    <s v="ORD100004"/>
    <x v="258"/>
    <s v="CUST1629"/>
    <s v="Rohan Singh"/>
    <x v="1"/>
    <s v="Delhi"/>
    <s v="New Delhi"/>
    <x v="2"/>
    <s v="Living Room"/>
    <x v="4"/>
    <n v="1"/>
    <n v="5108.8100000000004"/>
    <n v="0"/>
    <n v="5108.8100000000004"/>
    <n v="3177.4"/>
    <n v="1931.41"/>
    <x v="0"/>
    <n v="0.37805477205063409"/>
    <x v="0"/>
    <x v="8"/>
    <x v="8"/>
    <s v="Q3"/>
  </r>
  <r>
    <s v="ORD102032"/>
    <x v="258"/>
    <s v="CUST1483"/>
    <s v="Ishaan Sharma"/>
    <x v="2"/>
    <s v="Telangana"/>
    <s v="Warangal"/>
    <x v="1"/>
    <s v="Storage"/>
    <x v="2"/>
    <n v="2"/>
    <n v="680.74"/>
    <n v="0"/>
    <n v="1361.48"/>
    <n v="654.16"/>
    <n v="707.32"/>
    <x v="2"/>
    <n v="0.51952287216852255"/>
    <x v="0"/>
    <x v="8"/>
    <x v="8"/>
    <s v="Q3"/>
  </r>
  <r>
    <s v="ORD101955"/>
    <x v="258"/>
    <s v="CUST1180"/>
    <s v="Nikhil Rao"/>
    <x v="2"/>
    <s v="Karnataka"/>
    <s v="Hubballi"/>
    <x v="1"/>
    <s v="Stationery"/>
    <x v="17"/>
    <n v="2"/>
    <n v="304.76"/>
    <n v="0"/>
    <n v="609.52"/>
    <n v="253.11"/>
    <n v="356.41"/>
    <x v="4"/>
    <n v="0.58473881086756796"/>
    <x v="0"/>
    <x v="8"/>
    <x v="8"/>
    <s v="Q3"/>
  </r>
  <r>
    <s v="ORD100794"/>
    <x v="258"/>
    <s v="CUST1398"/>
    <s v="Arjun Verma"/>
    <x v="2"/>
    <s v="Karnataka"/>
    <s v="Bengaluru"/>
    <x v="2"/>
    <s v="Office"/>
    <x v="14"/>
    <n v="1"/>
    <n v="8085.81"/>
    <n v="0"/>
    <n v="8085.81"/>
    <n v="5321.7"/>
    <n v="2764.11"/>
    <x v="2"/>
    <n v="0.34184701347174867"/>
    <x v="0"/>
    <x v="8"/>
    <x v="8"/>
    <s v="Q3"/>
  </r>
  <r>
    <s v="ORD101775"/>
    <x v="258"/>
    <s v="CUST1224"/>
    <s v="Nikhil Joshi"/>
    <x v="1"/>
    <s v="Delhi"/>
    <s v="New Delhi"/>
    <x v="3"/>
    <s v="Kitchen"/>
    <x v="13"/>
    <n v="2"/>
    <n v="3402.06"/>
    <n v="0.05"/>
    <n v="6463.91"/>
    <n v="3821.85"/>
    <n v="2642.06"/>
    <x v="1"/>
    <n v="0.40874022070233029"/>
    <x v="0"/>
    <x v="8"/>
    <x v="8"/>
    <s v="Q3"/>
  </r>
  <r>
    <s v="ORD100233"/>
    <x v="259"/>
    <s v="CUST1339"/>
    <s v="Kiran Reddy"/>
    <x v="2"/>
    <s v="Telangana"/>
    <s v="Nizamabad"/>
    <x v="0"/>
    <s v="Accessories"/>
    <x v="6"/>
    <n v="1"/>
    <n v="795.54"/>
    <n v="0.05"/>
    <n v="755.76"/>
    <n v="510.7"/>
    <n v="245.06"/>
    <x v="4"/>
    <n v="0.32425637768603788"/>
    <x v="0"/>
    <x v="8"/>
    <x v="8"/>
    <s v="Q3"/>
  </r>
  <r>
    <s v="ORD100444"/>
    <x v="260"/>
    <s v="CUST1625"/>
    <s v="Rohan Das"/>
    <x v="2"/>
    <s v="Telangana"/>
    <s v="Karimnagar"/>
    <x v="2"/>
    <s v="Living Room"/>
    <x v="16"/>
    <n v="2"/>
    <n v="4061.69"/>
    <n v="0.1"/>
    <n v="7311.04"/>
    <n v="5297.82"/>
    <n v="2013.22"/>
    <x v="4"/>
    <n v="0.27536711603273961"/>
    <x v="0"/>
    <x v="8"/>
    <x v="8"/>
    <s v="Q3"/>
  </r>
  <r>
    <s v="ORD100669"/>
    <x v="260"/>
    <s v="CUST1556"/>
    <s v="Rohan Joshi"/>
    <x v="2"/>
    <s v="Karnataka"/>
    <s v="Hubballi"/>
    <x v="2"/>
    <s v="Office"/>
    <x v="14"/>
    <n v="4"/>
    <n v="8165.81"/>
    <n v="0.05"/>
    <n v="31030.080000000002"/>
    <n v="22360.35"/>
    <n v="8669.73"/>
    <x v="0"/>
    <n v="0.27939760387340279"/>
    <x v="0"/>
    <x v="8"/>
    <x v="8"/>
    <s v="Q3"/>
  </r>
  <r>
    <s v="ORD100068"/>
    <x v="260"/>
    <s v="CUST1329"/>
    <s v="Rohan Nair"/>
    <x v="2"/>
    <s v="Tamil Nadu"/>
    <s v="Salem"/>
    <x v="2"/>
    <s v="Office"/>
    <x v="14"/>
    <n v="4"/>
    <n v="8772.9699999999993"/>
    <n v="0.1"/>
    <n v="31582.69"/>
    <n v="24534.48"/>
    <n v="7048.21"/>
    <x v="2"/>
    <n v="0.2231668676733996"/>
    <x v="0"/>
    <x v="8"/>
    <x v="8"/>
    <s v="Q3"/>
  </r>
  <r>
    <s v="ORD100877"/>
    <x v="260"/>
    <s v="CUST1175"/>
    <s v="Rohan Reddy"/>
    <x v="1"/>
    <s v="Delhi"/>
    <s v="Delhi"/>
    <x v="2"/>
    <s v="Office"/>
    <x v="14"/>
    <n v="2"/>
    <n v="8233.76"/>
    <n v="0.1"/>
    <n v="14820.77"/>
    <n v="11031.44"/>
    <n v="3789.33"/>
    <x v="3"/>
    <n v="0.25567699923823117"/>
    <x v="0"/>
    <x v="8"/>
    <x v="8"/>
    <s v="Q3"/>
  </r>
  <r>
    <s v="ORD100116"/>
    <x v="261"/>
    <s v="CUST1305"/>
    <s v="Nikhil Kumar"/>
    <x v="2"/>
    <s v="Tamil Nadu"/>
    <s v="Madurai"/>
    <x v="2"/>
    <s v="Living Room"/>
    <x v="16"/>
    <n v="1"/>
    <n v="4151.75"/>
    <n v="0.2"/>
    <n v="3321.4"/>
    <n v="2666.16"/>
    <n v="655.24"/>
    <x v="3"/>
    <n v="0.1972782561570422"/>
    <x v="0"/>
    <x v="8"/>
    <x v="8"/>
    <s v="Q3"/>
  </r>
  <r>
    <s v="ORD101617"/>
    <x v="261"/>
    <s v="CUST1329"/>
    <s v="Aditya Nair"/>
    <x v="1"/>
    <s v="Delhi"/>
    <s v="Delhi"/>
    <x v="2"/>
    <s v="Office"/>
    <x v="14"/>
    <n v="5"/>
    <n v="8543.52"/>
    <n v="0.1"/>
    <n v="38445.839999999997"/>
    <n v="29276.45"/>
    <n v="9169.39"/>
    <x v="2"/>
    <n v="0.2385014867668388"/>
    <x v="0"/>
    <x v="8"/>
    <x v="8"/>
    <s v="Q3"/>
  </r>
  <r>
    <s v="ORD102129"/>
    <x v="261"/>
    <s v="CUST1076"/>
    <s v="Rohan Verma"/>
    <x v="2"/>
    <s v="Tamil Nadu"/>
    <s v="Coimbatore"/>
    <x v="3"/>
    <s v="Kitchen"/>
    <x v="13"/>
    <n v="3"/>
    <n v="3237.27"/>
    <n v="0.1"/>
    <n v="8740.6299999999992"/>
    <n v="5490.5"/>
    <n v="3250.13"/>
    <x v="0"/>
    <n v="0.37184161782388692"/>
    <x v="0"/>
    <x v="8"/>
    <x v="8"/>
    <s v="Q3"/>
  </r>
  <r>
    <s v="ORD101652"/>
    <x v="262"/>
    <s v="CUST1203"/>
    <s v="Ananya Naidu"/>
    <x v="2"/>
    <s v="Karnataka"/>
    <s v="Mangaluru"/>
    <x v="1"/>
    <s v="Stationery"/>
    <x v="17"/>
    <n v="3"/>
    <n v="292"/>
    <n v="0.15"/>
    <n v="744.6"/>
    <n v="378.08"/>
    <n v="366.52"/>
    <x v="4"/>
    <n v="0.49223744292237442"/>
    <x v="0"/>
    <x v="8"/>
    <x v="8"/>
    <s v="Q3"/>
  </r>
  <r>
    <s v="ORD101468"/>
    <x v="262"/>
    <s v="CUST1448"/>
    <s v="Priya Iyer"/>
    <x v="2"/>
    <s v="Karnataka"/>
    <s v="Bengaluru"/>
    <x v="1"/>
    <s v="Storage"/>
    <x v="2"/>
    <n v="1"/>
    <n v="659.77"/>
    <n v="0.05"/>
    <n v="626.78"/>
    <n v="312.49"/>
    <n v="314.29000000000002"/>
    <x v="2"/>
    <n v="0.50143591052681968"/>
    <x v="0"/>
    <x v="8"/>
    <x v="8"/>
    <s v="Q3"/>
  </r>
  <r>
    <s v="ORD102308"/>
    <x v="263"/>
    <s v="CUST1180"/>
    <s v="Aditya Nair"/>
    <x v="2"/>
    <s v="Karnataka"/>
    <s v="Hubballi"/>
    <x v="0"/>
    <s v="Audio"/>
    <x v="11"/>
    <n v="4"/>
    <n v="1960.15"/>
    <n v="0.1"/>
    <n v="7056.54"/>
    <n v="4483.8100000000004"/>
    <n v="2572.73"/>
    <x v="2"/>
    <n v="0.36458802756024911"/>
    <x v="0"/>
    <x v="8"/>
    <x v="8"/>
    <s v="Q3"/>
  </r>
  <r>
    <s v="ORD100852"/>
    <x v="263"/>
    <s v="CUST1551"/>
    <s v="Aisha Naidu"/>
    <x v="2"/>
    <s v="Karnataka"/>
    <s v="Hubballi"/>
    <x v="1"/>
    <s v="Stationery"/>
    <x v="17"/>
    <n v="4"/>
    <n v="303.52"/>
    <n v="0.05"/>
    <n v="1153.3800000000001"/>
    <n v="509.18"/>
    <n v="644.20000000000005"/>
    <x v="0"/>
    <n v="0.5585323137214101"/>
    <x v="0"/>
    <x v="8"/>
    <x v="8"/>
    <s v="Q3"/>
  </r>
  <r>
    <s v="ORD102041"/>
    <x v="264"/>
    <s v="CUST1079"/>
    <s v="Meera Verma"/>
    <x v="2"/>
    <s v="Tamil Nadu"/>
    <s v="Madurai"/>
    <x v="0"/>
    <s v="Computers"/>
    <x v="0"/>
    <n v="1"/>
    <n v="55467.49"/>
    <n v="0.1"/>
    <n v="49920.74"/>
    <n v="47938.3"/>
    <n v="1982.44"/>
    <x v="0"/>
    <n v="3.9711751067792671E-2"/>
    <x v="0"/>
    <x v="9"/>
    <x v="9"/>
    <s v="Q4"/>
  </r>
  <r>
    <s v="ORD101728"/>
    <x v="264"/>
    <s v="CUST1599"/>
    <s v="Nikhil Patel"/>
    <x v="2"/>
    <s v="Telangana"/>
    <s v="Nizamabad"/>
    <x v="3"/>
    <s v="Kitchen"/>
    <x v="7"/>
    <n v="4"/>
    <n v="1846.62"/>
    <n v="0.2"/>
    <n v="5909.18"/>
    <n v="3954.87"/>
    <n v="1954.31"/>
    <x v="2"/>
    <n v="0.33072439830907158"/>
    <x v="0"/>
    <x v="9"/>
    <x v="9"/>
    <s v="Q4"/>
  </r>
  <r>
    <s v="ORD101914"/>
    <x v="264"/>
    <s v="CUST1433"/>
    <s v="Varun Kumar"/>
    <x v="1"/>
    <s v="Delhi"/>
    <s v="Delhi"/>
    <x v="3"/>
    <s v="Kitchen"/>
    <x v="7"/>
    <n v="6"/>
    <n v="1896.22"/>
    <n v="0"/>
    <n v="11377.32"/>
    <n v="6035.36"/>
    <n v="5341.96"/>
    <x v="4"/>
    <n v="0.46952709425418288"/>
    <x v="0"/>
    <x v="9"/>
    <x v="9"/>
    <s v="Q4"/>
  </r>
  <r>
    <s v="ORD100161"/>
    <x v="265"/>
    <s v="CUST1606"/>
    <s v="Ishaan Gupta"/>
    <x v="0"/>
    <s v="Maharashtra"/>
    <s v="Nagpur"/>
    <x v="0"/>
    <s v="Audio"/>
    <x v="11"/>
    <n v="3"/>
    <n v="1989.82"/>
    <n v="0"/>
    <n v="5969.46"/>
    <n v="3468.45"/>
    <n v="2501.0100000000002"/>
    <x v="0"/>
    <n v="0.41896754480304749"/>
    <x v="0"/>
    <x v="9"/>
    <x v="9"/>
    <s v="Q4"/>
  </r>
  <r>
    <s v="ORD100054"/>
    <x v="265"/>
    <s v="CUST1638"/>
    <s v="Neha Gupta"/>
    <x v="0"/>
    <s v="Maharashtra"/>
    <s v="Mumbai"/>
    <x v="3"/>
    <s v="Kitchen"/>
    <x v="7"/>
    <n v="3"/>
    <n v="1710.86"/>
    <n v="0"/>
    <n v="5132.58"/>
    <n v="2701.42"/>
    <n v="2431.16"/>
    <x v="1"/>
    <n v="0.47367211032268369"/>
    <x v="0"/>
    <x v="9"/>
    <x v="9"/>
    <s v="Q4"/>
  </r>
  <r>
    <s v="ORD101381"/>
    <x v="265"/>
    <s v="CUST1005"/>
    <s v="Nikhil Reddy"/>
    <x v="2"/>
    <s v="Tamil Nadu"/>
    <s v="Salem"/>
    <x v="3"/>
    <s v="Kitchen"/>
    <x v="13"/>
    <n v="6"/>
    <n v="3432.2"/>
    <n v="0"/>
    <n v="20593.2"/>
    <n v="12121.57"/>
    <n v="8471.6299999999992"/>
    <x v="0"/>
    <n v="0.41137997008721322"/>
    <x v="0"/>
    <x v="9"/>
    <x v="9"/>
    <s v="Q4"/>
  </r>
  <r>
    <s v="ORD100105"/>
    <x v="265"/>
    <s v="CUST1031"/>
    <s v="Rahul Sharma"/>
    <x v="2"/>
    <s v="Telangana"/>
    <s v="Hyderabad"/>
    <x v="2"/>
    <s v="Office"/>
    <x v="14"/>
    <n v="2"/>
    <n v="8155.17"/>
    <n v="0"/>
    <n v="16310.34"/>
    <n v="11254.79"/>
    <n v="5055.55"/>
    <x v="0"/>
    <n v="0.30995981690142571"/>
    <x v="0"/>
    <x v="9"/>
    <x v="9"/>
    <s v="Q4"/>
  </r>
  <r>
    <s v="ORD101112"/>
    <x v="265"/>
    <s v="CUST1227"/>
    <s v="Ishaan Malhotra"/>
    <x v="1"/>
    <s v="Delhi"/>
    <s v="New Delhi"/>
    <x v="1"/>
    <s v="Storage"/>
    <x v="9"/>
    <n v="2"/>
    <n v="500.59"/>
    <n v="0.1"/>
    <n v="901.06"/>
    <n v="441.43"/>
    <n v="459.63"/>
    <x v="0"/>
    <n v="0.51009921647836998"/>
    <x v="0"/>
    <x v="9"/>
    <x v="9"/>
    <s v="Q4"/>
  </r>
  <r>
    <s v="ORD101412"/>
    <x v="265"/>
    <s v="CUST1402"/>
    <s v="Varun Verma"/>
    <x v="3"/>
    <s v="West Bengal"/>
    <s v="Kolkata"/>
    <x v="0"/>
    <s v="Audio"/>
    <x v="11"/>
    <n v="4"/>
    <n v="1976.18"/>
    <n v="0"/>
    <n v="7904.72"/>
    <n v="4701.8599999999997"/>
    <n v="3202.86"/>
    <x v="0"/>
    <n v="0.40518323229665321"/>
    <x v="0"/>
    <x v="9"/>
    <x v="9"/>
    <s v="Q4"/>
  </r>
  <r>
    <s v="ORD101374"/>
    <x v="266"/>
    <s v="CUST1193"/>
    <s v="Diya Malhotra"/>
    <x v="1"/>
    <s v="Delhi"/>
    <s v="New Delhi"/>
    <x v="1"/>
    <s v="Stationery"/>
    <x v="1"/>
    <n v="2"/>
    <n v="234.22"/>
    <n v="0.15"/>
    <n v="398.17"/>
    <n v="173.96"/>
    <n v="224.21"/>
    <x v="2"/>
    <n v="0.56310118793480168"/>
    <x v="0"/>
    <x v="9"/>
    <x v="9"/>
    <s v="Q4"/>
  </r>
  <r>
    <s v="ORD100454"/>
    <x v="266"/>
    <s v="CUST1523"/>
    <s v="Ananya Gupta"/>
    <x v="2"/>
    <s v="Karnataka"/>
    <s v="Mangaluru"/>
    <x v="0"/>
    <s v="Computers"/>
    <x v="0"/>
    <n v="2"/>
    <n v="59734.35"/>
    <n v="0.05"/>
    <n v="113495.26"/>
    <n v="102776.56"/>
    <n v="10718.7"/>
    <x v="1"/>
    <n v="9.4441829553057993E-2"/>
    <x v="0"/>
    <x v="9"/>
    <x v="9"/>
    <s v="Q4"/>
  </r>
  <r>
    <s v="ORD102139"/>
    <x v="266"/>
    <s v="CUST1024"/>
    <s v="Nikhil Patel"/>
    <x v="1"/>
    <s v="Delhi"/>
    <s v="Delhi"/>
    <x v="0"/>
    <s v="Audio"/>
    <x v="11"/>
    <n v="1"/>
    <n v="1986.2"/>
    <n v="0"/>
    <n v="1986.2"/>
    <n v="1182.8699999999999"/>
    <n v="803.33"/>
    <x v="0"/>
    <n v="0.40445574463800221"/>
    <x v="0"/>
    <x v="9"/>
    <x v="9"/>
    <s v="Q4"/>
  </r>
  <r>
    <s v="ORD102498"/>
    <x v="267"/>
    <s v="CUST1083"/>
    <s v="Sanjana Patel"/>
    <x v="3"/>
    <s v="West Bengal"/>
    <s v="Durgapur"/>
    <x v="0"/>
    <s v="Accessories"/>
    <x v="5"/>
    <n v="2"/>
    <n v="2358.69"/>
    <n v="0.05"/>
    <n v="4481.51"/>
    <n v="2557.6799999999998"/>
    <n v="1923.83"/>
    <x v="0"/>
    <n v="0.42928164837298138"/>
    <x v="0"/>
    <x v="9"/>
    <x v="9"/>
    <s v="Q4"/>
  </r>
  <r>
    <s v="ORD100208"/>
    <x v="267"/>
    <s v="CUST1047"/>
    <s v="Arjun Malhotra"/>
    <x v="3"/>
    <s v="West Bengal"/>
    <s v="Siliguri"/>
    <x v="0"/>
    <s v="Computers"/>
    <x v="3"/>
    <n v="1"/>
    <n v="15211.85"/>
    <n v="0.05"/>
    <n v="14451.26"/>
    <n v="11062.16"/>
    <n v="3389.1"/>
    <x v="0"/>
    <n v="0.23451934295002649"/>
    <x v="0"/>
    <x v="9"/>
    <x v="9"/>
    <s v="Q4"/>
  </r>
  <r>
    <s v="ORD101418"/>
    <x v="267"/>
    <s v="CUST1328"/>
    <s v="Neha Kumar"/>
    <x v="2"/>
    <s v="Telangana"/>
    <s v="Hyderabad"/>
    <x v="1"/>
    <s v="Storage"/>
    <x v="9"/>
    <n v="3"/>
    <n v="501.35"/>
    <n v="0.05"/>
    <n v="1428.85"/>
    <n v="687.83"/>
    <n v="741.02"/>
    <x v="0"/>
    <n v="0.5186128704902544"/>
    <x v="0"/>
    <x v="9"/>
    <x v="9"/>
    <s v="Q4"/>
  </r>
  <r>
    <s v="ORD100896"/>
    <x v="268"/>
    <s v="CUST1270"/>
    <s v="Kavya Gupta"/>
    <x v="1"/>
    <s v="Delhi"/>
    <s v="New Delhi"/>
    <x v="0"/>
    <s v="Computers"/>
    <x v="3"/>
    <n v="5"/>
    <n v="16464.060000000001"/>
    <n v="0.15"/>
    <n v="69972.259999999995"/>
    <n v="62569.63"/>
    <n v="7402.63"/>
    <x v="1"/>
    <n v="0.105793781707208"/>
    <x v="0"/>
    <x v="9"/>
    <x v="9"/>
    <s v="Q4"/>
  </r>
  <r>
    <s v="ORD101070"/>
    <x v="269"/>
    <s v="CUST1086"/>
    <s v="Aisha Patel"/>
    <x v="2"/>
    <s v="Telangana"/>
    <s v="Nizamabad"/>
    <x v="3"/>
    <s v="Kitchen"/>
    <x v="13"/>
    <n v="2"/>
    <n v="3363.2"/>
    <n v="0.05"/>
    <n v="6390.08"/>
    <n v="3846.78"/>
    <n v="2543.3000000000002"/>
    <x v="0"/>
    <n v="0.3980075366818569"/>
    <x v="0"/>
    <x v="9"/>
    <x v="9"/>
    <s v="Q4"/>
  </r>
  <r>
    <s v="ORD100094"/>
    <x v="269"/>
    <s v="CUST1013"/>
    <s v="Kiran Kumar"/>
    <x v="0"/>
    <s v="Maharashtra"/>
    <s v="Nagpur"/>
    <x v="2"/>
    <s v="Office"/>
    <x v="10"/>
    <n v="2"/>
    <n v="6604.12"/>
    <n v="0"/>
    <n v="13208.24"/>
    <n v="8349.4500000000007"/>
    <n v="4858.79"/>
    <x v="1"/>
    <n v="0.36786051737400288"/>
    <x v="0"/>
    <x v="9"/>
    <x v="9"/>
    <s v="Q4"/>
  </r>
  <r>
    <s v="ORD100329"/>
    <x v="270"/>
    <s v="CUST1526"/>
    <s v="Nikhil Reddy"/>
    <x v="0"/>
    <s v="Maharashtra"/>
    <s v="Nashik"/>
    <x v="2"/>
    <s v="Living Room"/>
    <x v="4"/>
    <n v="4"/>
    <n v="5142.87"/>
    <n v="0"/>
    <n v="20571.48"/>
    <n v="13038.95"/>
    <n v="7532.53"/>
    <x v="1"/>
    <n v="0.36616373736843433"/>
    <x v="0"/>
    <x v="9"/>
    <x v="9"/>
    <s v="Q4"/>
  </r>
  <r>
    <s v="ORD100938"/>
    <x v="270"/>
    <s v="CUST1415"/>
    <s v="Ishaan Kumar"/>
    <x v="1"/>
    <s v="Delhi"/>
    <s v="New Delhi"/>
    <x v="3"/>
    <s v="Kitchen"/>
    <x v="13"/>
    <n v="2"/>
    <n v="3135.61"/>
    <n v="0.15"/>
    <n v="5330.54"/>
    <n v="3443.86"/>
    <n v="1886.68"/>
    <x v="2"/>
    <n v="0.35393787496201129"/>
    <x v="0"/>
    <x v="9"/>
    <x v="9"/>
    <s v="Q4"/>
  </r>
  <r>
    <s v="ORD100514"/>
    <x v="271"/>
    <s v="CUST1309"/>
    <s v="Pooja Naidu"/>
    <x v="1"/>
    <s v="Delhi"/>
    <s v="Delhi"/>
    <x v="2"/>
    <s v="Living Room"/>
    <x v="16"/>
    <n v="3"/>
    <n v="4116.43"/>
    <n v="0.2"/>
    <n v="9879.43"/>
    <n v="7542.38"/>
    <n v="2337.0500000000002"/>
    <x v="0"/>
    <n v="0.2365571697962332"/>
    <x v="0"/>
    <x v="9"/>
    <x v="9"/>
    <s v="Q4"/>
  </r>
  <r>
    <s v="ORD101373"/>
    <x v="272"/>
    <s v="CUST1211"/>
    <s v="Sneha Naidu"/>
    <x v="2"/>
    <s v="Telangana"/>
    <s v="Warangal"/>
    <x v="3"/>
    <s v="Kitchen"/>
    <x v="7"/>
    <n v="3"/>
    <n v="1842.63"/>
    <n v="0.1"/>
    <n v="4975.1000000000004"/>
    <n v="3077.96"/>
    <n v="1897.14"/>
    <x v="2"/>
    <n v="0.38132700850234158"/>
    <x v="0"/>
    <x v="9"/>
    <x v="9"/>
    <s v="Q4"/>
  </r>
  <r>
    <s v="ORD102120"/>
    <x v="272"/>
    <s v="CUST1260"/>
    <s v="Rohan Iyer"/>
    <x v="1"/>
    <s v="Delhi"/>
    <s v="New Delhi"/>
    <x v="2"/>
    <s v="Living Room"/>
    <x v="4"/>
    <n v="1"/>
    <n v="5058.1499999999996"/>
    <n v="0"/>
    <n v="5058.1499999999996"/>
    <n v="3188.8"/>
    <n v="1869.35"/>
    <x v="2"/>
    <n v="0.36957187904668698"/>
    <x v="0"/>
    <x v="9"/>
    <x v="9"/>
    <s v="Q4"/>
  </r>
  <r>
    <s v="ORD101970"/>
    <x v="273"/>
    <s v="CUST1577"/>
    <s v="Aditya Iyer"/>
    <x v="3"/>
    <s v="West Bengal"/>
    <s v="Kolkata"/>
    <x v="3"/>
    <s v="Cleaning"/>
    <x v="12"/>
    <n v="4"/>
    <n v="13350.96"/>
    <n v="0.15"/>
    <n v="45393.26"/>
    <n v="38900.11"/>
    <n v="6493.15"/>
    <x v="0"/>
    <n v="0.14304216088467761"/>
    <x v="0"/>
    <x v="9"/>
    <x v="9"/>
    <s v="Q4"/>
  </r>
  <r>
    <s v="ORD101438"/>
    <x v="273"/>
    <s v="CUST1469"/>
    <s v="Rahul Verma"/>
    <x v="3"/>
    <s v="West Bengal"/>
    <s v="Kolkata"/>
    <x v="0"/>
    <s v="Accessories"/>
    <x v="5"/>
    <n v="2"/>
    <n v="2644.6"/>
    <n v="0.05"/>
    <n v="5024.74"/>
    <n v="2953.57"/>
    <n v="2071.17"/>
    <x v="1"/>
    <n v="0.41219446180299879"/>
    <x v="0"/>
    <x v="9"/>
    <x v="9"/>
    <s v="Q4"/>
  </r>
  <r>
    <s v="ORD102392"/>
    <x v="274"/>
    <s v="CUST1526"/>
    <s v="Varun Reddy"/>
    <x v="1"/>
    <s v="Delhi"/>
    <s v="Delhi"/>
    <x v="3"/>
    <s v="Cleaning"/>
    <x v="15"/>
    <n v="4"/>
    <n v="7594.32"/>
    <n v="0"/>
    <n v="30377.279999999999"/>
    <n v="20217.29"/>
    <n v="10159.99"/>
    <x v="0"/>
    <n v="0.334460162331848"/>
    <x v="0"/>
    <x v="9"/>
    <x v="9"/>
    <s v="Q4"/>
  </r>
  <r>
    <s v="ORD100314"/>
    <x v="274"/>
    <s v="CUST1582"/>
    <s v="Aditya Reddy"/>
    <x v="2"/>
    <s v="Karnataka"/>
    <s v="Mangaluru"/>
    <x v="2"/>
    <s v="Office"/>
    <x v="10"/>
    <n v="2"/>
    <n v="6991.95"/>
    <n v="0.05"/>
    <n v="13284.7"/>
    <n v="9168.65"/>
    <n v="4116.05"/>
    <x v="2"/>
    <n v="0.30983386903731358"/>
    <x v="0"/>
    <x v="9"/>
    <x v="9"/>
    <s v="Q4"/>
  </r>
  <r>
    <s v="ORD101859"/>
    <x v="274"/>
    <s v="CUST1143"/>
    <s v="Varun Iyer"/>
    <x v="2"/>
    <s v="Telangana"/>
    <s v="Hyderabad"/>
    <x v="3"/>
    <s v="Cleaning"/>
    <x v="15"/>
    <n v="3"/>
    <n v="7694.22"/>
    <n v="0"/>
    <n v="23082.66"/>
    <n v="14409.44"/>
    <n v="8673.2199999999993"/>
    <x v="2"/>
    <n v="0.3757461228471935"/>
    <x v="0"/>
    <x v="9"/>
    <x v="9"/>
    <s v="Q4"/>
  </r>
  <r>
    <s v="ORD101042"/>
    <x v="274"/>
    <s v="CUST1356"/>
    <s v="Aditya Kumar"/>
    <x v="0"/>
    <s v="Maharashtra"/>
    <s v="Mumbai"/>
    <x v="3"/>
    <s v="Cleaning"/>
    <x v="12"/>
    <n v="2"/>
    <n v="12430.26"/>
    <n v="0"/>
    <n v="24860.52"/>
    <n v="18039.16"/>
    <n v="6821.36"/>
    <x v="4"/>
    <n v="0.27438525018784798"/>
    <x v="0"/>
    <x v="9"/>
    <x v="9"/>
    <s v="Q4"/>
  </r>
  <r>
    <s v="ORD100871"/>
    <x v="274"/>
    <s v="CUST1232"/>
    <s v="Kavya Kumar"/>
    <x v="3"/>
    <s v="West Bengal"/>
    <s v="Siliguri"/>
    <x v="2"/>
    <s v="Living Room"/>
    <x v="4"/>
    <n v="2"/>
    <n v="5160.57"/>
    <n v="0.2"/>
    <n v="8256.91"/>
    <n v="6314.71"/>
    <n v="1942.2"/>
    <x v="2"/>
    <n v="0.23522116627164399"/>
    <x v="0"/>
    <x v="9"/>
    <x v="9"/>
    <s v="Q4"/>
  </r>
  <r>
    <s v="ORD101577"/>
    <x v="274"/>
    <s v="CUST1070"/>
    <s v="Priya Reddy"/>
    <x v="2"/>
    <s v="Telangana"/>
    <s v="Hyderabad"/>
    <x v="2"/>
    <s v="Living Room"/>
    <x v="4"/>
    <n v="3"/>
    <n v="4834.2"/>
    <n v="0.05"/>
    <n v="13777.47"/>
    <n v="8822.69"/>
    <n v="4954.78"/>
    <x v="0"/>
    <n v="0.35962916268371481"/>
    <x v="0"/>
    <x v="9"/>
    <x v="9"/>
    <s v="Q4"/>
  </r>
  <r>
    <s v="ORD102319"/>
    <x v="275"/>
    <s v="CUST1340"/>
    <s v="Nikhil Kumar"/>
    <x v="0"/>
    <s v="Maharashtra"/>
    <s v="Mumbai"/>
    <x v="3"/>
    <s v="Kitchen"/>
    <x v="13"/>
    <n v="3"/>
    <n v="3424.13"/>
    <n v="0.1"/>
    <n v="9245.15"/>
    <n v="5775.84"/>
    <n v="3469.31"/>
    <x v="0"/>
    <n v="0.37525729706927419"/>
    <x v="0"/>
    <x v="9"/>
    <x v="9"/>
    <s v="Q4"/>
  </r>
  <r>
    <s v="ORD101504"/>
    <x v="275"/>
    <s v="CUST1478"/>
    <s v="Aditya Naidu"/>
    <x v="2"/>
    <s v="Tamil Nadu"/>
    <s v="Salem"/>
    <x v="0"/>
    <s v="Computers"/>
    <x v="3"/>
    <n v="1"/>
    <n v="16511.64"/>
    <n v="0.1"/>
    <n v="14860.48"/>
    <n v="11987.67"/>
    <n v="2872.81"/>
    <x v="2"/>
    <n v="0.19331878916428"/>
    <x v="0"/>
    <x v="9"/>
    <x v="9"/>
    <s v="Q4"/>
  </r>
  <r>
    <s v="ORD101017"/>
    <x v="275"/>
    <s v="CUST1142"/>
    <s v="Arjun Kumar"/>
    <x v="0"/>
    <s v="Maharashtra"/>
    <s v="Pune"/>
    <x v="1"/>
    <s v="Storage"/>
    <x v="2"/>
    <n v="2"/>
    <n v="680.93"/>
    <n v="0"/>
    <n v="1361.86"/>
    <n v="665.15"/>
    <n v="696.71"/>
    <x v="0"/>
    <n v="0.51158709412127534"/>
    <x v="0"/>
    <x v="9"/>
    <x v="9"/>
    <s v="Q4"/>
  </r>
  <r>
    <s v="ORD100155"/>
    <x v="275"/>
    <s v="CUST1609"/>
    <s v="Meera Nair"/>
    <x v="0"/>
    <s v="Maharashtra"/>
    <s v="Nashik"/>
    <x v="3"/>
    <s v="Kitchen"/>
    <x v="7"/>
    <n v="5"/>
    <n v="1692.06"/>
    <n v="0.1"/>
    <n v="7614.27"/>
    <n v="4399.91"/>
    <n v="3214.36"/>
    <x v="0"/>
    <n v="0.42214946409833121"/>
    <x v="0"/>
    <x v="9"/>
    <x v="9"/>
    <s v="Q4"/>
  </r>
  <r>
    <s v="ORD100887"/>
    <x v="275"/>
    <s v="CUST1219"/>
    <s v="Nikhil Reddy"/>
    <x v="1"/>
    <s v="Delhi"/>
    <s v="New Delhi"/>
    <x v="0"/>
    <s v="Audio"/>
    <x v="8"/>
    <n v="1"/>
    <n v="3165.1"/>
    <n v="0.05"/>
    <n v="3006.84"/>
    <n v="1646.84"/>
    <n v="1360"/>
    <x v="0"/>
    <n v="0.45230208458048982"/>
    <x v="0"/>
    <x v="9"/>
    <x v="9"/>
    <s v="Q4"/>
  </r>
  <r>
    <s v="ORD100727"/>
    <x v="275"/>
    <s v="CUST1385"/>
    <s v="Priya Malhotra"/>
    <x v="2"/>
    <s v="Tamil Nadu"/>
    <s v="Coimbatore"/>
    <x v="1"/>
    <s v="Stationery"/>
    <x v="17"/>
    <n v="2"/>
    <n v="316.60000000000002"/>
    <n v="0.05"/>
    <n v="601.54"/>
    <n v="270.33999999999997"/>
    <n v="331.2"/>
    <x v="2"/>
    <n v="0.55058682714366458"/>
    <x v="0"/>
    <x v="9"/>
    <x v="9"/>
    <s v="Q4"/>
  </r>
  <r>
    <s v="ORD101997"/>
    <x v="276"/>
    <s v="CUST1180"/>
    <s v="Sanjana Gupta"/>
    <x v="2"/>
    <s v="Tamil Nadu"/>
    <s v="Coimbatore"/>
    <x v="1"/>
    <s v="Storage"/>
    <x v="9"/>
    <n v="1"/>
    <n v="514.62"/>
    <n v="0.1"/>
    <n v="463.16"/>
    <n v="240.26"/>
    <n v="222.9"/>
    <x v="3"/>
    <n v="0.48125917609465407"/>
    <x v="0"/>
    <x v="9"/>
    <x v="9"/>
    <s v="Q4"/>
  </r>
  <r>
    <s v="ORD102091"/>
    <x v="276"/>
    <s v="CUST1460"/>
    <s v="Rohan Naidu"/>
    <x v="2"/>
    <s v="Tamil Nadu"/>
    <s v="Coimbatore"/>
    <x v="0"/>
    <s v="Audio"/>
    <x v="8"/>
    <n v="3"/>
    <n v="3017.11"/>
    <n v="0.05"/>
    <n v="8598.76"/>
    <n v="4860.34"/>
    <n v="3738.42"/>
    <x v="0"/>
    <n v="0.43476268671296792"/>
    <x v="0"/>
    <x v="9"/>
    <x v="9"/>
    <s v="Q4"/>
  </r>
  <r>
    <s v="ORD100141"/>
    <x v="276"/>
    <s v="CUST1402"/>
    <s v="Ishaan Verma"/>
    <x v="2"/>
    <s v="Karnataka"/>
    <s v="Mysuru"/>
    <x v="3"/>
    <s v="Cleaning"/>
    <x v="15"/>
    <n v="4"/>
    <n v="7834.53"/>
    <n v="0.2"/>
    <n v="25070.5"/>
    <n v="19868.36"/>
    <n v="5202.1400000000003"/>
    <x v="0"/>
    <n v="0.20750044873456849"/>
    <x v="0"/>
    <x v="9"/>
    <x v="9"/>
    <s v="Q4"/>
  </r>
  <r>
    <s v="ORD100752"/>
    <x v="276"/>
    <s v="CUST1132"/>
    <s v="Rohan Kumar"/>
    <x v="0"/>
    <s v="Maharashtra"/>
    <s v="Nagpur"/>
    <x v="0"/>
    <s v="Audio"/>
    <x v="8"/>
    <n v="4"/>
    <n v="2865.26"/>
    <n v="0.05"/>
    <n v="10887.99"/>
    <n v="6186.8"/>
    <n v="4701.1899999999996"/>
    <x v="1"/>
    <n v="0.43177758245553127"/>
    <x v="0"/>
    <x v="9"/>
    <x v="9"/>
    <s v="Q4"/>
  </r>
  <r>
    <s v="ORD100757"/>
    <x v="277"/>
    <s v="CUST1206"/>
    <s v="Ananya Naidu"/>
    <x v="2"/>
    <s v="Karnataka"/>
    <s v="Bengaluru"/>
    <x v="0"/>
    <s v="Computers"/>
    <x v="0"/>
    <n v="2"/>
    <n v="58369.97"/>
    <n v="0"/>
    <n v="116739.94"/>
    <n v="102251.37"/>
    <n v="14488.57"/>
    <x v="2"/>
    <n v="0.1241097948140114"/>
    <x v="0"/>
    <x v="9"/>
    <x v="9"/>
    <s v="Q4"/>
  </r>
  <r>
    <s v="ORD101524"/>
    <x v="277"/>
    <s v="CUST1084"/>
    <s v="Vikram Patel"/>
    <x v="0"/>
    <s v="Maharashtra"/>
    <s v="Pune"/>
    <x v="0"/>
    <s v="Computers"/>
    <x v="0"/>
    <n v="2"/>
    <n v="61431.44"/>
    <n v="0.05"/>
    <n v="116719.74"/>
    <n v="107158.06"/>
    <n v="9561.68"/>
    <x v="2"/>
    <n v="8.1919990568861789E-2"/>
    <x v="0"/>
    <x v="9"/>
    <x v="9"/>
    <s v="Q4"/>
  </r>
  <r>
    <s v="ORD101621"/>
    <x v="277"/>
    <s v="CUST1163"/>
    <s v="Rohan Naidu"/>
    <x v="3"/>
    <s v="West Bengal"/>
    <s v="Siliguri"/>
    <x v="3"/>
    <s v="Cleaning"/>
    <x v="15"/>
    <n v="3"/>
    <n v="7837.55"/>
    <n v="0.1"/>
    <n v="21161.39"/>
    <n v="15123.2"/>
    <n v="6038.19"/>
    <x v="0"/>
    <n v="0.28533995167614218"/>
    <x v="0"/>
    <x v="9"/>
    <x v="9"/>
    <s v="Q4"/>
  </r>
  <r>
    <s v="ORD101372"/>
    <x v="277"/>
    <s v="CUST1647"/>
    <s v="Sanjana Mehta"/>
    <x v="0"/>
    <s v="Maharashtra"/>
    <s v="Nashik"/>
    <x v="0"/>
    <s v="Audio"/>
    <x v="8"/>
    <n v="3"/>
    <n v="3054.79"/>
    <n v="0.05"/>
    <n v="8706.15"/>
    <n v="4630.3999999999996"/>
    <n v="4075.75"/>
    <x v="2"/>
    <n v="0.46814608064414243"/>
    <x v="0"/>
    <x v="9"/>
    <x v="9"/>
    <s v="Q4"/>
  </r>
  <r>
    <s v="ORD100731"/>
    <x v="278"/>
    <s v="CUST1319"/>
    <s v="Kiran Rao"/>
    <x v="3"/>
    <s v="West Bengal"/>
    <s v="Siliguri"/>
    <x v="2"/>
    <s v="Office"/>
    <x v="14"/>
    <n v="2"/>
    <n v="8851.93"/>
    <n v="0"/>
    <n v="17703.86"/>
    <n v="11588.22"/>
    <n v="6115.64"/>
    <x v="2"/>
    <n v="0.3454410507087155"/>
    <x v="0"/>
    <x v="9"/>
    <x v="9"/>
    <s v="Q4"/>
  </r>
  <r>
    <s v="ORD102372"/>
    <x v="278"/>
    <s v="CUST1564"/>
    <s v="Priya Rao"/>
    <x v="3"/>
    <s v="West Bengal"/>
    <s v="Siliguri"/>
    <x v="1"/>
    <s v="Storage"/>
    <x v="2"/>
    <n v="4"/>
    <n v="720.89"/>
    <n v="0"/>
    <n v="2883.56"/>
    <n v="1336.63"/>
    <n v="1546.93"/>
    <x v="0"/>
    <n v="0.53646534145292624"/>
    <x v="0"/>
    <x v="9"/>
    <x v="9"/>
    <s v="Q4"/>
  </r>
  <r>
    <s v="ORD101532"/>
    <x v="279"/>
    <s v="CUST1133"/>
    <s v="Diya Nair"/>
    <x v="3"/>
    <s v="West Bengal"/>
    <s v="Siliguri"/>
    <x v="0"/>
    <s v="Computers"/>
    <x v="0"/>
    <n v="1"/>
    <n v="58638.6"/>
    <n v="0.1"/>
    <n v="52774.74"/>
    <n v="51142.12"/>
    <n v="1632.62"/>
    <x v="2"/>
    <n v="3.0935633221499531E-2"/>
    <x v="0"/>
    <x v="9"/>
    <x v="9"/>
    <s v="Q4"/>
  </r>
  <r>
    <s v="ORD102179"/>
    <x v="279"/>
    <s v="CUST1420"/>
    <s v="Rahul Das"/>
    <x v="0"/>
    <s v="Maharashtra"/>
    <s v="Mumbai"/>
    <x v="1"/>
    <s v="Stationery"/>
    <x v="17"/>
    <n v="3"/>
    <n v="315.75"/>
    <n v="0.1"/>
    <n v="852.52"/>
    <n v="402.76"/>
    <n v="449.76"/>
    <x v="0"/>
    <n v="0.52756533571059916"/>
    <x v="0"/>
    <x v="9"/>
    <x v="9"/>
    <s v="Q4"/>
  </r>
  <r>
    <s v="ORD100509"/>
    <x v="279"/>
    <s v="CUST1532"/>
    <s v="Ishaan Nair"/>
    <x v="2"/>
    <s v="Telangana"/>
    <s v="Karimnagar"/>
    <x v="1"/>
    <s v="Storage"/>
    <x v="2"/>
    <n v="4"/>
    <n v="708.94"/>
    <n v="0.1"/>
    <n v="2552.1799999999998"/>
    <n v="1285.78"/>
    <n v="1266.4000000000001"/>
    <x v="0"/>
    <n v="0.49620324585256531"/>
    <x v="0"/>
    <x v="9"/>
    <x v="9"/>
    <s v="Q4"/>
  </r>
  <r>
    <s v="ORD100422"/>
    <x v="280"/>
    <s v="CUST1595"/>
    <s v="Sanjana Joshi"/>
    <x v="2"/>
    <s v="Karnataka"/>
    <s v="Bengaluru"/>
    <x v="0"/>
    <s v="Accessories"/>
    <x v="5"/>
    <n v="4"/>
    <n v="2469.52"/>
    <n v="0.15"/>
    <n v="8396.3700000000008"/>
    <n v="5529.64"/>
    <n v="2866.73"/>
    <x v="2"/>
    <n v="0.34142492529509771"/>
    <x v="0"/>
    <x v="9"/>
    <x v="9"/>
    <s v="Q4"/>
  </r>
  <r>
    <s v="ORD102116"/>
    <x v="281"/>
    <s v="CUST1495"/>
    <s v="Aditya Iyer"/>
    <x v="0"/>
    <s v="Maharashtra"/>
    <s v="Pune"/>
    <x v="3"/>
    <s v="Kitchen"/>
    <x v="7"/>
    <n v="1"/>
    <n v="1809.54"/>
    <n v="0.2"/>
    <n v="1447.63"/>
    <n v="1009.99"/>
    <n v="437.64"/>
    <x v="0"/>
    <n v="0.30231481801289001"/>
    <x v="0"/>
    <x v="9"/>
    <x v="9"/>
    <s v="Q4"/>
  </r>
  <r>
    <s v="ORD102090"/>
    <x v="281"/>
    <s v="CUST1607"/>
    <s v="Aditya Gupta"/>
    <x v="1"/>
    <s v="Delhi"/>
    <s v="New Delhi"/>
    <x v="3"/>
    <s v="Kitchen"/>
    <x v="7"/>
    <n v="1"/>
    <n v="1826.79"/>
    <n v="0"/>
    <n v="1826.79"/>
    <n v="987.12"/>
    <n v="839.67"/>
    <x v="0"/>
    <n v="0.45964232341976913"/>
    <x v="0"/>
    <x v="9"/>
    <x v="9"/>
    <s v="Q4"/>
  </r>
  <r>
    <s v="ORD100187"/>
    <x v="282"/>
    <s v="CUST1647"/>
    <s v="Neha Iyer"/>
    <x v="2"/>
    <s v="Telangana"/>
    <s v="Warangal"/>
    <x v="0"/>
    <s v="Audio"/>
    <x v="11"/>
    <n v="1"/>
    <n v="2104.2600000000002"/>
    <n v="0.1"/>
    <n v="1893.83"/>
    <n v="1205.3"/>
    <n v="688.53"/>
    <x v="0"/>
    <n v="0.3635648395051298"/>
    <x v="0"/>
    <x v="9"/>
    <x v="9"/>
    <s v="Q4"/>
  </r>
  <r>
    <s v="ORD101821"/>
    <x v="282"/>
    <s v="CUST1091"/>
    <s v="Rahul Malhotra"/>
    <x v="0"/>
    <s v="Maharashtra"/>
    <s v="Mumbai"/>
    <x v="2"/>
    <s v="Living Room"/>
    <x v="16"/>
    <n v="3"/>
    <n v="4010.76"/>
    <n v="0.15"/>
    <n v="10227.44"/>
    <n v="7600.04"/>
    <n v="2627.4"/>
    <x v="0"/>
    <n v="0.25689713163802469"/>
    <x v="0"/>
    <x v="9"/>
    <x v="9"/>
    <s v="Q4"/>
  </r>
  <r>
    <s v="ORD101826"/>
    <x v="282"/>
    <s v="CUST1150"/>
    <s v="Neha Mehta"/>
    <x v="0"/>
    <s v="Maharashtra"/>
    <s v="Nashik"/>
    <x v="2"/>
    <s v="Office"/>
    <x v="14"/>
    <n v="1"/>
    <n v="8571.2099999999991"/>
    <n v="0.05"/>
    <n v="8142.65"/>
    <n v="5860.58"/>
    <n v="2282.0700000000002"/>
    <x v="0"/>
    <n v="0.28026133998145569"/>
    <x v="0"/>
    <x v="9"/>
    <x v="9"/>
    <s v="Q4"/>
  </r>
  <r>
    <s v="ORD101139"/>
    <x v="282"/>
    <s v="CUST1077"/>
    <s v="Rohan Naidu"/>
    <x v="0"/>
    <s v="Maharashtra"/>
    <s v="Nagpur"/>
    <x v="0"/>
    <s v="Accessories"/>
    <x v="5"/>
    <n v="1"/>
    <n v="2559.14"/>
    <n v="0.1"/>
    <n v="2303.23"/>
    <n v="1396.72"/>
    <n v="906.51"/>
    <x v="0"/>
    <n v="0.39358205650325839"/>
    <x v="0"/>
    <x v="9"/>
    <x v="9"/>
    <s v="Q4"/>
  </r>
  <r>
    <s v="ORD101496"/>
    <x v="283"/>
    <s v="CUST1334"/>
    <s v="Meera Kumar"/>
    <x v="2"/>
    <s v="Karnataka"/>
    <s v="Hubballi"/>
    <x v="2"/>
    <s v="Office"/>
    <x v="14"/>
    <n v="1"/>
    <n v="8224.67"/>
    <n v="0.1"/>
    <n v="7402.2"/>
    <n v="5662.79"/>
    <n v="1739.41"/>
    <x v="0"/>
    <n v="0.23498554483802109"/>
    <x v="0"/>
    <x v="9"/>
    <x v="9"/>
    <s v="Q4"/>
  </r>
  <r>
    <s v="ORD102089"/>
    <x v="283"/>
    <s v="CUST1321"/>
    <s v="Rohan Rao"/>
    <x v="0"/>
    <s v="Maharashtra"/>
    <s v="Nagpur"/>
    <x v="0"/>
    <s v="Computers"/>
    <x v="3"/>
    <n v="2"/>
    <n v="16855.62"/>
    <n v="0.05"/>
    <n v="32025.68"/>
    <n v="24783.54"/>
    <n v="7242.14"/>
    <x v="0"/>
    <n v="0.22613540134042431"/>
    <x v="0"/>
    <x v="9"/>
    <x v="9"/>
    <s v="Q4"/>
  </r>
  <r>
    <s v="ORD101896"/>
    <x v="283"/>
    <s v="CUST1603"/>
    <s v="Rahul Sharma"/>
    <x v="2"/>
    <s v="Telangana"/>
    <s v="Nizamabad"/>
    <x v="3"/>
    <s v="Kitchen"/>
    <x v="7"/>
    <n v="5"/>
    <n v="1805.61"/>
    <n v="0.15"/>
    <n v="7673.84"/>
    <n v="4987.79"/>
    <n v="2686.05"/>
    <x v="2"/>
    <n v="0.35002684444815108"/>
    <x v="0"/>
    <x v="9"/>
    <x v="9"/>
    <s v="Q4"/>
  </r>
  <r>
    <s v="ORD101297"/>
    <x v="283"/>
    <s v="CUST1443"/>
    <s v="Aisha Joshi"/>
    <x v="1"/>
    <s v="Delhi"/>
    <s v="Delhi"/>
    <x v="3"/>
    <s v="Cleaning"/>
    <x v="12"/>
    <n v="1"/>
    <n v="12891.06"/>
    <n v="0.1"/>
    <n v="11601.95"/>
    <n v="9604.27"/>
    <n v="1997.68"/>
    <x v="0"/>
    <n v="0.17218484823671881"/>
    <x v="0"/>
    <x v="9"/>
    <x v="9"/>
    <s v="Q4"/>
  </r>
  <r>
    <s v="ORD101572"/>
    <x v="283"/>
    <s v="CUST1060"/>
    <s v="Aditya Kumar"/>
    <x v="1"/>
    <s v="Delhi"/>
    <s v="New Delhi"/>
    <x v="3"/>
    <s v="Kitchen"/>
    <x v="13"/>
    <n v="2"/>
    <n v="3134.53"/>
    <n v="0.05"/>
    <n v="5955.61"/>
    <n v="3550.22"/>
    <n v="2405.39"/>
    <x v="0"/>
    <n v="0.40388641969504391"/>
    <x v="0"/>
    <x v="9"/>
    <x v="9"/>
    <s v="Q4"/>
  </r>
  <r>
    <s v="ORD101284"/>
    <x v="283"/>
    <s v="CUST1388"/>
    <s v="Rahul Iyer"/>
    <x v="2"/>
    <s v="Karnataka"/>
    <s v="Mangaluru"/>
    <x v="1"/>
    <s v="Storage"/>
    <x v="9"/>
    <n v="1"/>
    <n v="524.70000000000005"/>
    <n v="0.15"/>
    <n v="446"/>
    <n v="240.09"/>
    <n v="205.91"/>
    <x v="1"/>
    <n v="0.46168161434977578"/>
    <x v="0"/>
    <x v="9"/>
    <x v="9"/>
    <s v="Q4"/>
  </r>
  <r>
    <s v="ORD101375"/>
    <x v="284"/>
    <s v="CUST1223"/>
    <s v="Nikhil Malhotra"/>
    <x v="1"/>
    <s v="Delhi"/>
    <s v="New Delhi"/>
    <x v="3"/>
    <s v="Cleaning"/>
    <x v="15"/>
    <n v="2"/>
    <n v="7915.05"/>
    <n v="0.15"/>
    <n v="13455.58"/>
    <n v="10572.87"/>
    <n v="2882.71"/>
    <x v="0"/>
    <n v="0.21423899973096661"/>
    <x v="0"/>
    <x v="9"/>
    <x v="9"/>
    <s v="Q4"/>
  </r>
  <r>
    <s v="ORD102326"/>
    <x v="284"/>
    <s v="CUST1507"/>
    <s v="Ishaan Sharma"/>
    <x v="0"/>
    <s v="Maharashtra"/>
    <s v="Mumbai"/>
    <x v="3"/>
    <s v="Kitchen"/>
    <x v="7"/>
    <n v="2"/>
    <n v="1771.41"/>
    <n v="0.15"/>
    <n v="3011.4"/>
    <n v="1886.89"/>
    <n v="1124.51"/>
    <x v="0"/>
    <n v="0.37341767948462512"/>
    <x v="0"/>
    <x v="9"/>
    <x v="9"/>
    <s v="Q4"/>
  </r>
  <r>
    <s v="ORD101925"/>
    <x v="284"/>
    <s v="CUST1355"/>
    <s v="Ishaan Malhotra"/>
    <x v="0"/>
    <s v="Maharashtra"/>
    <s v="Nagpur"/>
    <x v="2"/>
    <s v="Living Room"/>
    <x v="16"/>
    <n v="4"/>
    <n v="4009.44"/>
    <n v="0.05"/>
    <n v="15235.87"/>
    <n v="10445.530000000001"/>
    <n v="4790.34"/>
    <x v="4"/>
    <n v="0.31441197647393948"/>
    <x v="0"/>
    <x v="9"/>
    <x v="9"/>
    <s v="Q4"/>
  </r>
  <r>
    <s v="ORD101120"/>
    <x v="285"/>
    <s v="CUST1235"/>
    <s v="Rahul Singh"/>
    <x v="0"/>
    <s v="Maharashtra"/>
    <s v="Mumbai"/>
    <x v="0"/>
    <s v="Computers"/>
    <x v="0"/>
    <n v="4"/>
    <n v="62064.46"/>
    <n v="0"/>
    <n v="248257.84"/>
    <n v="225188.08"/>
    <n v="23069.759999999998"/>
    <x v="0"/>
    <n v="9.2926612106187662E-2"/>
    <x v="0"/>
    <x v="9"/>
    <x v="9"/>
    <s v="Q4"/>
  </r>
  <r>
    <s v="ORD102178"/>
    <x v="285"/>
    <s v="CUST1373"/>
    <s v="Sneha Verma"/>
    <x v="2"/>
    <s v="Telangana"/>
    <s v="Hyderabad"/>
    <x v="1"/>
    <s v="Stationery"/>
    <x v="1"/>
    <n v="3"/>
    <n v="246.05"/>
    <n v="0.05"/>
    <n v="701.24"/>
    <n v="290.82"/>
    <n v="410.42"/>
    <x v="3"/>
    <n v="0.58527750841366721"/>
    <x v="0"/>
    <x v="9"/>
    <x v="9"/>
    <s v="Q4"/>
  </r>
  <r>
    <s v="ORD101750"/>
    <x v="285"/>
    <s v="CUST1565"/>
    <s v="Aisha Naidu"/>
    <x v="2"/>
    <s v="Telangana"/>
    <s v="Nizamabad"/>
    <x v="0"/>
    <s v="Accessories"/>
    <x v="6"/>
    <n v="2"/>
    <n v="804.03"/>
    <n v="0.05"/>
    <n v="1527.66"/>
    <n v="1031.73"/>
    <n v="495.93"/>
    <x v="2"/>
    <n v="0.32463375358391272"/>
    <x v="0"/>
    <x v="9"/>
    <x v="9"/>
    <s v="Q4"/>
  </r>
  <r>
    <s v="ORD102164"/>
    <x v="286"/>
    <s v="CUST1152"/>
    <s v="Aarav Patel"/>
    <x v="0"/>
    <s v="Maharashtra"/>
    <s v="Nagpur"/>
    <x v="3"/>
    <s v="Cleaning"/>
    <x v="12"/>
    <n v="2"/>
    <n v="13516.85"/>
    <n v="0.15"/>
    <n v="22978.65"/>
    <n v="18838.97"/>
    <n v="4139.68"/>
    <x v="3"/>
    <n v="0.1801533162305009"/>
    <x v="0"/>
    <x v="9"/>
    <x v="9"/>
    <s v="Q4"/>
  </r>
  <r>
    <s v="ORD101867"/>
    <x v="287"/>
    <s v="CUST1335"/>
    <s v="Aarav Das"/>
    <x v="2"/>
    <s v="Karnataka"/>
    <s v="Hubballi"/>
    <x v="0"/>
    <s v="Audio"/>
    <x v="11"/>
    <n v="6"/>
    <n v="1902.21"/>
    <n v="0.1"/>
    <n v="10271.93"/>
    <n v="6608.59"/>
    <n v="3663.34"/>
    <x v="3"/>
    <n v="0.35663599732474821"/>
    <x v="0"/>
    <x v="9"/>
    <x v="9"/>
    <s v="Q4"/>
  </r>
  <r>
    <s v="ORD102276"/>
    <x v="287"/>
    <s v="CUST1563"/>
    <s v="Aditya Iyer"/>
    <x v="1"/>
    <s v="Delhi"/>
    <s v="New Delhi"/>
    <x v="3"/>
    <s v="Kitchen"/>
    <x v="7"/>
    <n v="3"/>
    <n v="1803.55"/>
    <n v="0.1"/>
    <n v="4869.59"/>
    <n v="2897.26"/>
    <n v="1972.33"/>
    <x v="2"/>
    <n v="0.40502999225807512"/>
    <x v="0"/>
    <x v="9"/>
    <x v="9"/>
    <s v="Q4"/>
  </r>
  <r>
    <s v="ORD101408"/>
    <x v="287"/>
    <s v="CUST1071"/>
    <s v="Varun Das"/>
    <x v="1"/>
    <s v="Delhi"/>
    <s v="New Delhi"/>
    <x v="2"/>
    <s v="Living Room"/>
    <x v="4"/>
    <n v="1"/>
    <n v="4846.59"/>
    <n v="0.15"/>
    <n v="4119.6000000000004"/>
    <n v="2898.05"/>
    <n v="1221.55"/>
    <x v="0"/>
    <n v="0.29652150694242158"/>
    <x v="0"/>
    <x v="9"/>
    <x v="9"/>
    <s v="Q4"/>
  </r>
  <r>
    <s v="ORD101548"/>
    <x v="287"/>
    <s v="CUST1530"/>
    <s v="Sneha Gupta"/>
    <x v="0"/>
    <s v="Maharashtra"/>
    <s v="Mumbai"/>
    <x v="1"/>
    <s v="Storage"/>
    <x v="2"/>
    <n v="4"/>
    <n v="712.29"/>
    <n v="0.05"/>
    <n v="2706.7"/>
    <n v="1382.93"/>
    <n v="1323.77"/>
    <x v="2"/>
    <n v="0.4890715631580892"/>
    <x v="0"/>
    <x v="9"/>
    <x v="9"/>
    <s v="Q4"/>
  </r>
  <r>
    <s v="ORD101899"/>
    <x v="288"/>
    <s v="CUST1202"/>
    <s v="Varun Nair"/>
    <x v="1"/>
    <s v="Delhi"/>
    <s v="New Delhi"/>
    <x v="1"/>
    <s v="Stationery"/>
    <x v="1"/>
    <n v="3"/>
    <n v="240.5"/>
    <n v="0.15"/>
    <n v="613.27"/>
    <n v="266.99"/>
    <n v="346.28"/>
    <x v="0"/>
    <n v="0.56464526228251832"/>
    <x v="0"/>
    <x v="9"/>
    <x v="9"/>
    <s v="Q4"/>
  </r>
  <r>
    <s v="ORD102058"/>
    <x v="288"/>
    <s v="CUST1479"/>
    <s v="Aisha Das"/>
    <x v="0"/>
    <s v="Maharashtra"/>
    <s v="Pune"/>
    <x v="0"/>
    <s v="Accessories"/>
    <x v="6"/>
    <n v="2"/>
    <n v="804.92"/>
    <n v="0.05"/>
    <n v="1529.35"/>
    <n v="1018.04"/>
    <n v="511.31"/>
    <x v="1"/>
    <n v="0.33433157877529668"/>
    <x v="0"/>
    <x v="9"/>
    <x v="9"/>
    <s v="Q4"/>
  </r>
  <r>
    <s v="ORD102069"/>
    <x v="288"/>
    <s v="CUST1283"/>
    <s v="Diya Iyer"/>
    <x v="2"/>
    <s v="Tamil Nadu"/>
    <s v="Madurai"/>
    <x v="0"/>
    <s v="Computers"/>
    <x v="0"/>
    <n v="1"/>
    <n v="58318.01"/>
    <n v="0.2"/>
    <n v="46654.41"/>
    <n v="50643.51"/>
    <n v="-3989.1"/>
    <x v="4"/>
    <n v="-8.5503171082862262E-2"/>
    <x v="0"/>
    <x v="9"/>
    <x v="9"/>
    <s v="Q4"/>
  </r>
  <r>
    <s v="ORD101841"/>
    <x v="289"/>
    <s v="CUST1508"/>
    <s v="Vikram Patel"/>
    <x v="2"/>
    <s v="Telangana"/>
    <s v="Hyderabad"/>
    <x v="2"/>
    <s v="Living Room"/>
    <x v="4"/>
    <n v="2"/>
    <n v="5207.2299999999996"/>
    <n v="0"/>
    <n v="10414.459999999999"/>
    <n v="6171.83"/>
    <n v="4242.63"/>
    <x v="2"/>
    <n v="0.40737877912056902"/>
    <x v="0"/>
    <x v="9"/>
    <x v="9"/>
    <s v="Q4"/>
  </r>
  <r>
    <s v="ORD101677"/>
    <x v="289"/>
    <s v="CUST1641"/>
    <s v="Kiran Naidu"/>
    <x v="1"/>
    <s v="Delhi"/>
    <s v="Delhi"/>
    <x v="0"/>
    <s v="Accessories"/>
    <x v="5"/>
    <n v="1"/>
    <n v="2570.64"/>
    <n v="0.05"/>
    <n v="2442.11"/>
    <n v="1383.91"/>
    <n v="1058.2"/>
    <x v="3"/>
    <n v="0.43331381469303182"/>
    <x v="0"/>
    <x v="9"/>
    <x v="9"/>
    <s v="Q4"/>
  </r>
  <r>
    <s v="ORD100531"/>
    <x v="289"/>
    <s v="CUST1506"/>
    <s v="Vikram Joshi"/>
    <x v="2"/>
    <s v="Tamil Nadu"/>
    <s v="Coimbatore"/>
    <x v="3"/>
    <s v="Kitchen"/>
    <x v="13"/>
    <n v="1"/>
    <n v="3228.3"/>
    <n v="0.15"/>
    <n v="2744.06"/>
    <n v="1853.23"/>
    <n v="890.83"/>
    <x v="0"/>
    <n v="0.3246394029285074"/>
    <x v="0"/>
    <x v="9"/>
    <x v="9"/>
    <s v="Q4"/>
  </r>
  <r>
    <s v="ORD100658"/>
    <x v="289"/>
    <s v="CUST1278"/>
    <s v="Aditya Mehta"/>
    <x v="1"/>
    <s v="Delhi"/>
    <s v="New Delhi"/>
    <x v="3"/>
    <s v="Cleaning"/>
    <x v="12"/>
    <n v="3"/>
    <n v="12982.67"/>
    <n v="0.05"/>
    <n v="37000.61"/>
    <n v="28297.67"/>
    <n v="8702.94"/>
    <x v="2"/>
    <n v="0.23521071679629069"/>
    <x v="0"/>
    <x v="9"/>
    <x v="9"/>
    <s v="Q4"/>
  </r>
  <r>
    <s v="ORD100336"/>
    <x v="289"/>
    <s v="CUST1209"/>
    <s v="Vikram Mehta"/>
    <x v="2"/>
    <s v="Karnataka"/>
    <s v="Bengaluru"/>
    <x v="1"/>
    <s v="Storage"/>
    <x v="2"/>
    <n v="2"/>
    <n v="693.24"/>
    <n v="0.05"/>
    <n v="1317.16"/>
    <n v="668.07"/>
    <n v="649.09"/>
    <x v="3"/>
    <n v="0.49279510461902881"/>
    <x v="0"/>
    <x v="9"/>
    <x v="9"/>
    <s v="Q4"/>
  </r>
  <r>
    <s v="ORD100968"/>
    <x v="290"/>
    <s v="CUST1090"/>
    <s v="Nikhil Das"/>
    <x v="2"/>
    <s v="Tamil Nadu"/>
    <s v="Salem"/>
    <x v="0"/>
    <s v="Computers"/>
    <x v="3"/>
    <n v="4"/>
    <n v="16807.04"/>
    <n v="0.05"/>
    <n v="63866.75"/>
    <n v="49485.17"/>
    <n v="14381.58"/>
    <x v="0"/>
    <n v="0.22518102142351071"/>
    <x v="0"/>
    <x v="9"/>
    <x v="9"/>
    <s v="Q4"/>
  </r>
  <r>
    <s v="ORD100756"/>
    <x v="291"/>
    <s v="CUST1509"/>
    <s v="Kavya Reddy"/>
    <x v="2"/>
    <s v="Tamil Nadu"/>
    <s v="Chennai"/>
    <x v="3"/>
    <s v="Kitchen"/>
    <x v="7"/>
    <n v="3"/>
    <n v="1805.01"/>
    <n v="0.05"/>
    <n v="5144.28"/>
    <n v="2963.76"/>
    <n v="2180.52"/>
    <x v="0"/>
    <n v="0.42387272854510261"/>
    <x v="0"/>
    <x v="9"/>
    <x v="9"/>
    <s v="Q4"/>
  </r>
  <r>
    <s v="ORD100162"/>
    <x v="292"/>
    <s v="CUST1634"/>
    <s v="Ishaan Reddy"/>
    <x v="2"/>
    <s v="Telangana"/>
    <s v="Warangal"/>
    <x v="2"/>
    <s v="Office"/>
    <x v="14"/>
    <n v="1"/>
    <n v="8402.11"/>
    <n v="0.2"/>
    <n v="6721.69"/>
    <n v="5854.66"/>
    <n v="867.03"/>
    <x v="1"/>
    <n v="0.12898988200884001"/>
    <x v="0"/>
    <x v="9"/>
    <x v="9"/>
    <s v="Q4"/>
  </r>
  <r>
    <s v="ORD100489"/>
    <x v="292"/>
    <s v="CUST1467"/>
    <s v="Neha Sharma"/>
    <x v="1"/>
    <s v="Delhi"/>
    <s v="New Delhi"/>
    <x v="0"/>
    <s v="Accessories"/>
    <x v="5"/>
    <n v="1"/>
    <n v="2480.42"/>
    <n v="0.1"/>
    <n v="2232.38"/>
    <n v="1361.39"/>
    <n v="870.99"/>
    <x v="3"/>
    <n v="0.3901620691817701"/>
    <x v="0"/>
    <x v="9"/>
    <x v="9"/>
    <s v="Q4"/>
  </r>
  <r>
    <s v="ORD100412"/>
    <x v="293"/>
    <s v="CUST1556"/>
    <s v="Varun Gupta"/>
    <x v="3"/>
    <s v="West Bengal"/>
    <s v="Durgapur"/>
    <x v="0"/>
    <s v="Audio"/>
    <x v="11"/>
    <n v="4"/>
    <n v="2060.96"/>
    <n v="0.1"/>
    <n v="7419.46"/>
    <n v="4740.13"/>
    <n v="2679.33"/>
    <x v="2"/>
    <n v="0.36112196844514288"/>
    <x v="0"/>
    <x v="9"/>
    <x v="9"/>
    <s v="Q4"/>
  </r>
  <r>
    <s v="ORD101303"/>
    <x v="294"/>
    <s v="CUST1271"/>
    <s v="Rahul Iyer"/>
    <x v="3"/>
    <s v="West Bengal"/>
    <s v="Durgapur"/>
    <x v="0"/>
    <s v="Computers"/>
    <x v="3"/>
    <n v="2"/>
    <n v="15264.26"/>
    <n v="0.2"/>
    <n v="24422.82"/>
    <n v="23577.56"/>
    <n v="845.26"/>
    <x v="0"/>
    <n v="3.4609434946496757E-2"/>
    <x v="0"/>
    <x v="10"/>
    <x v="10"/>
    <s v="Q4"/>
  </r>
  <r>
    <s v="ORD100010"/>
    <x v="294"/>
    <s v="CUST1530"/>
    <s v="Rahul Kumar"/>
    <x v="2"/>
    <s v="Karnataka"/>
    <s v="Mysuru"/>
    <x v="1"/>
    <s v="Stationery"/>
    <x v="1"/>
    <n v="2"/>
    <n v="253.91"/>
    <n v="0.15"/>
    <n v="431.65"/>
    <n v="191.53"/>
    <n v="240.12"/>
    <x v="0"/>
    <n v="0.55628402641028618"/>
    <x v="0"/>
    <x v="10"/>
    <x v="10"/>
    <s v="Q4"/>
  </r>
  <r>
    <s v="ORD101127"/>
    <x v="294"/>
    <s v="CUST1103"/>
    <s v="Meera Gupta"/>
    <x v="2"/>
    <s v="Telangana"/>
    <s v="Nizamabad"/>
    <x v="2"/>
    <s v="Office"/>
    <x v="10"/>
    <n v="3"/>
    <n v="7045.26"/>
    <n v="0"/>
    <n v="21135.78"/>
    <n v="13142.6"/>
    <n v="7993.18"/>
    <x v="0"/>
    <n v="0.37818239970325213"/>
    <x v="0"/>
    <x v="10"/>
    <x v="10"/>
    <s v="Q4"/>
  </r>
  <r>
    <s v="ORD101682"/>
    <x v="295"/>
    <s v="CUST1277"/>
    <s v="Arjun Nair"/>
    <x v="2"/>
    <s v="Telangana"/>
    <s v="Hyderabad"/>
    <x v="2"/>
    <s v="Office"/>
    <x v="14"/>
    <n v="5"/>
    <n v="8599.43"/>
    <n v="0.05"/>
    <n v="40847.29"/>
    <n v="30114.69"/>
    <n v="10732.6"/>
    <x v="0"/>
    <n v="0.2627493770088542"/>
    <x v="0"/>
    <x v="10"/>
    <x v="10"/>
    <s v="Q4"/>
  </r>
  <r>
    <s v="ORD101222"/>
    <x v="295"/>
    <s v="CUST1497"/>
    <s v="Arjun Singh"/>
    <x v="2"/>
    <s v="Karnataka"/>
    <s v="Mangaluru"/>
    <x v="0"/>
    <s v="Accessories"/>
    <x v="6"/>
    <n v="3"/>
    <n v="753.15"/>
    <n v="0.1"/>
    <n v="2033.5"/>
    <n v="1436.39"/>
    <n v="597.11"/>
    <x v="1"/>
    <n v="0.29363658716498647"/>
    <x v="0"/>
    <x v="10"/>
    <x v="10"/>
    <s v="Q4"/>
  </r>
  <r>
    <s v="ORD101336"/>
    <x v="295"/>
    <s v="CUST1096"/>
    <s v="Aarav Gupta"/>
    <x v="1"/>
    <s v="Delhi"/>
    <s v="Delhi"/>
    <x v="2"/>
    <s v="Office"/>
    <x v="10"/>
    <n v="6"/>
    <n v="6930.45"/>
    <n v="0"/>
    <n v="41582.699999999997"/>
    <n v="25634.42"/>
    <n v="15948.28"/>
    <x v="0"/>
    <n v="0.38353161290632892"/>
    <x v="0"/>
    <x v="10"/>
    <x v="10"/>
    <s v="Q4"/>
  </r>
  <r>
    <s v="ORD101025"/>
    <x v="296"/>
    <s v="CUST1400"/>
    <s v="Kiran Verma"/>
    <x v="2"/>
    <s v="Tamil Nadu"/>
    <s v="Coimbatore"/>
    <x v="0"/>
    <s v="Audio"/>
    <x v="11"/>
    <n v="1"/>
    <n v="1887.57"/>
    <n v="0"/>
    <n v="1887.57"/>
    <n v="1081.67"/>
    <n v="805.9"/>
    <x v="1"/>
    <n v="0.42695105347086459"/>
    <x v="0"/>
    <x v="10"/>
    <x v="10"/>
    <s v="Q4"/>
  </r>
  <r>
    <s v="ORD101229"/>
    <x v="296"/>
    <s v="CUST1616"/>
    <s v="Vikram Das"/>
    <x v="0"/>
    <s v="Maharashtra"/>
    <s v="Nashik"/>
    <x v="3"/>
    <s v="Cleaning"/>
    <x v="12"/>
    <n v="2"/>
    <n v="13762.31"/>
    <n v="0.05"/>
    <n v="26148.39"/>
    <n v="20006.07"/>
    <n v="6142.32"/>
    <x v="4"/>
    <n v="0.2349024165541358"/>
    <x v="0"/>
    <x v="10"/>
    <x v="10"/>
    <s v="Q4"/>
  </r>
  <r>
    <s v="ORD102063"/>
    <x v="296"/>
    <s v="CUST1354"/>
    <s v="Ishaan Malhotra"/>
    <x v="1"/>
    <s v="Delhi"/>
    <s v="Delhi"/>
    <x v="0"/>
    <s v="Computers"/>
    <x v="0"/>
    <n v="2"/>
    <n v="60806.54"/>
    <n v="0.1"/>
    <n v="109451.77"/>
    <n v="104330"/>
    <n v="5121.7700000000004"/>
    <x v="1"/>
    <n v="4.6794766315793712E-2"/>
    <x v="0"/>
    <x v="10"/>
    <x v="10"/>
    <s v="Q4"/>
  </r>
  <r>
    <s v="ORD100070"/>
    <x v="296"/>
    <s v="CUST1200"/>
    <s v="Ananya Naidu"/>
    <x v="0"/>
    <s v="Maharashtra"/>
    <s v="Mumbai"/>
    <x v="2"/>
    <s v="Office"/>
    <x v="14"/>
    <n v="1"/>
    <n v="8934.9599999999991"/>
    <n v="0"/>
    <n v="8934.9599999999991"/>
    <n v="6050.6"/>
    <n v="2884.36"/>
    <x v="0"/>
    <n v="0.32281733773850141"/>
    <x v="0"/>
    <x v="10"/>
    <x v="10"/>
    <s v="Q4"/>
  </r>
  <r>
    <s v="ORD102081"/>
    <x v="297"/>
    <s v="CUST1299"/>
    <s v="Kavya Naidu"/>
    <x v="2"/>
    <s v="Karnataka"/>
    <s v="Hubballi"/>
    <x v="2"/>
    <s v="Office"/>
    <x v="14"/>
    <n v="2"/>
    <n v="8605.99"/>
    <n v="0.15"/>
    <n v="14630.18"/>
    <n v="11656.53"/>
    <n v="2973.65"/>
    <x v="1"/>
    <n v="0.2032545054127837"/>
    <x v="0"/>
    <x v="10"/>
    <x v="10"/>
    <s v="Q4"/>
  </r>
  <r>
    <s v="ORD102270"/>
    <x v="297"/>
    <s v="CUST1386"/>
    <s v="Ishaan Sharma"/>
    <x v="3"/>
    <s v="West Bengal"/>
    <s v="Durgapur"/>
    <x v="2"/>
    <s v="Living Room"/>
    <x v="4"/>
    <n v="1"/>
    <n v="4721.51"/>
    <n v="0"/>
    <n v="4721.51"/>
    <n v="2961.31"/>
    <n v="1760.2"/>
    <x v="0"/>
    <n v="0.3728044629790046"/>
    <x v="0"/>
    <x v="10"/>
    <x v="10"/>
    <s v="Q4"/>
  </r>
  <r>
    <s v="ORD100175"/>
    <x v="297"/>
    <s v="CUST1398"/>
    <s v="Arjun Naidu"/>
    <x v="0"/>
    <s v="Maharashtra"/>
    <s v="Pune"/>
    <x v="3"/>
    <s v="Cleaning"/>
    <x v="15"/>
    <n v="1"/>
    <n v="7254.2"/>
    <n v="0.1"/>
    <n v="6528.78"/>
    <n v="4767.1400000000003"/>
    <n v="1761.64"/>
    <x v="2"/>
    <n v="0.26982682828951199"/>
    <x v="0"/>
    <x v="10"/>
    <x v="10"/>
    <s v="Q4"/>
  </r>
  <r>
    <s v="ORD100046"/>
    <x v="298"/>
    <s v="CUST1078"/>
    <s v="Kavya Joshi"/>
    <x v="3"/>
    <s v="West Bengal"/>
    <s v="Durgapur"/>
    <x v="2"/>
    <s v="Living Room"/>
    <x v="4"/>
    <n v="2"/>
    <n v="5129.63"/>
    <n v="0.2"/>
    <n v="8207.41"/>
    <n v="6484.04"/>
    <n v="1723.37"/>
    <x v="1"/>
    <n v="0.2099773253681734"/>
    <x v="0"/>
    <x v="10"/>
    <x v="10"/>
    <s v="Q4"/>
  </r>
  <r>
    <s v="ORD102317"/>
    <x v="298"/>
    <s v="CUST1057"/>
    <s v="Kiran Singh"/>
    <x v="2"/>
    <s v="Telangana"/>
    <s v="Warangal"/>
    <x v="3"/>
    <s v="Kitchen"/>
    <x v="13"/>
    <n v="1"/>
    <n v="3354.24"/>
    <n v="0.05"/>
    <n v="3186.53"/>
    <n v="1977.46"/>
    <n v="1209.07"/>
    <x v="1"/>
    <n v="0.37943154465829598"/>
    <x v="0"/>
    <x v="10"/>
    <x v="10"/>
    <s v="Q4"/>
  </r>
  <r>
    <s v="ORD101227"/>
    <x v="298"/>
    <s v="CUST1395"/>
    <s v="Pooja Gupta"/>
    <x v="0"/>
    <s v="Maharashtra"/>
    <s v="Mumbai"/>
    <x v="0"/>
    <s v="Accessories"/>
    <x v="6"/>
    <n v="1"/>
    <n v="797.63"/>
    <n v="0.1"/>
    <n v="717.87"/>
    <n v="479.16"/>
    <n v="238.71"/>
    <x v="1"/>
    <n v="0.33252538760499811"/>
    <x v="0"/>
    <x v="10"/>
    <x v="10"/>
    <s v="Q4"/>
  </r>
  <r>
    <s v="ORD100138"/>
    <x v="298"/>
    <s v="CUST1257"/>
    <s v="Vikram Mehta"/>
    <x v="2"/>
    <s v="Karnataka"/>
    <s v="Bengaluru"/>
    <x v="3"/>
    <s v="Kitchen"/>
    <x v="7"/>
    <n v="4"/>
    <n v="1867.91"/>
    <n v="0.1"/>
    <n v="6724.48"/>
    <n v="3903.24"/>
    <n v="2821.24"/>
    <x v="0"/>
    <n v="0.41954768249738272"/>
    <x v="0"/>
    <x v="10"/>
    <x v="10"/>
    <s v="Q4"/>
  </r>
  <r>
    <s v="ORD100986"/>
    <x v="298"/>
    <s v="CUST1266"/>
    <s v="Priya Gupta"/>
    <x v="0"/>
    <s v="Maharashtra"/>
    <s v="Nashik"/>
    <x v="2"/>
    <s v="Office"/>
    <x v="10"/>
    <n v="3"/>
    <n v="7186.43"/>
    <n v="0.1"/>
    <n v="19403.36"/>
    <n v="14169.28"/>
    <n v="5234.08"/>
    <x v="2"/>
    <n v="0.26975121834568849"/>
    <x v="0"/>
    <x v="10"/>
    <x v="10"/>
    <s v="Q4"/>
  </r>
  <r>
    <s v="ORD101401"/>
    <x v="298"/>
    <s v="CUST1144"/>
    <s v="Aditya Nair"/>
    <x v="0"/>
    <s v="Maharashtra"/>
    <s v="Mumbai"/>
    <x v="1"/>
    <s v="Storage"/>
    <x v="9"/>
    <n v="2"/>
    <n v="485.74"/>
    <n v="0.05"/>
    <n v="922.91"/>
    <n v="444.68"/>
    <n v="478.23"/>
    <x v="2"/>
    <n v="0.51817620353013838"/>
    <x v="0"/>
    <x v="10"/>
    <x v="10"/>
    <s v="Q4"/>
  </r>
  <r>
    <s v="ORD101666"/>
    <x v="298"/>
    <s v="CUST1481"/>
    <s v="Aisha Malhotra"/>
    <x v="2"/>
    <s v="Tamil Nadu"/>
    <s v="Salem"/>
    <x v="0"/>
    <s v="Accessories"/>
    <x v="6"/>
    <n v="2"/>
    <n v="822.38"/>
    <n v="0.15"/>
    <n v="1398.05"/>
    <n v="1048.44"/>
    <n v="349.61"/>
    <x v="2"/>
    <n v="0.25006973999499299"/>
    <x v="0"/>
    <x v="10"/>
    <x v="10"/>
    <s v="Q4"/>
  </r>
  <r>
    <s v="ORD100540"/>
    <x v="299"/>
    <s v="CUST1594"/>
    <s v="Arjun Iyer"/>
    <x v="1"/>
    <s v="Delhi"/>
    <s v="Delhi"/>
    <x v="3"/>
    <s v="Kitchen"/>
    <x v="7"/>
    <n v="6"/>
    <n v="1857.09"/>
    <n v="0.1"/>
    <n v="10028.290000000001"/>
    <n v="6019.74"/>
    <n v="4008.55"/>
    <x v="4"/>
    <n v="0.39972418029394841"/>
    <x v="0"/>
    <x v="10"/>
    <x v="10"/>
    <s v="Q4"/>
  </r>
  <r>
    <s v="ORD102231"/>
    <x v="299"/>
    <s v="CUST1033"/>
    <s v="Diya Sharma"/>
    <x v="2"/>
    <s v="Telangana"/>
    <s v="Karimnagar"/>
    <x v="0"/>
    <s v="Accessories"/>
    <x v="6"/>
    <n v="1"/>
    <n v="783.91"/>
    <n v="0.1"/>
    <n v="705.52"/>
    <n v="472.49"/>
    <n v="233.03"/>
    <x v="0"/>
    <n v="0.33029538496428168"/>
    <x v="0"/>
    <x v="10"/>
    <x v="10"/>
    <s v="Q4"/>
  </r>
  <r>
    <s v="ORD101004"/>
    <x v="299"/>
    <s v="CUST1025"/>
    <s v="Varun Kumar"/>
    <x v="2"/>
    <s v="Telangana"/>
    <s v="Hyderabad"/>
    <x v="3"/>
    <s v="Kitchen"/>
    <x v="13"/>
    <n v="3"/>
    <n v="3205.86"/>
    <n v="0.1"/>
    <n v="8655.82"/>
    <n v="5544.32"/>
    <n v="3111.5"/>
    <x v="3"/>
    <n v="0.3594691201988951"/>
    <x v="0"/>
    <x v="10"/>
    <x v="10"/>
    <s v="Q4"/>
  </r>
  <r>
    <s v="ORD101827"/>
    <x v="300"/>
    <s v="CUST1031"/>
    <s v="Pooja Rao"/>
    <x v="0"/>
    <s v="Maharashtra"/>
    <s v="Nagpur"/>
    <x v="1"/>
    <s v="Storage"/>
    <x v="9"/>
    <n v="1"/>
    <n v="509.36"/>
    <n v="0.1"/>
    <n v="458.42"/>
    <n v="228.11"/>
    <n v="230.31"/>
    <x v="0"/>
    <n v="0.50239954626761485"/>
    <x v="0"/>
    <x v="10"/>
    <x v="10"/>
    <s v="Q4"/>
  </r>
  <r>
    <s v="ORD100811"/>
    <x v="300"/>
    <s v="CUST1309"/>
    <s v="Rahul Malhotra"/>
    <x v="1"/>
    <s v="Delhi"/>
    <s v="Delhi"/>
    <x v="3"/>
    <s v="Kitchen"/>
    <x v="7"/>
    <n v="1"/>
    <n v="1826.67"/>
    <n v="0.1"/>
    <n v="1644"/>
    <n v="996.06"/>
    <n v="647.94000000000005"/>
    <x v="0"/>
    <n v="0.3941240875912409"/>
    <x v="0"/>
    <x v="10"/>
    <x v="10"/>
    <s v="Q4"/>
  </r>
  <r>
    <s v="ORD101965"/>
    <x v="300"/>
    <s v="CUST1518"/>
    <s v="Priya Gupta"/>
    <x v="1"/>
    <s v="Delhi"/>
    <s v="Delhi"/>
    <x v="3"/>
    <s v="Kitchen"/>
    <x v="13"/>
    <n v="1"/>
    <n v="3412.03"/>
    <n v="0"/>
    <n v="3412.03"/>
    <n v="2012.65"/>
    <n v="1399.38"/>
    <x v="0"/>
    <n v="0.41013121221091259"/>
    <x v="0"/>
    <x v="10"/>
    <x v="10"/>
    <s v="Q4"/>
  </r>
  <r>
    <s v="ORD100488"/>
    <x v="300"/>
    <s v="CUST1166"/>
    <s v="Arjun Sharma"/>
    <x v="1"/>
    <s v="Delhi"/>
    <s v="Delhi"/>
    <x v="2"/>
    <s v="Office"/>
    <x v="10"/>
    <n v="2"/>
    <n v="6900.73"/>
    <n v="0"/>
    <n v="13801.46"/>
    <n v="8814.86"/>
    <n v="4986.6000000000004"/>
    <x v="1"/>
    <n v="0.3613096005784896"/>
    <x v="0"/>
    <x v="10"/>
    <x v="10"/>
    <s v="Q4"/>
  </r>
  <r>
    <s v="ORD101489"/>
    <x v="301"/>
    <s v="CUST1075"/>
    <s v="Kavya Sharma"/>
    <x v="2"/>
    <s v="Telangana"/>
    <s v="Hyderabad"/>
    <x v="3"/>
    <s v="Cleaning"/>
    <x v="12"/>
    <n v="1"/>
    <n v="12380.46"/>
    <n v="0.15"/>
    <n v="10523.39"/>
    <n v="9031.7800000000007"/>
    <n v="1491.61"/>
    <x v="0"/>
    <n v="0.14174234728542801"/>
    <x v="0"/>
    <x v="10"/>
    <x v="10"/>
    <s v="Q4"/>
  </r>
  <r>
    <s v="ORD100487"/>
    <x v="301"/>
    <s v="CUST1052"/>
    <s v="Sanjana Mehta"/>
    <x v="1"/>
    <s v="Delhi"/>
    <s v="Delhi"/>
    <x v="0"/>
    <s v="Accessories"/>
    <x v="6"/>
    <n v="2"/>
    <n v="753.01"/>
    <n v="0.1"/>
    <n v="1355.42"/>
    <n v="933.96"/>
    <n v="421.46"/>
    <x v="1"/>
    <n v="0.31094420917501581"/>
    <x v="0"/>
    <x v="10"/>
    <x v="10"/>
    <s v="Q4"/>
  </r>
  <r>
    <s v="ORD101884"/>
    <x v="301"/>
    <s v="CUST1286"/>
    <s v="Aditya Das"/>
    <x v="2"/>
    <s v="Telangana"/>
    <s v="Karimnagar"/>
    <x v="3"/>
    <s v="Kitchen"/>
    <x v="13"/>
    <n v="1"/>
    <n v="3383.81"/>
    <n v="0.1"/>
    <n v="3045.43"/>
    <n v="1906.02"/>
    <n v="1139.4100000000001"/>
    <x v="0"/>
    <n v="0.37413764230338581"/>
    <x v="0"/>
    <x v="10"/>
    <x v="10"/>
    <s v="Q4"/>
  </r>
  <r>
    <s v="ORD101830"/>
    <x v="301"/>
    <s v="CUST1390"/>
    <s v="Nikhil Iyer"/>
    <x v="2"/>
    <s v="Karnataka"/>
    <s v="Hubballi"/>
    <x v="2"/>
    <s v="Office"/>
    <x v="14"/>
    <n v="3"/>
    <n v="8701.74"/>
    <n v="0.1"/>
    <n v="23494.7"/>
    <n v="17578.009999999998"/>
    <n v="5916.69"/>
    <x v="1"/>
    <n v="0.25183083844441512"/>
    <x v="0"/>
    <x v="10"/>
    <x v="10"/>
    <s v="Q4"/>
  </r>
  <r>
    <s v="ORD102298"/>
    <x v="302"/>
    <s v="CUST1173"/>
    <s v="Rahul Joshi"/>
    <x v="2"/>
    <s v="Tamil Nadu"/>
    <s v="Coimbatore"/>
    <x v="1"/>
    <s v="Storage"/>
    <x v="2"/>
    <n v="1"/>
    <n v="709.26"/>
    <n v="0.1"/>
    <n v="638.33000000000004"/>
    <n v="338.03"/>
    <n v="300.3"/>
    <x v="2"/>
    <n v="0.47044632086851629"/>
    <x v="0"/>
    <x v="10"/>
    <x v="10"/>
    <s v="Q4"/>
  </r>
  <r>
    <s v="ORD101059"/>
    <x v="302"/>
    <s v="CUST1514"/>
    <s v="Aditya Das"/>
    <x v="1"/>
    <s v="Delhi"/>
    <s v="New Delhi"/>
    <x v="0"/>
    <s v="Accessories"/>
    <x v="6"/>
    <n v="5"/>
    <n v="795.56"/>
    <n v="0.15"/>
    <n v="3381.13"/>
    <n v="2559.5500000000002"/>
    <n v="821.58"/>
    <x v="0"/>
    <n v="0.24298976969238101"/>
    <x v="0"/>
    <x v="10"/>
    <x v="10"/>
    <s v="Q4"/>
  </r>
  <r>
    <s v="ORD101200"/>
    <x v="302"/>
    <s v="CUST1444"/>
    <s v="Aisha Iyer"/>
    <x v="3"/>
    <s v="West Bengal"/>
    <s v="Durgapur"/>
    <x v="0"/>
    <s v="Computers"/>
    <x v="3"/>
    <n v="2"/>
    <n v="16807.18"/>
    <n v="0"/>
    <n v="33614.36"/>
    <n v="24402.21"/>
    <n v="9212.15"/>
    <x v="1"/>
    <n v="0.27405400549051062"/>
    <x v="0"/>
    <x v="10"/>
    <x v="10"/>
    <s v="Q4"/>
  </r>
  <r>
    <s v="ORD102424"/>
    <x v="303"/>
    <s v="CUST1607"/>
    <s v="Varun Sharma"/>
    <x v="2"/>
    <s v="Tamil Nadu"/>
    <s v="Coimbatore"/>
    <x v="3"/>
    <s v="Cleaning"/>
    <x v="15"/>
    <n v="2"/>
    <n v="7542.78"/>
    <n v="0.15"/>
    <n v="12822.73"/>
    <n v="9913.25"/>
    <n v="2909.48"/>
    <x v="3"/>
    <n v="0.22690019987943291"/>
    <x v="0"/>
    <x v="10"/>
    <x v="10"/>
    <s v="Q4"/>
  </r>
  <r>
    <s v="ORD100719"/>
    <x v="303"/>
    <s v="CUST1610"/>
    <s v="Aditya Iyer"/>
    <x v="2"/>
    <s v="Karnataka"/>
    <s v="Hubballi"/>
    <x v="1"/>
    <s v="Storage"/>
    <x v="2"/>
    <n v="6"/>
    <n v="667.9"/>
    <n v="0.2"/>
    <n v="3205.92"/>
    <n v="1863.55"/>
    <n v="1342.37"/>
    <x v="2"/>
    <n v="0.41871600039926132"/>
    <x v="0"/>
    <x v="10"/>
    <x v="10"/>
    <s v="Q4"/>
  </r>
  <r>
    <s v="ORD100217"/>
    <x v="304"/>
    <s v="CUST1635"/>
    <s v="Diya Reddy"/>
    <x v="0"/>
    <s v="Maharashtra"/>
    <s v="Mumbai"/>
    <x v="1"/>
    <s v="Stationery"/>
    <x v="1"/>
    <n v="4"/>
    <n v="235.02"/>
    <n v="0.1"/>
    <n v="846.07"/>
    <n v="359.23"/>
    <n v="486.84"/>
    <x v="0"/>
    <n v="0.57541338187147628"/>
    <x v="0"/>
    <x v="10"/>
    <x v="10"/>
    <s v="Q4"/>
  </r>
  <r>
    <s v="ORD100337"/>
    <x v="304"/>
    <s v="CUST1140"/>
    <s v="Rahul Verma"/>
    <x v="2"/>
    <s v="Tamil Nadu"/>
    <s v="Madurai"/>
    <x v="3"/>
    <s v="Cleaning"/>
    <x v="12"/>
    <n v="3"/>
    <n v="12865.52"/>
    <n v="0.1"/>
    <n v="34736.9"/>
    <n v="27845.73"/>
    <n v="6891.17"/>
    <x v="2"/>
    <n v="0.19838183603027329"/>
    <x v="0"/>
    <x v="10"/>
    <x v="10"/>
    <s v="Q4"/>
  </r>
  <r>
    <s v="ORD102240"/>
    <x v="304"/>
    <s v="CUST1066"/>
    <s v="Rahul Naidu"/>
    <x v="0"/>
    <s v="Maharashtra"/>
    <s v="Nashik"/>
    <x v="1"/>
    <s v="Storage"/>
    <x v="9"/>
    <n v="4"/>
    <n v="508.19"/>
    <n v="0.2"/>
    <n v="1626.21"/>
    <n v="896.61"/>
    <n v="729.6"/>
    <x v="1"/>
    <n v="0.44865054328776732"/>
    <x v="0"/>
    <x v="10"/>
    <x v="10"/>
    <s v="Q4"/>
  </r>
  <r>
    <s v="ORD101768"/>
    <x v="304"/>
    <s v="CUST1460"/>
    <s v="Priya Patel"/>
    <x v="2"/>
    <s v="Telangana"/>
    <s v="Karimnagar"/>
    <x v="3"/>
    <s v="Kitchen"/>
    <x v="7"/>
    <n v="5"/>
    <n v="1835.67"/>
    <n v="0.15"/>
    <n v="7801.6"/>
    <n v="5081.41"/>
    <n v="2720.19"/>
    <x v="2"/>
    <n v="0.34867078547990149"/>
    <x v="0"/>
    <x v="10"/>
    <x v="10"/>
    <s v="Q4"/>
  </r>
  <r>
    <s v="ORD102288"/>
    <x v="305"/>
    <s v="CUST1363"/>
    <s v="Aisha Patel"/>
    <x v="2"/>
    <s v="Karnataka"/>
    <s v="Hubballi"/>
    <x v="0"/>
    <s v="Accessories"/>
    <x v="6"/>
    <n v="1"/>
    <n v="802.9"/>
    <n v="0.05"/>
    <n v="762.75"/>
    <n v="483.1"/>
    <n v="279.64999999999998"/>
    <x v="0"/>
    <n v="0.36663389052769579"/>
    <x v="0"/>
    <x v="10"/>
    <x v="10"/>
    <s v="Q4"/>
  </r>
  <r>
    <s v="ORD101712"/>
    <x v="305"/>
    <s v="CUST1015"/>
    <s v="Nikhil Singh"/>
    <x v="0"/>
    <s v="Maharashtra"/>
    <s v="Mumbai"/>
    <x v="0"/>
    <s v="Accessories"/>
    <x v="5"/>
    <n v="2"/>
    <n v="2360.37"/>
    <n v="0.1"/>
    <n v="4248.67"/>
    <n v="2510.61"/>
    <n v="1738.06"/>
    <x v="0"/>
    <n v="0.40908331313093271"/>
    <x v="0"/>
    <x v="10"/>
    <x v="10"/>
    <s v="Q4"/>
  </r>
  <r>
    <s v="ORD101926"/>
    <x v="306"/>
    <s v="CUST1265"/>
    <s v="Aarav Singh"/>
    <x v="2"/>
    <s v="Karnataka"/>
    <s v="Mysuru"/>
    <x v="2"/>
    <s v="Living Room"/>
    <x v="4"/>
    <n v="2"/>
    <n v="4950.38"/>
    <n v="0"/>
    <n v="9900.76"/>
    <n v="6039.75"/>
    <n v="3861.01"/>
    <x v="0"/>
    <n v="0.38997107292773492"/>
    <x v="0"/>
    <x v="10"/>
    <x v="10"/>
    <s v="Q4"/>
  </r>
  <r>
    <s v="ORD101989"/>
    <x v="306"/>
    <s v="CUST1634"/>
    <s v="Kavya Singh"/>
    <x v="2"/>
    <s v="Telangana"/>
    <s v="Karimnagar"/>
    <x v="3"/>
    <s v="Cleaning"/>
    <x v="15"/>
    <n v="1"/>
    <n v="7527.36"/>
    <n v="0"/>
    <n v="7527.36"/>
    <n v="5033.92"/>
    <n v="2493.44"/>
    <x v="2"/>
    <n v="0.33125026569740262"/>
    <x v="0"/>
    <x v="10"/>
    <x v="10"/>
    <s v="Q4"/>
  </r>
  <r>
    <s v="ORD101261"/>
    <x v="306"/>
    <s v="CUST1077"/>
    <s v="Vikram Iyer"/>
    <x v="2"/>
    <s v="Karnataka"/>
    <s v="Hubballi"/>
    <x v="3"/>
    <s v="Kitchen"/>
    <x v="7"/>
    <n v="2"/>
    <n v="1823.76"/>
    <n v="0"/>
    <n v="3647.52"/>
    <n v="1937.48"/>
    <n v="1710.04"/>
    <x v="0"/>
    <n v="0.46882265210334689"/>
    <x v="0"/>
    <x v="10"/>
    <x v="10"/>
    <s v="Q4"/>
  </r>
  <r>
    <s v="ORD100596"/>
    <x v="306"/>
    <s v="CUST1095"/>
    <s v="Ishaan Nair"/>
    <x v="0"/>
    <s v="Maharashtra"/>
    <s v="Nashik"/>
    <x v="1"/>
    <s v="Stationery"/>
    <x v="17"/>
    <n v="1"/>
    <n v="286.83999999999997"/>
    <n v="0"/>
    <n v="286.83999999999997"/>
    <n v="118.57"/>
    <n v="168.27"/>
    <x v="2"/>
    <n v="0.58663366336633671"/>
    <x v="0"/>
    <x v="10"/>
    <x v="10"/>
    <s v="Q4"/>
  </r>
  <r>
    <s v="ORD100712"/>
    <x v="307"/>
    <s v="CUST1327"/>
    <s v="Kiran Gupta"/>
    <x v="1"/>
    <s v="Delhi"/>
    <s v="Delhi"/>
    <x v="2"/>
    <s v="Living Room"/>
    <x v="16"/>
    <n v="2"/>
    <n v="3805.17"/>
    <n v="0.05"/>
    <n v="7229.82"/>
    <n v="4704.82"/>
    <n v="2525"/>
    <x v="2"/>
    <n v="0.34924797574490102"/>
    <x v="0"/>
    <x v="10"/>
    <x v="10"/>
    <s v="Q4"/>
  </r>
  <r>
    <s v="ORD100480"/>
    <x v="307"/>
    <s v="CUST1374"/>
    <s v="Arjun Kumar"/>
    <x v="2"/>
    <s v="Tamil Nadu"/>
    <s v="Madurai"/>
    <x v="2"/>
    <s v="Office"/>
    <x v="10"/>
    <n v="1"/>
    <n v="6920.55"/>
    <n v="0"/>
    <n v="6920.55"/>
    <n v="4482.0200000000004"/>
    <n v="2438.5300000000002"/>
    <x v="2"/>
    <n v="0.35236072277492397"/>
    <x v="0"/>
    <x v="10"/>
    <x v="10"/>
    <s v="Q4"/>
  </r>
  <r>
    <s v="ORD100474"/>
    <x v="307"/>
    <s v="CUST1424"/>
    <s v="Meera Iyer"/>
    <x v="1"/>
    <s v="Delhi"/>
    <s v="Delhi"/>
    <x v="0"/>
    <s v="Audio"/>
    <x v="8"/>
    <n v="2"/>
    <n v="3105.69"/>
    <n v="0.15"/>
    <n v="5279.67"/>
    <n v="3345.39"/>
    <n v="1934.28"/>
    <x v="2"/>
    <n v="0.3663638068288359"/>
    <x v="0"/>
    <x v="10"/>
    <x v="10"/>
    <s v="Q4"/>
  </r>
  <r>
    <s v="ORD101581"/>
    <x v="307"/>
    <s v="CUST1433"/>
    <s v="Rahul Nair"/>
    <x v="2"/>
    <s v="Tamil Nadu"/>
    <s v="Salem"/>
    <x v="3"/>
    <s v="Kitchen"/>
    <x v="13"/>
    <n v="2"/>
    <n v="3429.21"/>
    <n v="0.1"/>
    <n v="6172.58"/>
    <n v="3908.84"/>
    <n v="2263.7399999999998"/>
    <x v="0"/>
    <n v="0.36674129780415959"/>
    <x v="0"/>
    <x v="10"/>
    <x v="10"/>
    <s v="Q4"/>
  </r>
  <r>
    <s v="ORD101977"/>
    <x v="307"/>
    <s v="CUST1589"/>
    <s v="Ishaan Joshi"/>
    <x v="0"/>
    <s v="Maharashtra"/>
    <s v="Nagpur"/>
    <x v="0"/>
    <s v="Computers"/>
    <x v="0"/>
    <n v="2"/>
    <n v="58659.72"/>
    <n v="0.1"/>
    <n v="105587.5"/>
    <n v="102737.49"/>
    <n v="2850.01"/>
    <x v="0"/>
    <n v="2.6991926127619279E-2"/>
    <x v="0"/>
    <x v="10"/>
    <x v="10"/>
    <s v="Q4"/>
  </r>
  <r>
    <s v="ORD101791"/>
    <x v="307"/>
    <s v="CUST1311"/>
    <s v="Aditya Das"/>
    <x v="2"/>
    <s v="Tamil Nadu"/>
    <s v="Coimbatore"/>
    <x v="3"/>
    <s v="Cleaning"/>
    <x v="15"/>
    <n v="4"/>
    <n v="7499.92"/>
    <n v="0"/>
    <n v="29999.68"/>
    <n v="19007.37"/>
    <n v="10992.31"/>
    <x v="2"/>
    <n v="0.36641424175191201"/>
    <x v="0"/>
    <x v="10"/>
    <x v="10"/>
    <s v="Q4"/>
  </r>
  <r>
    <s v="ORD102113"/>
    <x v="308"/>
    <s v="CUST1486"/>
    <s v="Pooja Gupta"/>
    <x v="3"/>
    <s v="West Bengal"/>
    <s v="Kolkata"/>
    <x v="0"/>
    <s v="Computers"/>
    <x v="0"/>
    <n v="6"/>
    <n v="60205.919999999998"/>
    <n v="0.05"/>
    <n v="343173.74"/>
    <n v="329040.36"/>
    <n v="14133.38"/>
    <x v="2"/>
    <n v="4.1184328381303301E-2"/>
    <x v="0"/>
    <x v="10"/>
    <x v="10"/>
    <s v="Q4"/>
  </r>
  <r>
    <s v="ORD100452"/>
    <x v="308"/>
    <s v="CUST1184"/>
    <s v="Priya Das"/>
    <x v="2"/>
    <s v="Tamil Nadu"/>
    <s v="Coimbatore"/>
    <x v="0"/>
    <s v="Computers"/>
    <x v="3"/>
    <n v="2"/>
    <n v="15115.74"/>
    <n v="0.1"/>
    <n v="27208.33"/>
    <n v="23208.76"/>
    <n v="3999.57"/>
    <x v="1"/>
    <n v="0.14699799656943299"/>
    <x v="0"/>
    <x v="10"/>
    <x v="10"/>
    <s v="Q4"/>
  </r>
  <r>
    <s v="ORD100009"/>
    <x v="308"/>
    <s v="CUST1535"/>
    <s v="Arjun Joshi"/>
    <x v="0"/>
    <s v="Maharashtra"/>
    <s v="Mumbai"/>
    <x v="2"/>
    <s v="Office"/>
    <x v="14"/>
    <n v="1"/>
    <n v="8859.43"/>
    <n v="0.05"/>
    <n v="8416.4599999999991"/>
    <n v="5896.18"/>
    <n v="2520.2800000000002"/>
    <x v="0"/>
    <n v="0.29944656066802439"/>
    <x v="0"/>
    <x v="10"/>
    <x v="10"/>
    <s v="Q4"/>
  </r>
  <r>
    <s v="ORD100909"/>
    <x v="309"/>
    <s v="CUST1519"/>
    <s v="Sanjana Malhotra"/>
    <x v="1"/>
    <s v="Delhi"/>
    <s v="Delhi"/>
    <x v="2"/>
    <s v="Living Room"/>
    <x v="4"/>
    <n v="1"/>
    <n v="4733.12"/>
    <n v="0.15"/>
    <n v="4023.15"/>
    <n v="2863.93"/>
    <n v="1159.22"/>
    <x v="0"/>
    <n v="0.28813740476989419"/>
    <x v="0"/>
    <x v="10"/>
    <x v="10"/>
    <s v="Q4"/>
  </r>
  <r>
    <s v="ORD100366"/>
    <x v="309"/>
    <s v="CUST1122"/>
    <s v="Aarav Malhotra"/>
    <x v="2"/>
    <s v="Karnataka"/>
    <s v="Mangaluru"/>
    <x v="1"/>
    <s v="Storage"/>
    <x v="2"/>
    <n v="3"/>
    <n v="684.86"/>
    <n v="0.1"/>
    <n v="1849.12"/>
    <n v="976.96"/>
    <n v="872.16"/>
    <x v="0"/>
    <n v="0.47166219607164489"/>
    <x v="0"/>
    <x v="10"/>
    <x v="10"/>
    <s v="Q4"/>
  </r>
  <r>
    <s v="ORD101847"/>
    <x v="309"/>
    <s v="CUST1365"/>
    <s v="Aarav Rao"/>
    <x v="3"/>
    <s v="West Bengal"/>
    <s v="Kolkata"/>
    <x v="1"/>
    <s v="Storage"/>
    <x v="9"/>
    <n v="4"/>
    <n v="514.30999999999995"/>
    <n v="0.15"/>
    <n v="1748.65"/>
    <n v="961.02"/>
    <n v="787.63"/>
    <x v="0"/>
    <n v="0.45042175392445599"/>
    <x v="0"/>
    <x v="10"/>
    <x v="10"/>
    <s v="Q4"/>
  </r>
  <r>
    <s v="ORD100001"/>
    <x v="309"/>
    <s v="CUST1479"/>
    <s v="Pooja Das"/>
    <x v="2"/>
    <s v="Telangana"/>
    <s v="Karimnagar"/>
    <x v="1"/>
    <s v="Stationery"/>
    <x v="1"/>
    <n v="4"/>
    <n v="236.87"/>
    <n v="0.1"/>
    <n v="852.73"/>
    <n v="373.74"/>
    <n v="478.99"/>
    <x v="0"/>
    <n v="0.56171355528713662"/>
    <x v="0"/>
    <x v="10"/>
    <x v="10"/>
    <s v="Q4"/>
  </r>
  <r>
    <s v="ORD100221"/>
    <x v="310"/>
    <s v="CUST1625"/>
    <s v="Kavya Sharma"/>
    <x v="2"/>
    <s v="Karnataka"/>
    <s v="Mysuru"/>
    <x v="3"/>
    <s v="Cleaning"/>
    <x v="15"/>
    <n v="6"/>
    <n v="7864.45"/>
    <n v="0.2"/>
    <n v="37749.360000000001"/>
    <n v="31403.66"/>
    <n v="6345.7"/>
    <x v="2"/>
    <n v="0.16810086316695169"/>
    <x v="0"/>
    <x v="10"/>
    <x v="10"/>
    <s v="Q4"/>
  </r>
  <r>
    <s v="ORD102350"/>
    <x v="310"/>
    <s v="CUST1589"/>
    <s v="Ishaan Mehta"/>
    <x v="0"/>
    <s v="Maharashtra"/>
    <s v="Pune"/>
    <x v="0"/>
    <s v="Accessories"/>
    <x v="6"/>
    <n v="3"/>
    <n v="837.48"/>
    <n v="0.05"/>
    <n v="2386.8200000000002"/>
    <n v="1599.9"/>
    <n v="786.92"/>
    <x v="0"/>
    <n v="0.32969390234705592"/>
    <x v="0"/>
    <x v="10"/>
    <x v="10"/>
    <s v="Q4"/>
  </r>
  <r>
    <s v="ORD101661"/>
    <x v="310"/>
    <s v="CUST1341"/>
    <s v="Sanjana Naidu"/>
    <x v="3"/>
    <s v="West Bengal"/>
    <s v="Siliguri"/>
    <x v="0"/>
    <s v="Computers"/>
    <x v="0"/>
    <n v="2"/>
    <n v="58313.83"/>
    <n v="0.05"/>
    <n v="110796.28"/>
    <n v="99044.47"/>
    <n v="11751.81"/>
    <x v="1"/>
    <n v="0.1060668282364715"/>
    <x v="0"/>
    <x v="10"/>
    <x v="10"/>
    <s v="Q4"/>
  </r>
  <r>
    <s v="ORD100123"/>
    <x v="310"/>
    <s v="CUST1477"/>
    <s v="Meera Singh"/>
    <x v="1"/>
    <s v="Delhi"/>
    <s v="New Delhi"/>
    <x v="2"/>
    <s v="Living Room"/>
    <x v="4"/>
    <n v="1"/>
    <n v="5099.47"/>
    <n v="0"/>
    <n v="5099.47"/>
    <n v="3149.38"/>
    <n v="1950.09"/>
    <x v="0"/>
    <n v="0.38241032891653443"/>
    <x v="0"/>
    <x v="10"/>
    <x v="10"/>
    <s v="Q4"/>
  </r>
  <r>
    <s v="ORD100880"/>
    <x v="310"/>
    <s v="CUST1179"/>
    <s v="Priya Gupta"/>
    <x v="2"/>
    <s v="Karnataka"/>
    <s v="Mysuru"/>
    <x v="2"/>
    <s v="Office"/>
    <x v="14"/>
    <n v="2"/>
    <n v="8520.81"/>
    <n v="0.05"/>
    <n v="16189.54"/>
    <n v="11569.89"/>
    <n v="4619.6499999999996"/>
    <x v="3"/>
    <n v="0.28534782334766767"/>
    <x v="0"/>
    <x v="10"/>
    <x v="10"/>
    <s v="Q4"/>
  </r>
  <r>
    <s v="ORD101393"/>
    <x v="311"/>
    <s v="CUST1058"/>
    <s v="Aditya Mehta"/>
    <x v="3"/>
    <s v="West Bengal"/>
    <s v="Durgapur"/>
    <x v="0"/>
    <s v="Accessories"/>
    <x v="5"/>
    <n v="1"/>
    <n v="2506.54"/>
    <n v="0.15"/>
    <n v="2130.56"/>
    <n v="1425.26"/>
    <n v="705.3"/>
    <x v="3"/>
    <n v="0.33103972664463799"/>
    <x v="0"/>
    <x v="10"/>
    <x v="10"/>
    <s v="Q4"/>
  </r>
  <r>
    <s v="ORD101600"/>
    <x v="311"/>
    <s v="CUST1536"/>
    <s v="Rohan Rao"/>
    <x v="2"/>
    <s v="Telangana"/>
    <s v="Nizamabad"/>
    <x v="1"/>
    <s v="Stationery"/>
    <x v="1"/>
    <n v="1"/>
    <n v="248.01"/>
    <n v="0.15"/>
    <n v="210.81"/>
    <n v="92.92"/>
    <n v="117.89"/>
    <x v="1"/>
    <n v="0.55922394573312462"/>
    <x v="0"/>
    <x v="10"/>
    <x v="10"/>
    <s v="Q4"/>
  </r>
  <r>
    <s v="ORD102355"/>
    <x v="311"/>
    <s v="CUST1003"/>
    <s v="Ishaan Joshi"/>
    <x v="2"/>
    <s v="Karnataka"/>
    <s v="Bengaluru"/>
    <x v="2"/>
    <s v="Office"/>
    <x v="10"/>
    <n v="4"/>
    <n v="7002.18"/>
    <n v="0.05"/>
    <n v="26608.28"/>
    <n v="17239.5"/>
    <n v="9368.7800000000007"/>
    <x v="2"/>
    <n v="0.352100173329505"/>
    <x v="0"/>
    <x v="10"/>
    <x v="10"/>
    <s v="Q4"/>
  </r>
  <r>
    <s v="ORD101262"/>
    <x v="311"/>
    <s v="CUST1642"/>
    <s v="Meera Malhotra"/>
    <x v="1"/>
    <s v="Delhi"/>
    <s v="New Delhi"/>
    <x v="1"/>
    <s v="Stationery"/>
    <x v="17"/>
    <n v="1"/>
    <n v="282.31"/>
    <n v="0.05"/>
    <n v="268.19"/>
    <n v="115.43"/>
    <n v="152.76"/>
    <x v="1"/>
    <n v="0.56959618181140237"/>
    <x v="0"/>
    <x v="10"/>
    <x v="10"/>
    <s v="Q4"/>
  </r>
  <r>
    <s v="ORD101716"/>
    <x v="312"/>
    <s v="CUST1427"/>
    <s v="Sneha Mehta"/>
    <x v="0"/>
    <s v="Maharashtra"/>
    <s v="Nagpur"/>
    <x v="0"/>
    <s v="Accessories"/>
    <x v="5"/>
    <n v="1"/>
    <n v="2446.0100000000002"/>
    <n v="0.15"/>
    <n v="2079.11"/>
    <n v="1342.16"/>
    <n v="736.95"/>
    <x v="0"/>
    <n v="0.35445455026429579"/>
    <x v="0"/>
    <x v="10"/>
    <x v="10"/>
    <s v="Q4"/>
  </r>
  <r>
    <s v="ORD100361"/>
    <x v="312"/>
    <s v="CUST1595"/>
    <s v="Rohan Iyer"/>
    <x v="2"/>
    <s v="Karnataka"/>
    <s v="Mangaluru"/>
    <x v="3"/>
    <s v="Kitchen"/>
    <x v="13"/>
    <n v="1"/>
    <n v="3249.09"/>
    <n v="0.15"/>
    <n v="2761.73"/>
    <n v="1843.99"/>
    <n v="917.74"/>
    <x v="1"/>
    <n v="0.33230619937502942"/>
    <x v="0"/>
    <x v="10"/>
    <x v="10"/>
    <s v="Q4"/>
  </r>
  <r>
    <s v="ORD101872"/>
    <x v="312"/>
    <s v="CUST1279"/>
    <s v="Sanjana Malhotra"/>
    <x v="3"/>
    <s v="West Bengal"/>
    <s v="Siliguri"/>
    <x v="3"/>
    <s v="Kitchen"/>
    <x v="13"/>
    <n v="1"/>
    <n v="3167.04"/>
    <n v="0.1"/>
    <n v="2850.34"/>
    <n v="1787.27"/>
    <n v="1063.07"/>
    <x v="1"/>
    <n v="0.37296252376909422"/>
    <x v="0"/>
    <x v="10"/>
    <x v="10"/>
    <s v="Q4"/>
  </r>
  <r>
    <s v="ORD100512"/>
    <x v="313"/>
    <s v="CUST1542"/>
    <s v="Neha Kumar"/>
    <x v="0"/>
    <s v="Maharashtra"/>
    <s v="Nagpur"/>
    <x v="1"/>
    <s v="Storage"/>
    <x v="2"/>
    <n v="5"/>
    <n v="730.64"/>
    <n v="0.15"/>
    <n v="3105.22"/>
    <n v="1719.69"/>
    <n v="1385.53"/>
    <x v="0"/>
    <n v="0.44619382845659888"/>
    <x v="0"/>
    <x v="10"/>
    <x v="10"/>
    <s v="Q4"/>
  </r>
  <r>
    <s v="ORD100508"/>
    <x v="313"/>
    <s v="CUST1403"/>
    <s v="Rohan Malhotra"/>
    <x v="3"/>
    <s v="West Bengal"/>
    <s v="Kolkata"/>
    <x v="2"/>
    <s v="Living Room"/>
    <x v="16"/>
    <n v="4"/>
    <n v="4152.4399999999996"/>
    <n v="0.05"/>
    <n v="15779.27"/>
    <n v="10048.15"/>
    <n v="5731.12"/>
    <x v="1"/>
    <n v="0.3632056489305272"/>
    <x v="0"/>
    <x v="10"/>
    <x v="10"/>
    <s v="Q4"/>
  </r>
  <r>
    <s v="ORD100102"/>
    <x v="313"/>
    <s v="CUST1068"/>
    <s v="Pooja Nair"/>
    <x v="3"/>
    <s v="West Bengal"/>
    <s v="Durgapur"/>
    <x v="2"/>
    <s v="Living Room"/>
    <x v="16"/>
    <n v="3"/>
    <n v="4134.79"/>
    <n v="0.1"/>
    <n v="11163.93"/>
    <n v="7858.47"/>
    <n v="3305.46"/>
    <x v="4"/>
    <n v="0.29608390593635042"/>
    <x v="0"/>
    <x v="10"/>
    <x v="10"/>
    <s v="Q4"/>
  </r>
  <r>
    <s v="ORD100127"/>
    <x v="313"/>
    <s v="CUST1459"/>
    <s v="Sneha Gupta"/>
    <x v="3"/>
    <s v="West Bengal"/>
    <s v="Durgapur"/>
    <x v="2"/>
    <s v="Office"/>
    <x v="14"/>
    <n v="5"/>
    <n v="8317.68"/>
    <n v="0.15"/>
    <n v="35350.14"/>
    <n v="28380.9"/>
    <n v="6969.24"/>
    <x v="0"/>
    <n v="0.1971488656056242"/>
    <x v="0"/>
    <x v="10"/>
    <x v="10"/>
    <s v="Q4"/>
  </r>
  <r>
    <s v="ORD100300"/>
    <x v="313"/>
    <s v="CUST1113"/>
    <s v="Aditya Singh"/>
    <x v="0"/>
    <s v="Maharashtra"/>
    <s v="Nagpur"/>
    <x v="2"/>
    <s v="Office"/>
    <x v="14"/>
    <n v="1"/>
    <n v="8371.7999999999993"/>
    <n v="0.1"/>
    <n v="7534.62"/>
    <n v="5906.84"/>
    <n v="1627.78"/>
    <x v="0"/>
    <n v="0.2160400922674269"/>
    <x v="0"/>
    <x v="10"/>
    <x v="10"/>
    <s v="Q4"/>
  </r>
  <r>
    <s v="ORD101445"/>
    <x v="314"/>
    <s v="CUST1529"/>
    <s v="Aarav Joshi"/>
    <x v="2"/>
    <s v="Tamil Nadu"/>
    <s v="Madurai"/>
    <x v="2"/>
    <s v="Office"/>
    <x v="10"/>
    <n v="5"/>
    <n v="7025.36"/>
    <n v="0.1"/>
    <n v="31614.12"/>
    <n v="22762.85"/>
    <n v="8851.27"/>
    <x v="3"/>
    <n v="0.2799783767506418"/>
    <x v="0"/>
    <x v="10"/>
    <x v="10"/>
    <s v="Q4"/>
  </r>
  <r>
    <s v="ORD101456"/>
    <x v="314"/>
    <s v="CUST1008"/>
    <s v="Aditya Kumar"/>
    <x v="3"/>
    <s v="West Bengal"/>
    <s v="Kolkata"/>
    <x v="2"/>
    <s v="Living Room"/>
    <x v="16"/>
    <n v="1"/>
    <n v="3850.79"/>
    <n v="0.15"/>
    <n v="3273.17"/>
    <n v="2358.84"/>
    <n v="914.33"/>
    <x v="0"/>
    <n v="0.27934082250539999"/>
    <x v="0"/>
    <x v="10"/>
    <x v="10"/>
    <s v="Q4"/>
  </r>
  <r>
    <s v="ORD100305"/>
    <x v="314"/>
    <s v="CUST1556"/>
    <s v="Pooja Iyer"/>
    <x v="2"/>
    <s v="Tamil Nadu"/>
    <s v="Chennai"/>
    <x v="1"/>
    <s v="Stationery"/>
    <x v="17"/>
    <n v="2"/>
    <n v="297.25"/>
    <n v="0"/>
    <n v="594.5"/>
    <n v="247.74"/>
    <n v="346.76"/>
    <x v="1"/>
    <n v="0.5832800672834314"/>
    <x v="0"/>
    <x v="10"/>
    <x v="10"/>
    <s v="Q4"/>
  </r>
  <r>
    <s v="ORD101118"/>
    <x v="314"/>
    <s v="CUST1450"/>
    <s v="Kiran Iyer"/>
    <x v="0"/>
    <s v="Maharashtra"/>
    <s v="Mumbai"/>
    <x v="0"/>
    <s v="Audio"/>
    <x v="11"/>
    <n v="1"/>
    <n v="2113.41"/>
    <n v="0"/>
    <n v="2113.41"/>
    <n v="1197.55"/>
    <n v="915.86"/>
    <x v="1"/>
    <n v="0.43335651861210078"/>
    <x v="0"/>
    <x v="10"/>
    <x v="10"/>
    <s v="Q4"/>
  </r>
  <r>
    <s v="ORD100225"/>
    <x v="314"/>
    <s v="CUST1083"/>
    <s v="Aarav Naidu"/>
    <x v="0"/>
    <s v="Maharashtra"/>
    <s v="Nagpur"/>
    <x v="0"/>
    <s v="Computers"/>
    <x v="0"/>
    <n v="2"/>
    <n v="61142.45"/>
    <n v="0"/>
    <n v="122284.9"/>
    <n v="110994.44"/>
    <n v="11290.46"/>
    <x v="3"/>
    <n v="9.2329142845927831E-2"/>
    <x v="0"/>
    <x v="10"/>
    <x v="10"/>
    <s v="Q4"/>
  </r>
  <r>
    <s v="ORD100169"/>
    <x v="315"/>
    <s v="CUST1560"/>
    <s v="Ishaan Singh"/>
    <x v="0"/>
    <s v="Maharashtra"/>
    <s v="Nashik"/>
    <x v="1"/>
    <s v="Storage"/>
    <x v="2"/>
    <n v="5"/>
    <n v="660.01"/>
    <n v="0.1"/>
    <n v="2970.05"/>
    <n v="1508.53"/>
    <n v="1461.52"/>
    <x v="0"/>
    <n v="0.49208599181831952"/>
    <x v="0"/>
    <x v="10"/>
    <x v="10"/>
    <s v="Q4"/>
  </r>
  <r>
    <s v="ORD100016"/>
    <x v="315"/>
    <s v="CUST1226"/>
    <s v="Aditya Naidu"/>
    <x v="2"/>
    <s v="Karnataka"/>
    <s v="Mangaluru"/>
    <x v="0"/>
    <s v="Accessories"/>
    <x v="5"/>
    <n v="3"/>
    <n v="2626.49"/>
    <n v="0"/>
    <n v="7879.47"/>
    <n v="4361.8100000000004"/>
    <n v="3517.66"/>
    <x v="0"/>
    <n v="0.44643357992352273"/>
    <x v="0"/>
    <x v="10"/>
    <x v="10"/>
    <s v="Q4"/>
  </r>
  <r>
    <s v="ORD100255"/>
    <x v="316"/>
    <s v="CUST1121"/>
    <s v="Kavya Joshi"/>
    <x v="3"/>
    <s v="West Bengal"/>
    <s v="Kolkata"/>
    <x v="1"/>
    <s v="Stationery"/>
    <x v="1"/>
    <n v="1"/>
    <n v="246.76"/>
    <n v="0.05"/>
    <n v="234.42"/>
    <n v="96.61"/>
    <n v="137.81"/>
    <x v="2"/>
    <n v="0.58787646105281122"/>
    <x v="0"/>
    <x v="10"/>
    <x v="10"/>
    <s v="Q4"/>
  </r>
  <r>
    <s v="ORD101218"/>
    <x v="316"/>
    <s v="CUST1172"/>
    <s v="Priya Verma"/>
    <x v="3"/>
    <s v="West Bengal"/>
    <s v="Siliguri"/>
    <x v="3"/>
    <s v="Kitchen"/>
    <x v="7"/>
    <n v="2"/>
    <n v="1768.64"/>
    <n v="0.1"/>
    <n v="3183.55"/>
    <n v="1960.33"/>
    <n v="1223.22"/>
    <x v="2"/>
    <n v="0.38423143974493879"/>
    <x v="0"/>
    <x v="10"/>
    <x v="10"/>
    <s v="Q4"/>
  </r>
  <r>
    <s v="ORD101996"/>
    <x v="316"/>
    <s v="CUST1576"/>
    <s v="Kiran Naidu"/>
    <x v="2"/>
    <s v="Telangana"/>
    <s v="Warangal"/>
    <x v="1"/>
    <s v="Storage"/>
    <x v="2"/>
    <n v="1"/>
    <n v="714.42"/>
    <n v="0.15"/>
    <n v="607.26"/>
    <n v="330.74"/>
    <n v="276.52"/>
    <x v="1"/>
    <n v="0.45535684879623223"/>
    <x v="0"/>
    <x v="10"/>
    <x v="10"/>
    <s v="Q4"/>
  </r>
  <r>
    <s v="ORD100065"/>
    <x v="316"/>
    <s v="CUST1312"/>
    <s v="Sneha Nair"/>
    <x v="0"/>
    <s v="Maharashtra"/>
    <s v="Mumbai"/>
    <x v="2"/>
    <s v="Living Room"/>
    <x v="16"/>
    <n v="2"/>
    <n v="4121.53"/>
    <n v="0"/>
    <n v="8243.06"/>
    <n v="5165.62"/>
    <n v="3077.44"/>
    <x v="0"/>
    <n v="0.37333708598505899"/>
    <x v="0"/>
    <x v="10"/>
    <x v="10"/>
    <s v="Q4"/>
  </r>
  <r>
    <s v="ORD102008"/>
    <x v="316"/>
    <s v="CUST1191"/>
    <s v="Priya Singh"/>
    <x v="2"/>
    <s v="Tamil Nadu"/>
    <s v="Salem"/>
    <x v="3"/>
    <s v="Cleaning"/>
    <x v="12"/>
    <n v="1"/>
    <n v="13103.95"/>
    <n v="0.15"/>
    <n v="11138.36"/>
    <n v="9722.2199999999993"/>
    <n v="1416.14"/>
    <x v="0"/>
    <n v="0.12714079990231961"/>
    <x v="0"/>
    <x v="10"/>
    <x v="10"/>
    <s v="Q4"/>
  </r>
  <r>
    <s v="ORD101022"/>
    <x v="317"/>
    <s v="CUST1161"/>
    <s v="Kiran Reddy"/>
    <x v="1"/>
    <s v="Delhi"/>
    <s v="Delhi"/>
    <x v="1"/>
    <s v="Storage"/>
    <x v="9"/>
    <n v="1"/>
    <n v="515.58000000000004"/>
    <n v="0.1"/>
    <n v="464.02"/>
    <n v="238.8"/>
    <n v="225.22"/>
    <x v="1"/>
    <n v="0.48536701004267058"/>
    <x v="0"/>
    <x v="10"/>
    <x v="10"/>
    <s v="Q4"/>
  </r>
  <r>
    <s v="ORD101637"/>
    <x v="317"/>
    <s v="CUST1113"/>
    <s v="Sanjana Rao"/>
    <x v="3"/>
    <s v="West Bengal"/>
    <s v="Durgapur"/>
    <x v="2"/>
    <s v="Living Room"/>
    <x v="16"/>
    <n v="2"/>
    <n v="4082.78"/>
    <n v="0.05"/>
    <n v="7757.28"/>
    <n v="4944.26"/>
    <n v="2813.02"/>
    <x v="3"/>
    <n v="0.36262968463172662"/>
    <x v="0"/>
    <x v="10"/>
    <x v="10"/>
    <s v="Q4"/>
  </r>
  <r>
    <s v="ORD101898"/>
    <x v="318"/>
    <s v="CUST1018"/>
    <s v="Aditya Joshi"/>
    <x v="2"/>
    <s v="Karnataka"/>
    <s v="Hubballi"/>
    <x v="3"/>
    <s v="Kitchen"/>
    <x v="13"/>
    <n v="5"/>
    <n v="3255.77"/>
    <n v="0.05"/>
    <n v="15464.91"/>
    <n v="9245.41"/>
    <n v="6219.5"/>
    <x v="0"/>
    <n v="0.40216852215758131"/>
    <x v="0"/>
    <x v="10"/>
    <x v="10"/>
    <s v="Q4"/>
  </r>
  <r>
    <s v="ORD100427"/>
    <x v="318"/>
    <s v="CUST1135"/>
    <s v="Meera Nair"/>
    <x v="2"/>
    <s v="Karnataka"/>
    <s v="Mysuru"/>
    <x v="1"/>
    <s v="Storage"/>
    <x v="2"/>
    <n v="4"/>
    <n v="704.09"/>
    <n v="0.1"/>
    <n v="2534.7199999999998"/>
    <n v="1364.48"/>
    <n v="1170.24"/>
    <x v="0"/>
    <n v="0.46168413079156678"/>
    <x v="0"/>
    <x v="10"/>
    <x v="10"/>
    <s v="Q4"/>
  </r>
  <r>
    <s v="ORD101077"/>
    <x v="319"/>
    <s v="CUST1449"/>
    <s v="Vikram Kumar"/>
    <x v="2"/>
    <s v="Tamil Nadu"/>
    <s v="Chennai"/>
    <x v="0"/>
    <s v="Computers"/>
    <x v="0"/>
    <n v="2"/>
    <n v="57905.74"/>
    <n v="0"/>
    <n v="115811.48"/>
    <n v="100692.15"/>
    <n v="15119.33"/>
    <x v="2"/>
    <n v="0.13055121996541269"/>
    <x v="0"/>
    <x v="10"/>
    <x v="10"/>
    <s v="Q4"/>
  </r>
  <r>
    <s v="ORD101560"/>
    <x v="320"/>
    <s v="CUST1453"/>
    <s v="Diya Sharma"/>
    <x v="1"/>
    <s v="Delhi"/>
    <s v="Delhi"/>
    <x v="2"/>
    <s v="Office"/>
    <x v="10"/>
    <n v="1"/>
    <n v="6592.55"/>
    <n v="0.1"/>
    <n v="5933.3"/>
    <n v="4207.38"/>
    <n v="1725.92"/>
    <x v="4"/>
    <n v="0.29088702745521039"/>
    <x v="0"/>
    <x v="10"/>
    <x v="10"/>
    <s v="Q4"/>
  </r>
  <r>
    <s v="ORD101178"/>
    <x v="320"/>
    <s v="CUST1472"/>
    <s v="Arjun Verma"/>
    <x v="2"/>
    <s v="Telangana"/>
    <s v="Warangal"/>
    <x v="0"/>
    <s v="Audio"/>
    <x v="11"/>
    <n v="2"/>
    <n v="1922.5"/>
    <n v="0.2"/>
    <n v="3076"/>
    <n v="2197.79"/>
    <n v="878.21"/>
    <x v="0"/>
    <n v="0.28550390117035113"/>
    <x v="0"/>
    <x v="10"/>
    <x v="10"/>
    <s v="Q4"/>
  </r>
  <r>
    <s v="ORD101803"/>
    <x v="321"/>
    <s v="CUST1203"/>
    <s v="Arjun Malhotra"/>
    <x v="2"/>
    <s v="Karnataka"/>
    <s v="Bengaluru"/>
    <x v="3"/>
    <s v="Kitchen"/>
    <x v="13"/>
    <n v="1"/>
    <n v="3341.68"/>
    <n v="0.1"/>
    <n v="3007.51"/>
    <n v="1878.39"/>
    <n v="1129.1199999999999"/>
    <x v="0"/>
    <n v="0.37543349814298199"/>
    <x v="0"/>
    <x v="10"/>
    <x v="10"/>
    <s v="Q4"/>
  </r>
  <r>
    <s v="ORD101341"/>
    <x v="321"/>
    <s v="CUST1592"/>
    <s v="Nikhil Singh"/>
    <x v="1"/>
    <s v="Delhi"/>
    <s v="New Delhi"/>
    <x v="2"/>
    <s v="Office"/>
    <x v="10"/>
    <n v="3"/>
    <n v="7310.67"/>
    <n v="0.05"/>
    <n v="20835.41"/>
    <n v="14238.37"/>
    <n v="6597.04"/>
    <x v="0"/>
    <n v="0.31662635868456629"/>
    <x v="0"/>
    <x v="10"/>
    <x v="10"/>
    <s v="Q4"/>
  </r>
  <r>
    <s v="ORD100825"/>
    <x v="321"/>
    <s v="CUST1350"/>
    <s v="Arjun Nair"/>
    <x v="2"/>
    <s v="Telangana"/>
    <s v="Karimnagar"/>
    <x v="1"/>
    <s v="Storage"/>
    <x v="2"/>
    <n v="4"/>
    <n v="657.17"/>
    <n v="0"/>
    <n v="2628.68"/>
    <n v="1238.28"/>
    <n v="1390.4"/>
    <x v="0"/>
    <n v="0.52893467443736031"/>
    <x v="0"/>
    <x v="10"/>
    <x v="10"/>
    <s v="Q4"/>
  </r>
  <r>
    <s v="ORD100130"/>
    <x v="321"/>
    <s v="CUST1519"/>
    <s v="Ananya Joshi"/>
    <x v="2"/>
    <s v="Tamil Nadu"/>
    <s v="Madurai"/>
    <x v="3"/>
    <s v="Kitchen"/>
    <x v="13"/>
    <n v="4"/>
    <n v="3104.03"/>
    <n v="0"/>
    <n v="12416.12"/>
    <n v="6984.41"/>
    <n v="5431.71"/>
    <x v="0"/>
    <n v="0.43747241489289729"/>
    <x v="0"/>
    <x v="10"/>
    <x v="10"/>
    <s v="Q4"/>
  </r>
  <r>
    <s v="ORD100261"/>
    <x v="321"/>
    <s v="CUST1584"/>
    <s v="Ananya Naidu"/>
    <x v="1"/>
    <s v="Delhi"/>
    <s v="Delhi"/>
    <x v="1"/>
    <s v="Storage"/>
    <x v="2"/>
    <n v="4"/>
    <n v="734.43"/>
    <n v="0.1"/>
    <n v="2643.95"/>
    <n v="1335.19"/>
    <n v="1308.76"/>
    <x v="3"/>
    <n v="0.4950017965543978"/>
    <x v="0"/>
    <x v="10"/>
    <x v="10"/>
    <s v="Q4"/>
  </r>
  <r>
    <s v="ORD102122"/>
    <x v="322"/>
    <s v="CUST1277"/>
    <s v="Nikhil Sharma"/>
    <x v="2"/>
    <s v="Karnataka"/>
    <s v="Bengaluru"/>
    <x v="1"/>
    <s v="Stationery"/>
    <x v="1"/>
    <n v="1"/>
    <n v="240.91"/>
    <n v="0.2"/>
    <n v="192.73"/>
    <n v="94.56"/>
    <n v="98.17"/>
    <x v="2"/>
    <n v="0.50936543350801644"/>
    <x v="0"/>
    <x v="10"/>
    <x v="10"/>
    <s v="Q4"/>
  </r>
  <r>
    <s v="ORD100129"/>
    <x v="322"/>
    <s v="CUST1301"/>
    <s v="Neha Rao"/>
    <x v="2"/>
    <s v="Telangana"/>
    <s v="Warangal"/>
    <x v="1"/>
    <s v="Stationery"/>
    <x v="1"/>
    <n v="1"/>
    <n v="242.7"/>
    <n v="0.1"/>
    <n v="218.43"/>
    <n v="90.44"/>
    <n v="127.99"/>
    <x v="0"/>
    <n v="0.58595431030536094"/>
    <x v="0"/>
    <x v="10"/>
    <x v="10"/>
    <s v="Q4"/>
  </r>
  <r>
    <s v="ORD100701"/>
    <x v="322"/>
    <s v="CUST1521"/>
    <s v="Vikram Reddy"/>
    <x v="3"/>
    <s v="West Bengal"/>
    <s v="Durgapur"/>
    <x v="0"/>
    <s v="Computers"/>
    <x v="0"/>
    <n v="2"/>
    <n v="58505.01"/>
    <n v="0"/>
    <n v="117010.02"/>
    <n v="104130.84"/>
    <n v="12879.18"/>
    <x v="1"/>
    <n v="0.1100690351134031"/>
    <x v="0"/>
    <x v="10"/>
    <x v="10"/>
    <s v="Q4"/>
  </r>
  <r>
    <s v="ORD100239"/>
    <x v="322"/>
    <s v="CUST1134"/>
    <s v="Neha Kumar"/>
    <x v="2"/>
    <s v="Tamil Nadu"/>
    <s v="Chennai"/>
    <x v="2"/>
    <s v="Office"/>
    <x v="14"/>
    <n v="2"/>
    <n v="8374.41"/>
    <n v="0.15"/>
    <n v="14236.5"/>
    <n v="11416.93"/>
    <n v="2819.57"/>
    <x v="2"/>
    <n v="0.19805218979383979"/>
    <x v="0"/>
    <x v="10"/>
    <x v="10"/>
    <s v="Q4"/>
  </r>
  <r>
    <s v="ORD100307"/>
    <x v="322"/>
    <s v="CUST1523"/>
    <s v="Ishaan Mehta"/>
    <x v="3"/>
    <s v="West Bengal"/>
    <s v="Siliguri"/>
    <x v="2"/>
    <s v="Living Room"/>
    <x v="16"/>
    <n v="3"/>
    <n v="3828.24"/>
    <n v="0"/>
    <n v="11484.72"/>
    <n v="7301.48"/>
    <n v="4183.24"/>
    <x v="0"/>
    <n v="0.36424396937844372"/>
    <x v="0"/>
    <x v="10"/>
    <x v="10"/>
    <s v="Q4"/>
  </r>
  <r>
    <s v="ORD101471"/>
    <x v="322"/>
    <s v="CUST1270"/>
    <s v="Arjun Kumar"/>
    <x v="2"/>
    <s v="Telangana"/>
    <s v="Karimnagar"/>
    <x v="0"/>
    <s v="Accessories"/>
    <x v="5"/>
    <n v="2"/>
    <n v="2414.4499999999998"/>
    <n v="0.05"/>
    <n v="4587.45"/>
    <n v="2706.06"/>
    <n v="1881.39"/>
    <x v="4"/>
    <n v="0.41011673151750982"/>
    <x v="0"/>
    <x v="10"/>
    <x v="10"/>
    <s v="Q4"/>
  </r>
  <r>
    <s v="ORD100566"/>
    <x v="323"/>
    <s v="CUST1284"/>
    <s v="Rohan Naidu"/>
    <x v="2"/>
    <s v="Karnataka"/>
    <s v="Mysuru"/>
    <x v="2"/>
    <s v="Living Room"/>
    <x v="4"/>
    <n v="4"/>
    <n v="4944.17"/>
    <n v="0.1"/>
    <n v="17799.009999999998"/>
    <n v="12155.17"/>
    <n v="5643.84"/>
    <x v="2"/>
    <n v="0.31708729867560048"/>
    <x v="0"/>
    <x v="10"/>
    <x v="10"/>
    <s v="Q4"/>
  </r>
  <r>
    <s v="ORD100267"/>
    <x v="324"/>
    <s v="CUST1020"/>
    <s v="Vikram Reddy"/>
    <x v="0"/>
    <s v="Maharashtra"/>
    <s v="Nashik"/>
    <x v="3"/>
    <s v="Kitchen"/>
    <x v="13"/>
    <n v="1"/>
    <n v="3151.16"/>
    <n v="0.1"/>
    <n v="2836.04"/>
    <n v="1832.3"/>
    <n v="1003.74"/>
    <x v="4"/>
    <n v="0.35392307583814048"/>
    <x v="0"/>
    <x v="11"/>
    <x v="11"/>
    <s v="Q4"/>
  </r>
  <r>
    <s v="ORD102432"/>
    <x v="324"/>
    <s v="CUST1248"/>
    <s v="Vikram Das"/>
    <x v="2"/>
    <s v="Tamil Nadu"/>
    <s v="Chennai"/>
    <x v="3"/>
    <s v="Cleaning"/>
    <x v="15"/>
    <n v="4"/>
    <n v="7917.04"/>
    <n v="0.2"/>
    <n v="25334.53"/>
    <n v="20278.759999999998"/>
    <n v="5055.7700000000004"/>
    <x v="0"/>
    <n v="0.1995604418159721"/>
    <x v="0"/>
    <x v="11"/>
    <x v="11"/>
    <s v="Q4"/>
  </r>
  <r>
    <s v="ORD102092"/>
    <x v="324"/>
    <s v="CUST1208"/>
    <s v="Vikram Patel"/>
    <x v="0"/>
    <s v="Maharashtra"/>
    <s v="Nashik"/>
    <x v="3"/>
    <s v="Kitchen"/>
    <x v="13"/>
    <n v="1"/>
    <n v="3219.92"/>
    <n v="0.1"/>
    <n v="2897.93"/>
    <n v="1771.84"/>
    <n v="1126.0899999999999"/>
    <x v="4"/>
    <n v="0.38858426532041829"/>
    <x v="0"/>
    <x v="11"/>
    <x v="11"/>
    <s v="Q4"/>
  </r>
  <r>
    <s v="ORD100460"/>
    <x v="324"/>
    <s v="CUST1573"/>
    <s v="Vikram Naidu"/>
    <x v="2"/>
    <s v="Telangana"/>
    <s v="Karimnagar"/>
    <x v="1"/>
    <s v="Storage"/>
    <x v="9"/>
    <n v="2"/>
    <n v="509.09"/>
    <n v="0.05"/>
    <n v="967.27"/>
    <n v="469.65"/>
    <n v="497.62"/>
    <x v="4"/>
    <n v="0.51445821745738007"/>
    <x v="0"/>
    <x v="11"/>
    <x v="11"/>
    <s v="Q4"/>
  </r>
  <r>
    <s v="ORD100613"/>
    <x v="324"/>
    <s v="CUST1101"/>
    <s v="Arjun Mehta"/>
    <x v="3"/>
    <s v="West Bengal"/>
    <s v="Kolkata"/>
    <x v="0"/>
    <s v="Computers"/>
    <x v="3"/>
    <n v="1"/>
    <n v="15139.06"/>
    <n v="0"/>
    <n v="15139.06"/>
    <n v="11744.78"/>
    <n v="3394.28"/>
    <x v="2"/>
    <n v="0.22420678694714211"/>
    <x v="0"/>
    <x v="11"/>
    <x v="11"/>
    <s v="Q4"/>
  </r>
  <r>
    <s v="ORD100418"/>
    <x v="324"/>
    <s v="CUST1562"/>
    <s v="Aditya Naidu"/>
    <x v="2"/>
    <s v="Karnataka"/>
    <s v="Mangaluru"/>
    <x v="2"/>
    <s v="Living Room"/>
    <x v="4"/>
    <n v="2"/>
    <n v="4767.71"/>
    <n v="0.2"/>
    <n v="7628.34"/>
    <n v="5980.39"/>
    <n v="1647.95"/>
    <x v="0"/>
    <n v="0.2160299619576474"/>
    <x v="0"/>
    <x v="11"/>
    <x v="11"/>
    <s v="Q4"/>
  </r>
  <r>
    <s v="ORD100185"/>
    <x v="325"/>
    <s v="CUST1320"/>
    <s v="Rohan Gupta"/>
    <x v="0"/>
    <s v="Maharashtra"/>
    <s v="Nashik"/>
    <x v="2"/>
    <s v="Office"/>
    <x v="14"/>
    <n v="1"/>
    <n v="8475.75"/>
    <n v="0"/>
    <n v="8475.75"/>
    <n v="5760.89"/>
    <n v="2714.86"/>
    <x v="2"/>
    <n v="0.32030911718726962"/>
    <x v="0"/>
    <x v="11"/>
    <x v="11"/>
    <s v="Q4"/>
  </r>
  <r>
    <s v="ORD100746"/>
    <x v="325"/>
    <s v="CUST1099"/>
    <s v="Neha Das"/>
    <x v="3"/>
    <s v="West Bengal"/>
    <s v="Durgapur"/>
    <x v="2"/>
    <s v="Living Room"/>
    <x v="4"/>
    <n v="3"/>
    <n v="4955.46"/>
    <n v="0.05"/>
    <n v="14123.06"/>
    <n v="8950.2000000000007"/>
    <n v="5172.8599999999997"/>
    <x v="4"/>
    <n v="0.36627048245918381"/>
    <x v="0"/>
    <x v="11"/>
    <x v="11"/>
    <s v="Q4"/>
  </r>
  <r>
    <s v="ORD101544"/>
    <x v="325"/>
    <s v="CUST1352"/>
    <s v="Diya Rao"/>
    <x v="2"/>
    <s v="Telangana"/>
    <s v="Nizamabad"/>
    <x v="2"/>
    <s v="Living Room"/>
    <x v="16"/>
    <n v="5"/>
    <n v="4060.77"/>
    <n v="0.1"/>
    <n v="18273.47"/>
    <n v="12468.55"/>
    <n v="5804.92"/>
    <x v="3"/>
    <n v="0.31766927682591212"/>
    <x v="0"/>
    <x v="11"/>
    <x v="11"/>
    <s v="Q4"/>
  </r>
  <r>
    <s v="ORD101008"/>
    <x v="325"/>
    <s v="CUST1240"/>
    <s v="Meera Nair"/>
    <x v="2"/>
    <s v="Karnataka"/>
    <s v="Hubballi"/>
    <x v="0"/>
    <s v="Computers"/>
    <x v="3"/>
    <n v="1"/>
    <n v="15513.31"/>
    <n v="0.15"/>
    <n v="13186.31"/>
    <n v="11556.33"/>
    <n v="1629.98"/>
    <x v="2"/>
    <n v="0.1236115334767649"/>
    <x v="0"/>
    <x v="11"/>
    <x v="11"/>
    <s v="Q4"/>
  </r>
  <r>
    <s v="ORD100020"/>
    <x v="325"/>
    <s v="CUST1526"/>
    <s v="Aisha Singh"/>
    <x v="2"/>
    <s v="Telangana"/>
    <s v="Karimnagar"/>
    <x v="0"/>
    <s v="Computers"/>
    <x v="0"/>
    <n v="1"/>
    <n v="58085.15"/>
    <n v="0.1"/>
    <n v="52276.639999999999"/>
    <n v="52463.51"/>
    <n v="-186.87"/>
    <x v="3"/>
    <n v="-3.574636778492268E-3"/>
    <x v="0"/>
    <x v="11"/>
    <x v="11"/>
    <s v="Q4"/>
  </r>
  <r>
    <s v="ORD101967"/>
    <x v="325"/>
    <s v="CUST1600"/>
    <s v="Kavya Kumar"/>
    <x v="3"/>
    <s v="West Bengal"/>
    <s v="Durgapur"/>
    <x v="3"/>
    <s v="Cleaning"/>
    <x v="12"/>
    <n v="2"/>
    <n v="12458.54"/>
    <n v="0"/>
    <n v="24917.08"/>
    <n v="17983.7"/>
    <n v="6933.38"/>
    <x v="0"/>
    <n v="0.27825812655415483"/>
    <x v="0"/>
    <x v="11"/>
    <x v="11"/>
    <s v="Q4"/>
  </r>
  <r>
    <s v="ORD101516"/>
    <x v="326"/>
    <s v="CUST1564"/>
    <s v="Aditya Nair"/>
    <x v="1"/>
    <s v="Delhi"/>
    <s v="Delhi"/>
    <x v="1"/>
    <s v="Stationery"/>
    <x v="1"/>
    <n v="2"/>
    <n v="254.6"/>
    <n v="0"/>
    <n v="509.2"/>
    <n v="190.69"/>
    <n v="318.51"/>
    <x v="4"/>
    <n v="0.6255106048703849"/>
    <x v="0"/>
    <x v="11"/>
    <x v="11"/>
    <s v="Q4"/>
  </r>
  <r>
    <s v="ORD101944"/>
    <x v="326"/>
    <s v="CUST1106"/>
    <s v="Ishaan Joshi"/>
    <x v="2"/>
    <s v="Telangana"/>
    <s v="Nizamabad"/>
    <x v="1"/>
    <s v="Stationery"/>
    <x v="17"/>
    <n v="2"/>
    <n v="304.88"/>
    <n v="0.1"/>
    <n v="548.78"/>
    <n v="263.31"/>
    <n v="285.47000000000003"/>
    <x v="0"/>
    <n v="0.52019024016910242"/>
    <x v="0"/>
    <x v="11"/>
    <x v="11"/>
    <s v="Q4"/>
  </r>
  <r>
    <s v="ORD101071"/>
    <x v="326"/>
    <s v="CUST1640"/>
    <s v="Vikram Kumar"/>
    <x v="1"/>
    <s v="Delhi"/>
    <s v="Delhi"/>
    <x v="3"/>
    <s v="Kitchen"/>
    <x v="13"/>
    <n v="2"/>
    <n v="3485.11"/>
    <n v="0.1"/>
    <n v="6273.2"/>
    <n v="3913.97"/>
    <n v="2359.23"/>
    <x v="1"/>
    <n v="0.37608078811451889"/>
    <x v="0"/>
    <x v="11"/>
    <x v="11"/>
    <s v="Q4"/>
  </r>
  <r>
    <s v="ORD102463"/>
    <x v="327"/>
    <s v="CUST1419"/>
    <s v="Varun Verma"/>
    <x v="2"/>
    <s v="Telangana"/>
    <s v="Nizamabad"/>
    <x v="3"/>
    <s v="Kitchen"/>
    <x v="7"/>
    <n v="1"/>
    <n v="1882.16"/>
    <n v="0.15"/>
    <n v="1599.84"/>
    <n v="1041.69"/>
    <n v="558.15"/>
    <x v="1"/>
    <n v="0.34887863786378642"/>
    <x v="0"/>
    <x v="11"/>
    <x v="11"/>
    <s v="Q4"/>
  </r>
  <r>
    <s v="ORD101398"/>
    <x v="327"/>
    <s v="CUST1385"/>
    <s v="Nikhil Joshi"/>
    <x v="2"/>
    <s v="Telangana"/>
    <s v="Nizamabad"/>
    <x v="2"/>
    <s v="Office"/>
    <x v="14"/>
    <n v="4"/>
    <n v="8038.59"/>
    <n v="0"/>
    <n v="32154.36"/>
    <n v="22075.23"/>
    <n v="10079.129999999999"/>
    <x v="2"/>
    <n v="0.31346075617738928"/>
    <x v="0"/>
    <x v="11"/>
    <x v="11"/>
    <s v="Q4"/>
  </r>
  <r>
    <s v="ORD100142"/>
    <x v="328"/>
    <s v="CUST1018"/>
    <s v="Vikram Sharma"/>
    <x v="0"/>
    <s v="Maharashtra"/>
    <s v="Pune"/>
    <x v="1"/>
    <s v="Storage"/>
    <x v="2"/>
    <n v="3"/>
    <n v="726.56"/>
    <n v="0.1"/>
    <n v="1961.71"/>
    <n v="1041.7"/>
    <n v="920.01"/>
    <x v="2"/>
    <n v="0.46898369279862978"/>
    <x v="0"/>
    <x v="11"/>
    <x v="11"/>
    <s v="Q4"/>
  </r>
  <r>
    <s v="ORD101158"/>
    <x v="328"/>
    <s v="CUST1387"/>
    <s v="Nikhil Patel"/>
    <x v="1"/>
    <s v="Delhi"/>
    <s v="New Delhi"/>
    <x v="0"/>
    <s v="Accessories"/>
    <x v="6"/>
    <n v="1"/>
    <n v="832.61"/>
    <n v="0.1"/>
    <n v="749.35"/>
    <n v="535.42999999999995"/>
    <n v="213.92"/>
    <x v="0"/>
    <n v="0.28547407753386272"/>
    <x v="0"/>
    <x v="11"/>
    <x v="11"/>
    <s v="Q4"/>
  </r>
  <r>
    <s v="ORD102417"/>
    <x v="328"/>
    <s v="CUST1189"/>
    <s v="Sanjana Das"/>
    <x v="2"/>
    <s v="Tamil Nadu"/>
    <s v="Madurai"/>
    <x v="1"/>
    <s v="Storage"/>
    <x v="9"/>
    <n v="2"/>
    <n v="472.32"/>
    <n v="0"/>
    <n v="944.64"/>
    <n v="420.71"/>
    <n v="523.92999999999995"/>
    <x v="0"/>
    <n v="0.55463456978319781"/>
    <x v="0"/>
    <x v="11"/>
    <x v="11"/>
    <s v="Q4"/>
  </r>
  <r>
    <s v="ORD100311"/>
    <x v="328"/>
    <s v="CUST1538"/>
    <s v="Pooja Malhotra"/>
    <x v="2"/>
    <s v="Karnataka"/>
    <s v="Mysuru"/>
    <x v="0"/>
    <s v="Computers"/>
    <x v="0"/>
    <n v="1"/>
    <n v="56863.59"/>
    <n v="0.15"/>
    <n v="48334.05"/>
    <n v="50907.14"/>
    <n v="-2573.09"/>
    <x v="4"/>
    <n v="-5.3235555472798159E-2"/>
    <x v="0"/>
    <x v="11"/>
    <x v="11"/>
    <s v="Q4"/>
  </r>
  <r>
    <s v="ORD102173"/>
    <x v="329"/>
    <s v="CUST1374"/>
    <s v="Sanjana Verma"/>
    <x v="2"/>
    <s v="Tamil Nadu"/>
    <s v="Coimbatore"/>
    <x v="0"/>
    <s v="Accessories"/>
    <x v="5"/>
    <n v="4"/>
    <n v="2429.39"/>
    <n v="0.1"/>
    <n v="8745.7999999999993"/>
    <n v="5168.24"/>
    <n v="3577.56"/>
    <x v="2"/>
    <n v="0.40906034896750437"/>
    <x v="0"/>
    <x v="11"/>
    <x v="11"/>
    <s v="Q4"/>
  </r>
  <r>
    <s v="ORD100370"/>
    <x v="329"/>
    <s v="CUST1648"/>
    <s v="Arjun Sharma"/>
    <x v="1"/>
    <s v="Delhi"/>
    <s v="Delhi"/>
    <x v="0"/>
    <s v="Accessories"/>
    <x v="5"/>
    <n v="4"/>
    <n v="2440.02"/>
    <n v="0.05"/>
    <n v="9272.08"/>
    <n v="5227.63"/>
    <n v="4044.45"/>
    <x v="4"/>
    <n v="0.43619662470556769"/>
    <x v="0"/>
    <x v="11"/>
    <x v="11"/>
    <s v="Q4"/>
  </r>
  <r>
    <s v="ORD100380"/>
    <x v="329"/>
    <s v="CUST1127"/>
    <s v="Kavya Iyer"/>
    <x v="2"/>
    <s v="Karnataka"/>
    <s v="Bengaluru"/>
    <x v="1"/>
    <s v="Storage"/>
    <x v="2"/>
    <n v="3"/>
    <n v="724.82"/>
    <n v="0"/>
    <n v="2174.46"/>
    <n v="1036.48"/>
    <n v="1137.98"/>
    <x v="2"/>
    <n v="0.52333912787542658"/>
    <x v="0"/>
    <x v="11"/>
    <x v="11"/>
    <s v="Q4"/>
  </r>
  <r>
    <s v="ORD100372"/>
    <x v="329"/>
    <s v="CUST1203"/>
    <s v="Pooja Malhotra"/>
    <x v="2"/>
    <s v="Tamil Nadu"/>
    <s v="Coimbatore"/>
    <x v="0"/>
    <s v="Audio"/>
    <x v="8"/>
    <n v="2"/>
    <n v="2839.54"/>
    <n v="0"/>
    <n v="5679.08"/>
    <n v="3051.41"/>
    <n v="2627.67"/>
    <x v="3"/>
    <n v="0.46269290096283211"/>
    <x v="0"/>
    <x v="11"/>
    <x v="11"/>
    <s v="Q4"/>
  </r>
  <r>
    <s v="ORD102004"/>
    <x v="330"/>
    <s v="CUST1031"/>
    <s v="Varun Naidu"/>
    <x v="2"/>
    <s v="Telangana"/>
    <s v="Hyderabad"/>
    <x v="3"/>
    <s v="Cleaning"/>
    <x v="15"/>
    <n v="1"/>
    <n v="7803.98"/>
    <n v="0.1"/>
    <n v="7023.58"/>
    <n v="5172.38"/>
    <n v="1851.2"/>
    <x v="2"/>
    <n v="0.26356929087445441"/>
    <x v="0"/>
    <x v="11"/>
    <x v="11"/>
    <s v="Q4"/>
  </r>
  <r>
    <s v="ORD102499"/>
    <x v="331"/>
    <s v="CUST1499"/>
    <s v="Aisha Reddy"/>
    <x v="2"/>
    <s v="Telangana"/>
    <s v="Warangal"/>
    <x v="2"/>
    <s v="Living Room"/>
    <x v="16"/>
    <n v="2"/>
    <n v="3998.21"/>
    <n v="0.05"/>
    <n v="7596.6"/>
    <n v="5004.6400000000003"/>
    <n v="2591.96"/>
    <x v="2"/>
    <n v="0.34120001053102711"/>
    <x v="0"/>
    <x v="11"/>
    <x v="11"/>
    <s v="Q4"/>
  </r>
  <r>
    <s v="ORD101992"/>
    <x v="331"/>
    <s v="CUST1100"/>
    <s v="Pooja Nair"/>
    <x v="1"/>
    <s v="Delhi"/>
    <s v="Delhi"/>
    <x v="1"/>
    <s v="Storage"/>
    <x v="2"/>
    <n v="6"/>
    <n v="679.61"/>
    <n v="0.2"/>
    <n v="3262.13"/>
    <n v="1862.09"/>
    <n v="1400.04"/>
    <x v="0"/>
    <n v="0.4291797077369694"/>
    <x v="0"/>
    <x v="11"/>
    <x v="11"/>
    <s v="Q4"/>
  </r>
  <r>
    <s v="ORD100519"/>
    <x v="331"/>
    <s v="CUST1492"/>
    <s v="Diya Verma"/>
    <x v="0"/>
    <s v="Maharashtra"/>
    <s v="Pune"/>
    <x v="1"/>
    <s v="Storage"/>
    <x v="2"/>
    <n v="3"/>
    <n v="688.57"/>
    <n v="0.15"/>
    <n v="1755.85"/>
    <n v="1000.01"/>
    <n v="755.84"/>
    <x v="0"/>
    <n v="0.4304695731412137"/>
    <x v="0"/>
    <x v="11"/>
    <x v="11"/>
    <s v="Q4"/>
  </r>
  <r>
    <s v="ORD102147"/>
    <x v="331"/>
    <s v="CUST1085"/>
    <s v="Neha Das"/>
    <x v="3"/>
    <s v="West Bengal"/>
    <s v="Kolkata"/>
    <x v="0"/>
    <s v="Audio"/>
    <x v="8"/>
    <n v="2"/>
    <n v="3101.3"/>
    <n v="0"/>
    <n v="6202.6"/>
    <n v="3278.04"/>
    <n v="2924.56"/>
    <x v="0"/>
    <n v="0.47150549769451522"/>
    <x v="0"/>
    <x v="11"/>
    <x v="11"/>
    <s v="Q4"/>
  </r>
  <r>
    <s v="ORD100455"/>
    <x v="332"/>
    <s v="CUST1361"/>
    <s v="Rahul Singh"/>
    <x v="2"/>
    <s v="Tamil Nadu"/>
    <s v="Chennai"/>
    <x v="0"/>
    <s v="Accessories"/>
    <x v="6"/>
    <n v="1"/>
    <n v="784.01"/>
    <n v="0.1"/>
    <n v="705.61"/>
    <n v="503.56"/>
    <n v="202.05"/>
    <x v="0"/>
    <n v="0.28634798259661848"/>
    <x v="0"/>
    <x v="11"/>
    <x v="11"/>
    <s v="Q4"/>
  </r>
  <r>
    <s v="ORD101091"/>
    <x v="332"/>
    <s v="CUST1472"/>
    <s v="Pooja Nair"/>
    <x v="2"/>
    <s v="Karnataka"/>
    <s v="Mangaluru"/>
    <x v="0"/>
    <s v="Audio"/>
    <x v="8"/>
    <n v="4"/>
    <n v="3133.05"/>
    <n v="0.15"/>
    <n v="10652.37"/>
    <n v="6289.64"/>
    <n v="4362.7299999999996"/>
    <x v="1"/>
    <n v="0.40955486901037041"/>
    <x v="0"/>
    <x v="11"/>
    <x v="11"/>
    <s v="Q4"/>
  </r>
  <r>
    <s v="ORD100679"/>
    <x v="332"/>
    <s v="CUST1542"/>
    <s v="Kiran Joshi"/>
    <x v="2"/>
    <s v="Tamil Nadu"/>
    <s v="Salem"/>
    <x v="3"/>
    <s v="Kitchen"/>
    <x v="13"/>
    <n v="2"/>
    <n v="3345.04"/>
    <n v="0.05"/>
    <n v="6355.58"/>
    <n v="3768.06"/>
    <n v="2587.52"/>
    <x v="4"/>
    <n v="0.40712570685916938"/>
    <x v="0"/>
    <x v="11"/>
    <x v="11"/>
    <s v="Q4"/>
  </r>
  <r>
    <s v="ORD100184"/>
    <x v="333"/>
    <s v="CUST1399"/>
    <s v="Rohan Nair"/>
    <x v="2"/>
    <s v="Karnataka"/>
    <s v="Bengaluru"/>
    <x v="3"/>
    <s v="Cleaning"/>
    <x v="15"/>
    <n v="2"/>
    <n v="7829.41"/>
    <n v="0.1"/>
    <n v="14092.94"/>
    <n v="10584.41"/>
    <n v="3508.53"/>
    <x v="3"/>
    <n v="0.2489565697434318"/>
    <x v="0"/>
    <x v="11"/>
    <x v="11"/>
    <s v="Q4"/>
  </r>
  <r>
    <s v="ORD101219"/>
    <x v="333"/>
    <s v="CUST1583"/>
    <s v="Kiran Gupta"/>
    <x v="3"/>
    <s v="West Bengal"/>
    <s v="Siliguri"/>
    <x v="0"/>
    <s v="Computers"/>
    <x v="0"/>
    <n v="3"/>
    <n v="60126.97"/>
    <n v="0.1"/>
    <n v="162342.82"/>
    <n v="160946.62"/>
    <n v="1396.2"/>
    <x v="2"/>
    <n v="8.6003187575526899E-3"/>
    <x v="0"/>
    <x v="11"/>
    <x v="11"/>
    <s v="Q4"/>
  </r>
  <r>
    <s v="ORD101469"/>
    <x v="334"/>
    <s v="CUST1465"/>
    <s v="Neha Nair"/>
    <x v="1"/>
    <s v="Delhi"/>
    <s v="Delhi"/>
    <x v="2"/>
    <s v="Office"/>
    <x v="14"/>
    <n v="4"/>
    <n v="8074.9"/>
    <n v="0.1"/>
    <n v="29069.64"/>
    <n v="22508.58"/>
    <n v="6561.06"/>
    <x v="0"/>
    <n v="0.22570145347517209"/>
    <x v="0"/>
    <x v="11"/>
    <x v="11"/>
    <s v="Q4"/>
  </r>
  <r>
    <s v="ORD101454"/>
    <x v="334"/>
    <s v="CUST1611"/>
    <s v="Aarav Patel"/>
    <x v="2"/>
    <s v="Karnataka"/>
    <s v="Hubballi"/>
    <x v="2"/>
    <s v="Living Room"/>
    <x v="16"/>
    <n v="2"/>
    <n v="3862.25"/>
    <n v="0.1"/>
    <n v="6952.05"/>
    <n v="4838.55"/>
    <n v="2113.5"/>
    <x v="3"/>
    <n v="0.30401104710121468"/>
    <x v="0"/>
    <x v="11"/>
    <x v="11"/>
    <s v="Q4"/>
  </r>
  <r>
    <s v="ORD100749"/>
    <x v="334"/>
    <s v="CUST1615"/>
    <s v="Sanjana Nair"/>
    <x v="2"/>
    <s v="Telangana"/>
    <s v="Nizamabad"/>
    <x v="3"/>
    <s v="Kitchen"/>
    <x v="7"/>
    <n v="2"/>
    <n v="1803.33"/>
    <n v="0.1"/>
    <n v="3245.99"/>
    <n v="1889.8"/>
    <n v="1356.19"/>
    <x v="2"/>
    <n v="0.41780473753770042"/>
    <x v="0"/>
    <x v="11"/>
    <x v="11"/>
    <s v="Q4"/>
  </r>
  <r>
    <s v="ORD101782"/>
    <x v="334"/>
    <s v="CUST1235"/>
    <s v="Diya Reddy"/>
    <x v="2"/>
    <s v="Karnataka"/>
    <s v="Mysuru"/>
    <x v="2"/>
    <s v="Office"/>
    <x v="10"/>
    <n v="3"/>
    <n v="6617.92"/>
    <n v="0.2"/>
    <n v="15883.01"/>
    <n v="12655.26"/>
    <n v="3227.75"/>
    <x v="3"/>
    <n v="0.20322029640477471"/>
    <x v="0"/>
    <x v="11"/>
    <x v="11"/>
    <s v="Q4"/>
  </r>
  <r>
    <s v="ORD101990"/>
    <x v="334"/>
    <s v="CUST1287"/>
    <s v="Arjun Mehta"/>
    <x v="2"/>
    <s v="Karnataka"/>
    <s v="Hubballi"/>
    <x v="3"/>
    <s v="Cleaning"/>
    <x v="15"/>
    <n v="2"/>
    <n v="7465.28"/>
    <n v="0.1"/>
    <n v="13437.5"/>
    <n v="9606.23"/>
    <n v="3831.27"/>
    <x v="1"/>
    <n v="0.28511776744186051"/>
    <x v="0"/>
    <x v="11"/>
    <x v="11"/>
    <s v="Q4"/>
  </r>
  <r>
    <s v="ORD100536"/>
    <x v="334"/>
    <s v="CUST1440"/>
    <s v="Rahul Patel"/>
    <x v="3"/>
    <s v="West Bengal"/>
    <s v="Kolkata"/>
    <x v="1"/>
    <s v="Storage"/>
    <x v="2"/>
    <n v="2"/>
    <n v="714.37"/>
    <n v="0"/>
    <n v="1428.74"/>
    <n v="644.74"/>
    <n v="784"/>
    <x v="1"/>
    <n v="0.54873524924058958"/>
    <x v="0"/>
    <x v="11"/>
    <x v="11"/>
    <s v="Q4"/>
  </r>
  <r>
    <s v="ORD100975"/>
    <x v="334"/>
    <s v="CUST1413"/>
    <s v="Diya Kumar"/>
    <x v="1"/>
    <s v="Delhi"/>
    <s v="New Delhi"/>
    <x v="2"/>
    <s v="Living Room"/>
    <x v="16"/>
    <n v="3"/>
    <n v="4001.01"/>
    <n v="0.05"/>
    <n v="11402.88"/>
    <n v="7323.38"/>
    <n v="4079.5"/>
    <x v="3"/>
    <n v="0.35776049559409562"/>
    <x v="0"/>
    <x v="11"/>
    <x v="11"/>
    <s v="Q4"/>
  </r>
  <r>
    <s v="ORD100402"/>
    <x v="334"/>
    <s v="CUST1195"/>
    <s v="Aditya Patel"/>
    <x v="2"/>
    <s v="Karnataka"/>
    <s v="Mangaluru"/>
    <x v="0"/>
    <s v="Accessories"/>
    <x v="5"/>
    <n v="3"/>
    <n v="2502.35"/>
    <n v="0"/>
    <n v="7507.05"/>
    <n v="3981.69"/>
    <n v="3525.36"/>
    <x v="1"/>
    <n v="0.46960656982436511"/>
    <x v="0"/>
    <x v="11"/>
    <x v="11"/>
    <s v="Q4"/>
  </r>
  <r>
    <s v="ORD101804"/>
    <x v="334"/>
    <s v="CUST1444"/>
    <s v="Rohan Sharma"/>
    <x v="3"/>
    <s v="West Bengal"/>
    <s v="Siliguri"/>
    <x v="0"/>
    <s v="Computers"/>
    <x v="0"/>
    <n v="1"/>
    <n v="57339.85"/>
    <n v="0.1"/>
    <n v="51605.86"/>
    <n v="51843.07"/>
    <n v="-237.21"/>
    <x v="2"/>
    <n v="-4.5965710095713938E-3"/>
    <x v="0"/>
    <x v="11"/>
    <x v="11"/>
    <s v="Q4"/>
  </r>
  <r>
    <s v="ORD100461"/>
    <x v="335"/>
    <s v="CUST1263"/>
    <s v="Vikram Nair"/>
    <x v="2"/>
    <s v="Telangana"/>
    <s v="Nizamabad"/>
    <x v="0"/>
    <s v="Accessories"/>
    <x v="6"/>
    <n v="4"/>
    <n v="789.02"/>
    <n v="0.05"/>
    <n v="2998.28"/>
    <n v="1926.23"/>
    <n v="1072.05"/>
    <x v="1"/>
    <n v="0.35755499819896741"/>
    <x v="0"/>
    <x v="11"/>
    <x v="11"/>
    <s v="Q4"/>
  </r>
  <r>
    <s v="ORD101073"/>
    <x v="335"/>
    <s v="CUST1648"/>
    <s v="Aditya Joshi"/>
    <x v="1"/>
    <s v="Delhi"/>
    <s v="New Delhi"/>
    <x v="3"/>
    <s v="Kitchen"/>
    <x v="13"/>
    <n v="2"/>
    <n v="3162.53"/>
    <n v="0.15"/>
    <n v="5376.3"/>
    <n v="3624.8"/>
    <n v="1751.5"/>
    <x v="2"/>
    <n v="0.32578167140970549"/>
    <x v="0"/>
    <x v="11"/>
    <x v="11"/>
    <s v="Q4"/>
  </r>
  <r>
    <s v="ORD100547"/>
    <x v="335"/>
    <s v="CUST1125"/>
    <s v="Ishaan Mehta"/>
    <x v="2"/>
    <s v="Telangana"/>
    <s v="Hyderabad"/>
    <x v="0"/>
    <s v="Accessories"/>
    <x v="6"/>
    <n v="1"/>
    <n v="846.44"/>
    <n v="0.05"/>
    <n v="804.12"/>
    <n v="542.36"/>
    <n v="261.76"/>
    <x v="2"/>
    <n v="0.32552355369845293"/>
    <x v="0"/>
    <x v="11"/>
    <x v="11"/>
    <s v="Q4"/>
  </r>
  <r>
    <s v="ORD101241"/>
    <x v="335"/>
    <s v="CUST1191"/>
    <s v="Neha Sharma"/>
    <x v="0"/>
    <s v="Maharashtra"/>
    <s v="Nashik"/>
    <x v="0"/>
    <s v="Computers"/>
    <x v="0"/>
    <n v="1"/>
    <n v="57180.46"/>
    <n v="0.15"/>
    <n v="48603.39"/>
    <n v="51698.83"/>
    <n v="-3095.44"/>
    <x v="2"/>
    <n v="-6.3687738653620665E-2"/>
    <x v="0"/>
    <x v="11"/>
    <x v="11"/>
    <s v="Q4"/>
  </r>
  <r>
    <s v="ORD100607"/>
    <x v="335"/>
    <s v="CUST1343"/>
    <s v="Neha Singh"/>
    <x v="2"/>
    <s v="Telangana"/>
    <s v="Hyderabad"/>
    <x v="3"/>
    <s v="Cleaning"/>
    <x v="12"/>
    <n v="1"/>
    <n v="12224.87"/>
    <n v="0"/>
    <n v="12224.87"/>
    <n v="8678.51"/>
    <n v="3546.36"/>
    <x v="0"/>
    <n v="0.29009388238893341"/>
    <x v="0"/>
    <x v="11"/>
    <x v="11"/>
    <s v="Q4"/>
  </r>
  <r>
    <s v="ORD100660"/>
    <x v="336"/>
    <s v="CUST1389"/>
    <s v="Neha Gupta"/>
    <x v="0"/>
    <s v="Maharashtra"/>
    <s v="Pune"/>
    <x v="3"/>
    <s v="Cleaning"/>
    <x v="15"/>
    <n v="5"/>
    <n v="7549.89"/>
    <n v="0.1"/>
    <n v="33974.51"/>
    <n v="23668.639999999999"/>
    <n v="10305.870000000001"/>
    <x v="1"/>
    <n v="0.3033412402415811"/>
    <x v="0"/>
    <x v="11"/>
    <x v="11"/>
    <s v="Q4"/>
  </r>
  <r>
    <s v="ORD100797"/>
    <x v="336"/>
    <s v="CUST1581"/>
    <s v="Sneha Nair"/>
    <x v="2"/>
    <s v="Telangana"/>
    <s v="Karimnagar"/>
    <x v="2"/>
    <s v="Office"/>
    <x v="14"/>
    <n v="4"/>
    <n v="8344.49"/>
    <n v="0.05"/>
    <n v="31709.06"/>
    <n v="22847.7"/>
    <n v="8861.36"/>
    <x v="2"/>
    <n v="0.27945829993068227"/>
    <x v="0"/>
    <x v="11"/>
    <x v="11"/>
    <s v="Q4"/>
  </r>
  <r>
    <s v="ORD100440"/>
    <x v="336"/>
    <s v="CUST1472"/>
    <s v="Aisha Mehta"/>
    <x v="3"/>
    <s v="West Bengal"/>
    <s v="Durgapur"/>
    <x v="1"/>
    <s v="Stationery"/>
    <x v="17"/>
    <n v="3"/>
    <n v="316.04000000000002"/>
    <n v="0"/>
    <n v="948.12"/>
    <n v="390.41"/>
    <n v="557.71"/>
    <x v="2"/>
    <n v="0.58822722862084975"/>
    <x v="0"/>
    <x v="11"/>
    <x v="11"/>
    <s v="Q4"/>
  </r>
  <r>
    <s v="ORD101749"/>
    <x v="336"/>
    <s v="CUST1376"/>
    <s v="Diya Das"/>
    <x v="1"/>
    <s v="Delhi"/>
    <s v="New Delhi"/>
    <x v="1"/>
    <s v="Stationery"/>
    <x v="1"/>
    <n v="1"/>
    <n v="243.28"/>
    <n v="0.1"/>
    <n v="218.95"/>
    <n v="89.87"/>
    <n v="129.08000000000001"/>
    <x v="2"/>
    <n v="0.58954099109385716"/>
    <x v="0"/>
    <x v="11"/>
    <x v="11"/>
    <s v="Q4"/>
  </r>
  <r>
    <s v="ORD100042"/>
    <x v="336"/>
    <s v="CUST1303"/>
    <s v="Meera Verma"/>
    <x v="2"/>
    <s v="Karnataka"/>
    <s v="Bengaluru"/>
    <x v="0"/>
    <s v="Accessories"/>
    <x v="5"/>
    <n v="3"/>
    <n v="2518.48"/>
    <n v="0"/>
    <n v="7555.44"/>
    <n v="4179.57"/>
    <n v="3375.87"/>
    <x v="1"/>
    <n v="0.44681315714240338"/>
    <x v="0"/>
    <x v="11"/>
    <x v="11"/>
    <s v="Q4"/>
  </r>
  <r>
    <s v="ORD101985"/>
    <x v="336"/>
    <s v="CUST1434"/>
    <s v="Varun Das"/>
    <x v="2"/>
    <s v="Karnataka"/>
    <s v="Hubballi"/>
    <x v="3"/>
    <s v="Cleaning"/>
    <x v="12"/>
    <n v="2"/>
    <n v="12310.44"/>
    <n v="0.1"/>
    <n v="22158.79"/>
    <n v="17930.849999999999"/>
    <n v="4227.9399999999996"/>
    <x v="2"/>
    <n v="0.19080193458216799"/>
    <x v="0"/>
    <x v="11"/>
    <x v="11"/>
    <s v="Q4"/>
  </r>
  <r>
    <s v="ORD100902"/>
    <x v="336"/>
    <s v="CUST1095"/>
    <s v="Aditya Gupta"/>
    <x v="1"/>
    <s v="Delhi"/>
    <s v="New Delhi"/>
    <x v="2"/>
    <s v="Living Room"/>
    <x v="16"/>
    <n v="2"/>
    <n v="4072.94"/>
    <n v="0.2"/>
    <n v="6516.7"/>
    <n v="5310.58"/>
    <n v="1206.1199999999999"/>
    <x v="1"/>
    <n v="0.1850814062332162"/>
    <x v="0"/>
    <x v="11"/>
    <x v="11"/>
    <s v="Q4"/>
  </r>
  <r>
    <s v="ORD101195"/>
    <x v="337"/>
    <s v="CUST1059"/>
    <s v="Rahul Singh"/>
    <x v="1"/>
    <s v="Delhi"/>
    <s v="Delhi"/>
    <x v="0"/>
    <s v="Accessories"/>
    <x v="6"/>
    <n v="5"/>
    <n v="783.67"/>
    <n v="0"/>
    <n v="3918.35"/>
    <n v="2400.4899999999998"/>
    <n v="1517.86"/>
    <x v="1"/>
    <n v="0.38737223576250213"/>
    <x v="0"/>
    <x v="11"/>
    <x v="11"/>
    <s v="Q4"/>
  </r>
  <r>
    <s v="ORD100227"/>
    <x v="337"/>
    <s v="CUST1314"/>
    <s v="Kiran Rao"/>
    <x v="0"/>
    <s v="Maharashtra"/>
    <s v="Pune"/>
    <x v="3"/>
    <s v="Cleaning"/>
    <x v="15"/>
    <n v="2"/>
    <n v="7090.42"/>
    <n v="0.05"/>
    <n v="13471.8"/>
    <n v="9108.57"/>
    <n v="4363.2299999999996"/>
    <x v="2"/>
    <n v="0.32387876898410012"/>
    <x v="0"/>
    <x v="11"/>
    <x v="11"/>
    <s v="Q4"/>
  </r>
  <r>
    <s v="ORD100640"/>
    <x v="337"/>
    <s v="CUST1133"/>
    <s v="Aarav Malhotra"/>
    <x v="2"/>
    <s v="Tamil Nadu"/>
    <s v="Salem"/>
    <x v="1"/>
    <s v="Stationery"/>
    <x v="1"/>
    <n v="2"/>
    <n v="236.8"/>
    <n v="0.1"/>
    <n v="426.24"/>
    <n v="184.72"/>
    <n v="241.52"/>
    <x v="0"/>
    <n v="0.56662912912912911"/>
    <x v="0"/>
    <x v="11"/>
    <x v="11"/>
    <s v="Q4"/>
  </r>
  <r>
    <s v="ORD100132"/>
    <x v="337"/>
    <s v="CUST1576"/>
    <s v="Ishaan Iyer"/>
    <x v="0"/>
    <s v="Maharashtra"/>
    <s v="Pune"/>
    <x v="3"/>
    <s v="Cleaning"/>
    <x v="12"/>
    <n v="1"/>
    <n v="13452.52"/>
    <n v="0"/>
    <n v="13452.52"/>
    <n v="9508.09"/>
    <n v="3944.43"/>
    <x v="0"/>
    <n v="0.29321123477236982"/>
    <x v="0"/>
    <x v="11"/>
    <x v="11"/>
    <s v="Q4"/>
  </r>
  <r>
    <s v="ORD102320"/>
    <x v="338"/>
    <s v="CUST1595"/>
    <s v="Diya Malhotra"/>
    <x v="2"/>
    <s v="Tamil Nadu"/>
    <s v="Chennai"/>
    <x v="1"/>
    <s v="Stationery"/>
    <x v="17"/>
    <n v="1"/>
    <n v="290.33"/>
    <n v="0"/>
    <n v="290.33"/>
    <n v="125.14"/>
    <n v="165.19"/>
    <x v="0"/>
    <n v="0.56897323735060101"/>
    <x v="0"/>
    <x v="11"/>
    <x v="11"/>
    <s v="Q4"/>
  </r>
  <r>
    <s v="ORD101067"/>
    <x v="338"/>
    <s v="CUST1215"/>
    <s v="Neha Das"/>
    <x v="0"/>
    <s v="Maharashtra"/>
    <s v="Nashik"/>
    <x v="2"/>
    <s v="Living Room"/>
    <x v="4"/>
    <n v="4"/>
    <n v="5060.87"/>
    <n v="0"/>
    <n v="20243.48"/>
    <n v="12208.88"/>
    <n v="8034.6"/>
    <x v="0"/>
    <n v="0.39689816177850851"/>
    <x v="0"/>
    <x v="11"/>
    <x v="11"/>
    <s v="Q4"/>
  </r>
  <r>
    <s v="ORD101506"/>
    <x v="338"/>
    <s v="CUST1364"/>
    <s v="Kavya Iyer"/>
    <x v="2"/>
    <s v="Telangana"/>
    <s v="Karimnagar"/>
    <x v="0"/>
    <s v="Accessories"/>
    <x v="6"/>
    <n v="1"/>
    <n v="834.89"/>
    <n v="0.1"/>
    <n v="751.4"/>
    <n v="498.96"/>
    <n v="252.44"/>
    <x v="3"/>
    <n v="0.3359595421879159"/>
    <x v="0"/>
    <x v="11"/>
    <x v="11"/>
    <s v="Q4"/>
  </r>
  <r>
    <s v="ORD101966"/>
    <x v="338"/>
    <s v="CUST1419"/>
    <s v="Neha Naidu"/>
    <x v="2"/>
    <s v="Telangana"/>
    <s v="Karimnagar"/>
    <x v="1"/>
    <s v="Stationery"/>
    <x v="1"/>
    <n v="2"/>
    <n v="244.13"/>
    <n v="0.05"/>
    <n v="463.85"/>
    <n v="185.03"/>
    <n v="278.82"/>
    <x v="0"/>
    <n v="0.60109949337070168"/>
    <x v="0"/>
    <x v="11"/>
    <x v="11"/>
    <s v="Q4"/>
  </r>
  <r>
    <s v="ORD102105"/>
    <x v="339"/>
    <s v="CUST1466"/>
    <s v="Ananya Gupta"/>
    <x v="1"/>
    <s v="Delhi"/>
    <s v="New Delhi"/>
    <x v="0"/>
    <s v="Computers"/>
    <x v="0"/>
    <n v="4"/>
    <n v="61475.27"/>
    <n v="0.1"/>
    <n v="221310.97"/>
    <n v="214251.5"/>
    <n v="7059.47"/>
    <x v="3"/>
    <n v="3.1898418772463022E-2"/>
    <x v="0"/>
    <x v="11"/>
    <x v="11"/>
    <s v="Q4"/>
  </r>
  <r>
    <s v="ORD102329"/>
    <x v="339"/>
    <s v="CUST1063"/>
    <s v="Nikhil Kumar"/>
    <x v="3"/>
    <s v="West Bengal"/>
    <s v="Siliguri"/>
    <x v="1"/>
    <s v="Stationery"/>
    <x v="17"/>
    <n v="1"/>
    <n v="314.64"/>
    <n v="0.1"/>
    <n v="283.18"/>
    <n v="127.69"/>
    <n v="155.49"/>
    <x v="1"/>
    <n v="0.5490853873861149"/>
    <x v="0"/>
    <x v="11"/>
    <x v="11"/>
    <s v="Q4"/>
  </r>
  <r>
    <s v="ORD100835"/>
    <x v="339"/>
    <s v="CUST1023"/>
    <s v="Kavya Iyer"/>
    <x v="3"/>
    <s v="West Bengal"/>
    <s v="Kolkata"/>
    <x v="2"/>
    <s v="Office"/>
    <x v="14"/>
    <n v="3"/>
    <n v="8773.3799999999992"/>
    <n v="0.15"/>
    <n v="22372.12"/>
    <n v="18149.91"/>
    <n v="4222.21"/>
    <x v="0"/>
    <n v="0.18872641484132929"/>
    <x v="0"/>
    <x v="11"/>
    <x v="11"/>
    <s v="Q4"/>
  </r>
  <r>
    <s v="ORD102354"/>
    <x v="339"/>
    <s v="CUST1415"/>
    <s v="Arjun Naidu"/>
    <x v="2"/>
    <s v="Telangana"/>
    <s v="Hyderabad"/>
    <x v="3"/>
    <s v="Cleaning"/>
    <x v="12"/>
    <n v="1"/>
    <n v="13151.46"/>
    <n v="0.05"/>
    <n v="12493.89"/>
    <n v="9404.81"/>
    <n v="3089.08"/>
    <x v="1"/>
    <n v="0.2472472544579791"/>
    <x v="0"/>
    <x v="11"/>
    <x v="11"/>
    <s v="Q4"/>
  </r>
  <r>
    <s v="ORD102242"/>
    <x v="339"/>
    <s v="CUST1001"/>
    <s v="Nikhil Naidu"/>
    <x v="2"/>
    <s v="Karnataka"/>
    <s v="Hubballi"/>
    <x v="1"/>
    <s v="Stationery"/>
    <x v="17"/>
    <n v="2"/>
    <n v="302.95999999999998"/>
    <n v="0"/>
    <n v="605.91999999999996"/>
    <n v="258.33999999999997"/>
    <n v="347.58"/>
    <x v="2"/>
    <n v="0.57364008449960391"/>
    <x v="0"/>
    <x v="11"/>
    <x v="11"/>
    <s v="Q4"/>
  </r>
  <r>
    <s v="ORD101933"/>
    <x v="340"/>
    <s v="CUST1142"/>
    <s v="Ananya Reddy"/>
    <x v="3"/>
    <s v="West Bengal"/>
    <s v="Durgapur"/>
    <x v="1"/>
    <s v="Stationery"/>
    <x v="1"/>
    <n v="3"/>
    <n v="243.8"/>
    <n v="0"/>
    <n v="731.4"/>
    <n v="269.58999999999997"/>
    <n v="461.81"/>
    <x v="1"/>
    <n v="0.63140552365326774"/>
    <x v="0"/>
    <x v="11"/>
    <x v="11"/>
    <s v="Q4"/>
  </r>
  <r>
    <s v="ORD100810"/>
    <x v="341"/>
    <s v="CUST1259"/>
    <s v="Arjun Joshi"/>
    <x v="0"/>
    <s v="Maharashtra"/>
    <s v="Nashik"/>
    <x v="0"/>
    <s v="Computers"/>
    <x v="3"/>
    <n v="3"/>
    <n v="15159.8"/>
    <n v="0"/>
    <n v="45479.4"/>
    <n v="34524.81"/>
    <n v="10954.59"/>
    <x v="3"/>
    <n v="0.24086927268169761"/>
    <x v="0"/>
    <x v="11"/>
    <x v="11"/>
    <s v="Q4"/>
  </r>
  <r>
    <s v="ORD101956"/>
    <x v="341"/>
    <s v="CUST1432"/>
    <s v="Rahul Sharma"/>
    <x v="0"/>
    <s v="Maharashtra"/>
    <s v="Pune"/>
    <x v="1"/>
    <s v="Stationery"/>
    <x v="1"/>
    <n v="4"/>
    <n v="247.88"/>
    <n v="0.1"/>
    <n v="892.37"/>
    <n v="382.46"/>
    <n v="509.91"/>
    <x v="1"/>
    <n v="0.57141096182076945"/>
    <x v="0"/>
    <x v="11"/>
    <x v="11"/>
    <s v="Q4"/>
  </r>
  <r>
    <s v="ORD102051"/>
    <x v="341"/>
    <s v="CUST1475"/>
    <s v="Diya Joshi"/>
    <x v="2"/>
    <s v="Telangana"/>
    <s v="Karimnagar"/>
    <x v="0"/>
    <s v="Accessories"/>
    <x v="5"/>
    <n v="1"/>
    <n v="2443.8000000000002"/>
    <n v="0.1"/>
    <n v="2199.42"/>
    <n v="1309.95"/>
    <n v="889.47"/>
    <x v="0"/>
    <n v="0.4044111629429577"/>
    <x v="0"/>
    <x v="11"/>
    <x v="11"/>
    <s v="Q4"/>
  </r>
  <r>
    <s v="ORD100342"/>
    <x v="341"/>
    <s v="CUST1247"/>
    <s v="Meera Iyer"/>
    <x v="2"/>
    <s v="Karnataka"/>
    <s v="Mangaluru"/>
    <x v="2"/>
    <s v="Office"/>
    <x v="10"/>
    <n v="2"/>
    <n v="6704.39"/>
    <n v="0.2"/>
    <n v="10727.02"/>
    <n v="8922.8700000000008"/>
    <n v="1804.15"/>
    <x v="3"/>
    <n v="0.16818743695826049"/>
    <x v="0"/>
    <x v="11"/>
    <x v="11"/>
    <s v="Q4"/>
  </r>
  <r>
    <s v="ORD100017"/>
    <x v="341"/>
    <s v="CUST1287"/>
    <s v="Varun Kumar"/>
    <x v="2"/>
    <s v="Telangana"/>
    <s v="Karimnagar"/>
    <x v="2"/>
    <s v="Office"/>
    <x v="10"/>
    <n v="4"/>
    <n v="6987.79"/>
    <n v="0"/>
    <n v="27951.16"/>
    <n v="17875.439999999999"/>
    <n v="10075.719999999999"/>
    <x v="2"/>
    <n v="0.36047591584749972"/>
    <x v="0"/>
    <x v="11"/>
    <x v="11"/>
    <s v="Q4"/>
  </r>
  <r>
    <s v="ORD102476"/>
    <x v="342"/>
    <s v="CUST1110"/>
    <s v="Kavya Mehta"/>
    <x v="0"/>
    <s v="Maharashtra"/>
    <s v="Pune"/>
    <x v="0"/>
    <s v="Audio"/>
    <x v="8"/>
    <n v="2"/>
    <n v="2967.75"/>
    <n v="0.1"/>
    <n v="5341.95"/>
    <n v="3179.3"/>
    <n v="2162.65"/>
    <x v="1"/>
    <n v="0.40484280084987689"/>
    <x v="0"/>
    <x v="11"/>
    <x v="11"/>
    <s v="Q4"/>
  </r>
  <r>
    <s v="ORD101744"/>
    <x v="342"/>
    <s v="CUST1380"/>
    <s v="Neha Rao"/>
    <x v="2"/>
    <s v="Telangana"/>
    <s v="Nizamabad"/>
    <x v="1"/>
    <s v="Storage"/>
    <x v="2"/>
    <n v="5"/>
    <n v="686.88"/>
    <n v="0.1"/>
    <n v="3090.96"/>
    <n v="1555.35"/>
    <n v="1535.61"/>
    <x v="3"/>
    <n v="0.49680681729947967"/>
    <x v="0"/>
    <x v="11"/>
    <x v="11"/>
    <s v="Q4"/>
  </r>
  <r>
    <s v="ORD102314"/>
    <x v="343"/>
    <s v="CUST1609"/>
    <s v="Vikram Singh"/>
    <x v="2"/>
    <s v="Telangana"/>
    <s v="Nizamabad"/>
    <x v="3"/>
    <s v="Kitchen"/>
    <x v="7"/>
    <n v="2"/>
    <n v="1736.25"/>
    <n v="0.1"/>
    <n v="3125.25"/>
    <n v="1846.68"/>
    <n v="1278.57"/>
    <x v="1"/>
    <n v="0.40910967122630187"/>
    <x v="0"/>
    <x v="11"/>
    <x v="11"/>
    <s v="Q4"/>
  </r>
  <r>
    <s v="ORD100493"/>
    <x v="343"/>
    <s v="CUST1109"/>
    <s v="Arjun Malhotra"/>
    <x v="3"/>
    <s v="West Bengal"/>
    <s v="Siliguri"/>
    <x v="2"/>
    <s v="Office"/>
    <x v="14"/>
    <n v="5"/>
    <n v="8095.26"/>
    <n v="0.15"/>
    <n v="34404.86"/>
    <n v="26717.8"/>
    <n v="7687.06"/>
    <x v="0"/>
    <n v="0.2234294806024498"/>
    <x v="0"/>
    <x v="11"/>
    <x v="11"/>
    <s v="Q4"/>
  </r>
  <r>
    <s v="ORD101269"/>
    <x v="343"/>
    <s v="CUST1606"/>
    <s v="Aisha Verma"/>
    <x v="2"/>
    <s v="Tamil Nadu"/>
    <s v="Madurai"/>
    <x v="0"/>
    <s v="Audio"/>
    <x v="8"/>
    <n v="2"/>
    <n v="2912.4"/>
    <n v="0.1"/>
    <n v="5242.32"/>
    <n v="2968.27"/>
    <n v="2274.0500000000002"/>
    <x v="1"/>
    <n v="0.43378694928962758"/>
    <x v="0"/>
    <x v="11"/>
    <x v="11"/>
    <s v="Q4"/>
  </r>
  <r>
    <s v="ORD100478"/>
    <x v="344"/>
    <s v="CUST1629"/>
    <s v="Kiran Das"/>
    <x v="2"/>
    <s v="Tamil Nadu"/>
    <s v="Coimbatore"/>
    <x v="3"/>
    <s v="Kitchen"/>
    <x v="7"/>
    <n v="2"/>
    <n v="1776.36"/>
    <n v="0.2"/>
    <n v="2842.18"/>
    <n v="1964.52"/>
    <n v="877.66"/>
    <x v="0"/>
    <n v="0.30879817604796322"/>
    <x v="0"/>
    <x v="11"/>
    <x v="11"/>
    <s v="Q4"/>
  </r>
  <r>
    <s v="ORD100376"/>
    <x v="344"/>
    <s v="CUST1455"/>
    <s v="Ishaan Iyer"/>
    <x v="1"/>
    <s v="Delhi"/>
    <s v="New Delhi"/>
    <x v="0"/>
    <s v="Audio"/>
    <x v="11"/>
    <n v="2"/>
    <n v="1885.5"/>
    <n v="0"/>
    <n v="3771"/>
    <n v="2196.5300000000002"/>
    <n v="1574.47"/>
    <x v="2"/>
    <n v="0.4175205515778308"/>
    <x v="0"/>
    <x v="11"/>
    <x v="11"/>
    <s v="Q4"/>
  </r>
  <r>
    <s v="ORD102380"/>
    <x v="345"/>
    <s v="CUST1517"/>
    <s v="Ananya Singh"/>
    <x v="2"/>
    <s v="Telangana"/>
    <s v="Karimnagar"/>
    <x v="2"/>
    <s v="Office"/>
    <x v="14"/>
    <n v="4"/>
    <n v="8834.15"/>
    <n v="0.15"/>
    <n v="30036.11"/>
    <n v="24565.599999999999"/>
    <n v="5470.51"/>
    <x v="2"/>
    <n v="0.18213110818944259"/>
    <x v="0"/>
    <x v="11"/>
    <x v="11"/>
    <s v="Q4"/>
  </r>
  <r>
    <s v="ORD101707"/>
    <x v="345"/>
    <s v="CUST1295"/>
    <s v="Arjun Iyer"/>
    <x v="0"/>
    <s v="Maharashtra"/>
    <s v="Nashik"/>
    <x v="0"/>
    <s v="Accessories"/>
    <x v="6"/>
    <n v="5"/>
    <n v="815.44"/>
    <n v="0.1"/>
    <n v="3669.48"/>
    <n v="2583.0700000000002"/>
    <n v="1086.4100000000001"/>
    <x v="3"/>
    <n v="0.29606647263372471"/>
    <x v="0"/>
    <x v="11"/>
    <x v="11"/>
    <s v="Q4"/>
  </r>
  <r>
    <s v="ORD101640"/>
    <x v="345"/>
    <s v="CUST1213"/>
    <s v="Neha Das"/>
    <x v="3"/>
    <s v="West Bengal"/>
    <s v="Kolkata"/>
    <x v="1"/>
    <s v="Stationery"/>
    <x v="17"/>
    <n v="2"/>
    <n v="295.95"/>
    <n v="0.15"/>
    <n v="503.11"/>
    <n v="255.6"/>
    <n v="247.51"/>
    <x v="4"/>
    <n v="0.49196000874560231"/>
    <x v="0"/>
    <x v="11"/>
    <x v="11"/>
    <s v="Q4"/>
  </r>
  <r>
    <s v="ORD100840"/>
    <x v="345"/>
    <s v="CUST1152"/>
    <s v="Kavya Das"/>
    <x v="2"/>
    <s v="Tamil Nadu"/>
    <s v="Salem"/>
    <x v="0"/>
    <s v="Audio"/>
    <x v="11"/>
    <n v="2"/>
    <n v="2041.4"/>
    <n v="0.05"/>
    <n v="3878.66"/>
    <n v="2299.06"/>
    <n v="1579.6"/>
    <x v="0"/>
    <n v="0.40725405165701561"/>
    <x v="0"/>
    <x v="11"/>
    <x v="11"/>
    <s v="Q4"/>
  </r>
  <r>
    <s v="ORD102011"/>
    <x v="345"/>
    <s v="CUST1287"/>
    <s v="Varun Reddy"/>
    <x v="0"/>
    <s v="Maharashtra"/>
    <s v="Pune"/>
    <x v="3"/>
    <s v="Cleaning"/>
    <x v="15"/>
    <n v="2"/>
    <n v="7662.7"/>
    <n v="0.1"/>
    <n v="13792.86"/>
    <n v="9636.9"/>
    <n v="4155.96"/>
    <x v="0"/>
    <n v="0.30131241816418058"/>
    <x v="0"/>
    <x v="11"/>
    <x v="11"/>
    <s v="Q4"/>
  </r>
  <r>
    <s v="ORD100945"/>
    <x v="345"/>
    <s v="CUST1011"/>
    <s v="Neha Das"/>
    <x v="2"/>
    <s v="Tamil Nadu"/>
    <s v="Chennai"/>
    <x v="3"/>
    <s v="Kitchen"/>
    <x v="13"/>
    <n v="2"/>
    <n v="3481.94"/>
    <n v="0.1"/>
    <n v="6267.49"/>
    <n v="3998.54"/>
    <n v="2268.9499999999998"/>
    <x v="2"/>
    <n v="0.36201892623681892"/>
    <x v="0"/>
    <x v="11"/>
    <x v="11"/>
    <s v="Q4"/>
  </r>
  <r>
    <s v="ORD102399"/>
    <x v="346"/>
    <s v="CUST1184"/>
    <s v="Vikram Naidu"/>
    <x v="2"/>
    <s v="Tamil Nadu"/>
    <s v="Salem"/>
    <x v="2"/>
    <s v="Office"/>
    <x v="14"/>
    <n v="5"/>
    <n v="8020.39"/>
    <n v="0.2"/>
    <n v="32081.56"/>
    <n v="27017.32"/>
    <n v="5064.24"/>
    <x v="4"/>
    <n v="0.15785516664401611"/>
    <x v="0"/>
    <x v="11"/>
    <x v="11"/>
    <s v="Q4"/>
  </r>
  <r>
    <s v="ORD101948"/>
    <x v="347"/>
    <s v="CUST1056"/>
    <s v="Kiran Patel"/>
    <x v="2"/>
    <s v="Karnataka"/>
    <s v="Mangaluru"/>
    <x v="0"/>
    <s v="Computers"/>
    <x v="0"/>
    <n v="3"/>
    <n v="62322.49"/>
    <n v="0.15"/>
    <n v="158922.35"/>
    <n v="169040.46"/>
    <n v="-10118.11"/>
    <x v="2"/>
    <n v="-6.3667004672407629E-2"/>
    <x v="0"/>
    <x v="11"/>
    <x v="11"/>
    <s v="Q4"/>
  </r>
  <r>
    <s v="ORD101929"/>
    <x v="347"/>
    <s v="CUST1015"/>
    <s v="Arjun Patel"/>
    <x v="2"/>
    <s v="Telangana"/>
    <s v="Nizamabad"/>
    <x v="1"/>
    <s v="Stationery"/>
    <x v="1"/>
    <n v="4"/>
    <n v="248.46"/>
    <n v="0.15"/>
    <n v="844.76"/>
    <n v="392.21"/>
    <n v="452.55"/>
    <x v="2"/>
    <n v="0.5357142857142857"/>
    <x v="0"/>
    <x v="11"/>
    <x v="11"/>
    <s v="Q4"/>
  </r>
  <r>
    <s v="ORD100260"/>
    <x v="347"/>
    <s v="CUST1288"/>
    <s v="Sneha Kumar"/>
    <x v="2"/>
    <s v="Telangana"/>
    <s v="Warangal"/>
    <x v="3"/>
    <s v="Cleaning"/>
    <x v="15"/>
    <n v="1"/>
    <n v="7577.86"/>
    <n v="0.05"/>
    <n v="7198.97"/>
    <n v="5011.54"/>
    <n v="2187.4299999999998"/>
    <x v="0"/>
    <n v="0.30385319010914058"/>
    <x v="0"/>
    <x v="11"/>
    <x v="11"/>
    <s v="Q4"/>
  </r>
  <r>
    <s v="ORD101176"/>
    <x v="347"/>
    <s v="CUST1092"/>
    <s v="Priya Rao"/>
    <x v="1"/>
    <s v="Delhi"/>
    <s v="Delhi"/>
    <x v="2"/>
    <s v="Office"/>
    <x v="14"/>
    <n v="2"/>
    <n v="8342.65"/>
    <n v="0.05"/>
    <n v="15851.03"/>
    <n v="11227.56"/>
    <n v="4623.47"/>
    <x v="2"/>
    <n v="0.29168262251727489"/>
    <x v="0"/>
    <x v="11"/>
    <x v="11"/>
    <s v="Q4"/>
  </r>
  <r>
    <s v="ORD102171"/>
    <x v="347"/>
    <s v="CUST1339"/>
    <s v="Varun Gupta"/>
    <x v="2"/>
    <s v="Telangana"/>
    <s v="Hyderabad"/>
    <x v="0"/>
    <s v="Audio"/>
    <x v="8"/>
    <n v="1"/>
    <n v="2942.84"/>
    <n v="0.05"/>
    <n v="2795.7"/>
    <n v="1485.85"/>
    <n v="1309.8499999999999"/>
    <x v="4"/>
    <n v="0.46852308902958112"/>
    <x v="0"/>
    <x v="11"/>
    <x v="11"/>
    <s v="Q4"/>
  </r>
  <r>
    <s v="ORD101436"/>
    <x v="348"/>
    <s v="CUST1590"/>
    <s v="Kavya Verma"/>
    <x v="2"/>
    <s v="Telangana"/>
    <s v="Nizamabad"/>
    <x v="2"/>
    <s v="Living Room"/>
    <x v="16"/>
    <n v="3"/>
    <n v="4119.6499999999996"/>
    <n v="0.15"/>
    <n v="10505.11"/>
    <n v="7866"/>
    <n v="2639.11"/>
    <x v="1"/>
    <n v="0.25122154837026928"/>
    <x v="0"/>
    <x v="11"/>
    <x v="11"/>
    <s v="Q4"/>
  </r>
  <r>
    <s v="ORD102459"/>
    <x v="348"/>
    <s v="CUST1309"/>
    <s v="Aarav Reddy"/>
    <x v="3"/>
    <s v="West Bengal"/>
    <s v="Siliguri"/>
    <x v="0"/>
    <s v="Audio"/>
    <x v="8"/>
    <n v="3"/>
    <n v="3041.8"/>
    <n v="0.1"/>
    <n v="8212.86"/>
    <n v="4793.41"/>
    <n v="3419.45"/>
    <x v="2"/>
    <n v="0.4163531339874294"/>
    <x v="0"/>
    <x v="11"/>
    <x v="11"/>
    <s v="Q4"/>
  </r>
  <r>
    <s v="ORD100445"/>
    <x v="348"/>
    <s v="CUST1430"/>
    <s v="Arjun Verma"/>
    <x v="2"/>
    <s v="Tamil Nadu"/>
    <s v="Salem"/>
    <x v="2"/>
    <s v="Office"/>
    <x v="14"/>
    <n v="3"/>
    <n v="8762.15"/>
    <n v="0"/>
    <n v="26286.45"/>
    <n v="18535.2"/>
    <n v="7751.25"/>
    <x v="3"/>
    <n v="0.29487625753953078"/>
    <x v="0"/>
    <x v="11"/>
    <x v="11"/>
    <s v="Q4"/>
  </r>
  <r>
    <s v="ORD100043"/>
    <x v="348"/>
    <s v="CUST1469"/>
    <s v="Arjun Verma"/>
    <x v="3"/>
    <s v="West Bengal"/>
    <s v="Siliguri"/>
    <x v="2"/>
    <s v="Living Room"/>
    <x v="16"/>
    <n v="3"/>
    <n v="3816.52"/>
    <n v="0.2"/>
    <n v="9159.65"/>
    <n v="6992.27"/>
    <n v="2167.38"/>
    <x v="2"/>
    <n v="0.2366225783736278"/>
    <x v="0"/>
    <x v="11"/>
    <x v="11"/>
    <s v="Q4"/>
  </r>
  <r>
    <s v="ORD101079"/>
    <x v="348"/>
    <s v="CUST1470"/>
    <s v="Rahul Singh"/>
    <x v="3"/>
    <s v="West Bengal"/>
    <s v="Durgapur"/>
    <x v="2"/>
    <s v="Office"/>
    <x v="10"/>
    <n v="2"/>
    <n v="6683.72"/>
    <n v="0.1"/>
    <n v="12030.7"/>
    <n v="8324.19"/>
    <n v="3706.51"/>
    <x v="1"/>
    <n v="0.30808764244807041"/>
    <x v="0"/>
    <x v="11"/>
    <x v="11"/>
    <s v="Q4"/>
  </r>
  <r>
    <s v="ORD102031"/>
    <x v="349"/>
    <s v="CUST1328"/>
    <s v="Rahul Patel"/>
    <x v="1"/>
    <s v="Delhi"/>
    <s v="New Delhi"/>
    <x v="0"/>
    <s v="Accessories"/>
    <x v="5"/>
    <n v="2"/>
    <n v="2551.86"/>
    <n v="0.05"/>
    <n v="4848.53"/>
    <n v="2834.17"/>
    <n v="2014.36"/>
    <x v="2"/>
    <n v="0.41545788104848269"/>
    <x v="0"/>
    <x v="11"/>
    <x v="11"/>
    <s v="Q4"/>
  </r>
  <r>
    <s v="ORD101828"/>
    <x v="349"/>
    <s v="CUST1070"/>
    <s v="Neha Verma"/>
    <x v="0"/>
    <s v="Maharashtra"/>
    <s v="Mumbai"/>
    <x v="3"/>
    <s v="Cleaning"/>
    <x v="12"/>
    <n v="5"/>
    <n v="13694.83"/>
    <n v="0"/>
    <n v="68474.149999999994"/>
    <n v="50387.92"/>
    <n v="18086.23"/>
    <x v="0"/>
    <n v="0.26413223092218008"/>
    <x v="0"/>
    <x v="11"/>
    <x v="11"/>
    <s v="Q4"/>
  </r>
  <r>
    <s v="ORD100340"/>
    <x v="349"/>
    <s v="CUST1612"/>
    <s v="Priya Reddy"/>
    <x v="2"/>
    <s v="Telangana"/>
    <s v="Warangal"/>
    <x v="2"/>
    <s v="Living Room"/>
    <x v="16"/>
    <n v="2"/>
    <n v="3865.51"/>
    <n v="0.1"/>
    <n v="6957.92"/>
    <n v="4685.16"/>
    <n v="2272.7600000000002"/>
    <x v="0"/>
    <n v="0.32664359463747789"/>
    <x v="0"/>
    <x v="11"/>
    <x v="11"/>
    <s v="Q4"/>
  </r>
  <r>
    <s v="ORD101020"/>
    <x v="350"/>
    <s v="CUST1448"/>
    <s v="Kavya Naidu"/>
    <x v="2"/>
    <s v="Karnataka"/>
    <s v="Hubballi"/>
    <x v="3"/>
    <s v="Cleaning"/>
    <x v="12"/>
    <n v="5"/>
    <n v="13243.2"/>
    <n v="0"/>
    <n v="66216"/>
    <n v="47511.05"/>
    <n v="18704.95"/>
    <x v="4"/>
    <n v="0.2824838407635617"/>
    <x v="0"/>
    <x v="11"/>
    <x v="11"/>
    <s v="Q4"/>
  </r>
  <r>
    <s v="ORD102364"/>
    <x v="350"/>
    <s v="CUST1486"/>
    <s v="Priya Verma"/>
    <x v="3"/>
    <s v="West Bengal"/>
    <s v="Siliguri"/>
    <x v="3"/>
    <s v="Cleaning"/>
    <x v="12"/>
    <n v="1"/>
    <n v="12742.69"/>
    <n v="0.05"/>
    <n v="12105.56"/>
    <n v="9361.9599999999991"/>
    <n v="2743.6"/>
    <x v="0"/>
    <n v="0.2266396597926903"/>
    <x v="0"/>
    <x v="11"/>
    <x v="11"/>
    <s v="Q4"/>
  </r>
  <r>
    <s v="ORD101157"/>
    <x v="351"/>
    <s v="CUST1450"/>
    <s v="Kiran Malhotra"/>
    <x v="3"/>
    <s v="West Bengal"/>
    <s v="Siliguri"/>
    <x v="2"/>
    <s v="Office"/>
    <x v="10"/>
    <n v="2"/>
    <n v="7246.05"/>
    <n v="0.1"/>
    <n v="13042.89"/>
    <n v="9070.5"/>
    <n v="3972.39"/>
    <x v="4"/>
    <n v="0.30456363581997548"/>
    <x v="0"/>
    <x v="11"/>
    <x v="11"/>
    <s v="Q4"/>
  </r>
  <r>
    <s v="ORD100898"/>
    <x v="351"/>
    <s v="CUST1331"/>
    <s v="Neha Das"/>
    <x v="2"/>
    <s v="Telangana"/>
    <s v="Warangal"/>
    <x v="0"/>
    <s v="Accessories"/>
    <x v="6"/>
    <n v="5"/>
    <n v="755.75"/>
    <n v="0.15"/>
    <n v="3211.94"/>
    <n v="2406.23"/>
    <n v="805.71"/>
    <x v="4"/>
    <n v="0.25084839691899602"/>
    <x v="0"/>
    <x v="11"/>
    <x v="11"/>
    <s v="Q4"/>
  </r>
  <r>
    <s v="ORD100541"/>
    <x v="352"/>
    <s v="CUST1565"/>
    <s v="Rohan Patel"/>
    <x v="3"/>
    <s v="West Bengal"/>
    <s v="Kolkata"/>
    <x v="3"/>
    <s v="Kitchen"/>
    <x v="7"/>
    <n v="3"/>
    <n v="1736.68"/>
    <n v="0.05"/>
    <n v="4949.54"/>
    <n v="2921.02"/>
    <n v="2028.52"/>
    <x v="0"/>
    <n v="0.40984010635331769"/>
    <x v="0"/>
    <x v="11"/>
    <x v="11"/>
    <s v="Q4"/>
  </r>
  <r>
    <s v="ORD100864"/>
    <x v="352"/>
    <s v="CUST1186"/>
    <s v="Aditya Nair"/>
    <x v="2"/>
    <s v="Tamil Nadu"/>
    <s v="Chennai"/>
    <x v="1"/>
    <s v="Stationery"/>
    <x v="1"/>
    <n v="2"/>
    <n v="261.01"/>
    <n v="0"/>
    <n v="522.02"/>
    <n v="199.11"/>
    <n v="322.91000000000003"/>
    <x v="0"/>
    <n v="0.61857783226696306"/>
    <x v="0"/>
    <x v="11"/>
    <x v="11"/>
    <s v="Q4"/>
  </r>
  <r>
    <s v="ORD101596"/>
    <x v="352"/>
    <s v="CUST1245"/>
    <s v="Kavya Das"/>
    <x v="0"/>
    <s v="Maharashtra"/>
    <s v="Nagpur"/>
    <x v="3"/>
    <s v="Kitchen"/>
    <x v="7"/>
    <n v="3"/>
    <n v="1705.82"/>
    <n v="0"/>
    <n v="5117.46"/>
    <n v="2828.43"/>
    <n v="2289.0300000000002"/>
    <x v="1"/>
    <n v="0.4472980736537267"/>
    <x v="0"/>
    <x v="11"/>
    <x v="11"/>
    <s v="Q4"/>
  </r>
  <r>
    <s v="ORD100778"/>
    <x v="353"/>
    <s v="CUST1465"/>
    <s v="Rohan Patel"/>
    <x v="2"/>
    <s v="Telangana"/>
    <s v="Hyderabad"/>
    <x v="0"/>
    <s v="Accessories"/>
    <x v="5"/>
    <n v="4"/>
    <n v="2381.62"/>
    <n v="0.05"/>
    <n v="9050.16"/>
    <n v="5034.22"/>
    <n v="4015.94"/>
    <x v="2"/>
    <n v="0.44374243107304179"/>
    <x v="0"/>
    <x v="11"/>
    <x v="11"/>
    <s v="Q4"/>
  </r>
  <r>
    <s v="ORD100301"/>
    <x v="353"/>
    <s v="CUST1646"/>
    <s v="Aarav Patel"/>
    <x v="0"/>
    <s v="Maharashtra"/>
    <s v="Nagpur"/>
    <x v="0"/>
    <s v="Computers"/>
    <x v="0"/>
    <n v="3"/>
    <n v="57478.39"/>
    <n v="0.2"/>
    <n v="137948.14000000001"/>
    <n v="154083.09"/>
    <n v="-16134.95"/>
    <x v="2"/>
    <n v="-0.116963882224146"/>
    <x v="0"/>
    <x v="11"/>
    <x v="11"/>
    <s v="Q4"/>
  </r>
  <r>
    <s v="ORD101444"/>
    <x v="353"/>
    <s v="CUST1115"/>
    <s v="Varun Singh"/>
    <x v="1"/>
    <s v="Delhi"/>
    <s v="New Delhi"/>
    <x v="2"/>
    <s v="Living Room"/>
    <x v="16"/>
    <n v="1"/>
    <n v="3827.8"/>
    <n v="0"/>
    <n v="3827.8"/>
    <n v="2482.77"/>
    <n v="1345.03"/>
    <x v="0"/>
    <n v="0.35138460734625632"/>
    <x v="0"/>
    <x v="11"/>
    <x v="11"/>
    <s v="Q4"/>
  </r>
  <r>
    <s v="ORD100828"/>
    <x v="354"/>
    <s v="CUST1407"/>
    <s v="Diya Reddy"/>
    <x v="0"/>
    <s v="Maharashtra"/>
    <s v="Nashik"/>
    <x v="0"/>
    <s v="Accessories"/>
    <x v="6"/>
    <n v="1"/>
    <n v="762.94"/>
    <n v="0.05"/>
    <n v="724.79"/>
    <n v="460.39"/>
    <n v="264.39999999999998"/>
    <x v="1"/>
    <n v="0.364795320023731"/>
    <x v="0"/>
    <x v="11"/>
    <x v="11"/>
    <s v="Q4"/>
  </r>
  <r>
    <s v="ORD102480"/>
    <x v="354"/>
    <s v="CUST1075"/>
    <s v="Kavya Mehta"/>
    <x v="3"/>
    <s v="West Bengal"/>
    <s v="Kolkata"/>
    <x v="3"/>
    <s v="Kitchen"/>
    <x v="7"/>
    <n v="4"/>
    <n v="1721.98"/>
    <n v="0"/>
    <n v="6887.92"/>
    <n v="3674.86"/>
    <n v="3213.06"/>
    <x v="2"/>
    <n v="0.46647754329318569"/>
    <x v="0"/>
    <x v="11"/>
    <x v="11"/>
    <s v="Q4"/>
  </r>
  <r>
    <s v="ORD101551"/>
    <x v="354"/>
    <s v="CUST1104"/>
    <s v="Varun Sharma"/>
    <x v="2"/>
    <s v="Telangana"/>
    <s v="Hyderabad"/>
    <x v="0"/>
    <s v="Accessories"/>
    <x v="5"/>
    <n v="2"/>
    <n v="2636.63"/>
    <n v="0.05"/>
    <n v="5009.6000000000004"/>
    <n v="2891.8"/>
    <n v="2117.8000000000002"/>
    <x v="0"/>
    <n v="0.42274832321941869"/>
    <x v="0"/>
    <x v="11"/>
    <x v="11"/>
    <s v="Q4"/>
  </r>
  <r>
    <s v="ORD100605"/>
    <x v="354"/>
    <s v="CUST1464"/>
    <s v="Aditya Sharma"/>
    <x v="2"/>
    <s v="Tamil Nadu"/>
    <s v="Salem"/>
    <x v="3"/>
    <s v="Cleaning"/>
    <x v="12"/>
    <n v="1"/>
    <n v="12573.76"/>
    <n v="0"/>
    <n v="12573.76"/>
    <n v="9301.36"/>
    <n v="3272.4"/>
    <x v="0"/>
    <n v="0.26025627974448368"/>
    <x v="0"/>
    <x v="11"/>
    <x v="11"/>
    <s v="Q4"/>
  </r>
  <r>
    <s v="ORD101142"/>
    <x v="354"/>
    <s v="CUST1200"/>
    <s v="Rahul Reddy"/>
    <x v="2"/>
    <s v="Tamil Nadu"/>
    <s v="Coimbatore"/>
    <x v="0"/>
    <s v="Audio"/>
    <x v="8"/>
    <n v="1"/>
    <n v="3170.98"/>
    <n v="0"/>
    <n v="3170.98"/>
    <n v="1619.86"/>
    <n v="1551.12"/>
    <x v="1"/>
    <n v="0.48916107954007898"/>
    <x v="0"/>
    <x v="11"/>
    <x v="11"/>
    <s v="Q4"/>
  </r>
  <r>
    <s v="ORD101161"/>
    <x v="354"/>
    <s v="CUST1375"/>
    <s v="Aarav Singh"/>
    <x v="2"/>
    <s v="Telangana"/>
    <s v="Hyderabad"/>
    <x v="1"/>
    <s v="Stationery"/>
    <x v="17"/>
    <n v="1"/>
    <n v="283.14"/>
    <n v="0.15"/>
    <n v="240.67"/>
    <n v="118.19"/>
    <n v="122.48"/>
    <x v="0"/>
    <n v="0.50891261893879591"/>
    <x v="0"/>
    <x v="11"/>
    <x v="11"/>
    <s v="Q4"/>
  </r>
  <r>
    <s v="ORD101476"/>
    <x v="355"/>
    <s v="CUST1355"/>
    <s v="Rahul Gupta"/>
    <x v="2"/>
    <s v="Karnataka"/>
    <s v="Bengaluru"/>
    <x v="3"/>
    <s v="Kitchen"/>
    <x v="7"/>
    <n v="3"/>
    <n v="1810.32"/>
    <n v="0.05"/>
    <n v="5159.41"/>
    <n v="2834.88"/>
    <n v="2324.5300000000002"/>
    <x v="1"/>
    <n v="0.45054182551880939"/>
    <x v="1"/>
    <x v="0"/>
    <x v="0"/>
    <s v="Q1"/>
  </r>
  <r>
    <s v="ORD100538"/>
    <x v="355"/>
    <s v="CUST1198"/>
    <s v="Arjun Nair"/>
    <x v="1"/>
    <s v="Delhi"/>
    <s v="Delhi"/>
    <x v="1"/>
    <s v="Stationery"/>
    <x v="1"/>
    <n v="3"/>
    <n v="250.61"/>
    <n v="0"/>
    <n v="751.83"/>
    <n v="287.43"/>
    <n v="464.4"/>
    <x v="0"/>
    <n v="0.61769282949602966"/>
    <x v="1"/>
    <x v="0"/>
    <x v="0"/>
    <s v="Q1"/>
  </r>
  <r>
    <s v="ORD101706"/>
    <x v="355"/>
    <s v="CUST1308"/>
    <s v="Arjun Nair"/>
    <x v="1"/>
    <s v="Delhi"/>
    <s v="New Delhi"/>
    <x v="3"/>
    <s v="Cleaning"/>
    <x v="15"/>
    <n v="1"/>
    <n v="7948.15"/>
    <n v="0.1"/>
    <n v="7153.34"/>
    <n v="5060.41"/>
    <n v="2092.9299999999998"/>
    <x v="0"/>
    <n v="0.29258080840558393"/>
    <x v="1"/>
    <x v="0"/>
    <x v="0"/>
    <s v="Q1"/>
  </r>
  <r>
    <s v="ORD101317"/>
    <x v="355"/>
    <s v="CUST1507"/>
    <s v="Meera Singh"/>
    <x v="2"/>
    <s v="Karnataka"/>
    <s v="Hubballi"/>
    <x v="2"/>
    <s v="Office"/>
    <x v="14"/>
    <n v="1"/>
    <n v="8405.31"/>
    <n v="0.05"/>
    <n v="7985.04"/>
    <n v="5540.62"/>
    <n v="2444.42"/>
    <x v="1"/>
    <n v="0.30612495366335052"/>
    <x v="1"/>
    <x v="0"/>
    <x v="0"/>
    <s v="Q1"/>
  </r>
  <r>
    <s v="ORD101923"/>
    <x v="355"/>
    <s v="CUST1068"/>
    <s v="Aarav Rao"/>
    <x v="2"/>
    <s v="Karnataka"/>
    <s v="Hubballi"/>
    <x v="0"/>
    <s v="Audio"/>
    <x v="11"/>
    <n v="1"/>
    <n v="2041.08"/>
    <n v="0.1"/>
    <n v="1836.97"/>
    <n v="1166.77"/>
    <n v="670.2"/>
    <x v="0"/>
    <n v="0.3648399266182899"/>
    <x v="1"/>
    <x v="0"/>
    <x v="0"/>
    <s v="Q1"/>
  </r>
  <r>
    <s v="ORD100997"/>
    <x v="356"/>
    <s v="CUST1527"/>
    <s v="Rohan Mehta"/>
    <x v="2"/>
    <s v="Telangana"/>
    <s v="Warangal"/>
    <x v="0"/>
    <s v="Accessories"/>
    <x v="6"/>
    <n v="2"/>
    <n v="794.03"/>
    <n v="0.05"/>
    <n v="1508.66"/>
    <n v="1008.37"/>
    <n v="500.29"/>
    <x v="0"/>
    <n v="0.33161215913459618"/>
    <x v="1"/>
    <x v="0"/>
    <x v="0"/>
    <s v="Q1"/>
  </r>
  <r>
    <s v="ORD101154"/>
    <x v="356"/>
    <s v="CUST1449"/>
    <s v="Ishaan Sharma"/>
    <x v="2"/>
    <s v="Tamil Nadu"/>
    <s v="Madurai"/>
    <x v="1"/>
    <s v="Stationery"/>
    <x v="17"/>
    <n v="3"/>
    <n v="289.11"/>
    <n v="0.1"/>
    <n v="780.6"/>
    <n v="375.02"/>
    <n v="405.58"/>
    <x v="2"/>
    <n v="0.51957468613886748"/>
    <x v="1"/>
    <x v="0"/>
    <x v="0"/>
    <s v="Q1"/>
  </r>
  <r>
    <s v="ORD102405"/>
    <x v="357"/>
    <s v="CUST1090"/>
    <s v="Sanjana Iyer"/>
    <x v="1"/>
    <s v="Delhi"/>
    <s v="New Delhi"/>
    <x v="0"/>
    <s v="Accessories"/>
    <x v="5"/>
    <n v="4"/>
    <n v="2462.27"/>
    <n v="0.15"/>
    <n v="8371.7199999999993"/>
    <n v="5210.12"/>
    <n v="3161.6"/>
    <x v="2"/>
    <n v="0.37765238206724538"/>
    <x v="1"/>
    <x v="0"/>
    <x v="0"/>
    <s v="Q1"/>
  </r>
  <r>
    <s v="ORD100139"/>
    <x v="357"/>
    <s v="CUST1407"/>
    <s v="Ishaan Iyer"/>
    <x v="2"/>
    <s v="Karnataka"/>
    <s v="Hubballi"/>
    <x v="0"/>
    <s v="Audio"/>
    <x v="8"/>
    <n v="3"/>
    <n v="2951.46"/>
    <n v="0.1"/>
    <n v="7968.94"/>
    <n v="4500.84"/>
    <n v="3468.1"/>
    <x v="0"/>
    <n v="0.43520217243447679"/>
    <x v="1"/>
    <x v="0"/>
    <x v="0"/>
    <s v="Q1"/>
  </r>
  <r>
    <s v="ORD101136"/>
    <x v="357"/>
    <s v="CUST1438"/>
    <s v="Aarav Joshi"/>
    <x v="2"/>
    <s v="Tamil Nadu"/>
    <s v="Chennai"/>
    <x v="0"/>
    <s v="Audio"/>
    <x v="8"/>
    <n v="2"/>
    <n v="3107.31"/>
    <n v="0.15"/>
    <n v="5282.43"/>
    <n v="3144.49"/>
    <n v="2137.94"/>
    <x v="4"/>
    <n v="0.40472661256277892"/>
    <x v="1"/>
    <x v="0"/>
    <x v="0"/>
    <s v="Q1"/>
  </r>
  <r>
    <s v="ORD100561"/>
    <x v="357"/>
    <s v="CUST1350"/>
    <s v="Meera Reddy"/>
    <x v="2"/>
    <s v="Karnataka"/>
    <s v="Mangaluru"/>
    <x v="3"/>
    <s v="Kitchen"/>
    <x v="7"/>
    <n v="5"/>
    <n v="1785.7"/>
    <n v="0.1"/>
    <n v="8035.65"/>
    <n v="4733.6400000000003"/>
    <n v="3302.01"/>
    <x v="0"/>
    <n v="0.4109200873606989"/>
    <x v="1"/>
    <x v="0"/>
    <x v="0"/>
    <s v="Q1"/>
  </r>
  <r>
    <s v="ORD102328"/>
    <x v="357"/>
    <s v="CUST1227"/>
    <s v="Sanjana Rao"/>
    <x v="2"/>
    <s v="Telangana"/>
    <s v="Warangal"/>
    <x v="3"/>
    <s v="Kitchen"/>
    <x v="7"/>
    <n v="3"/>
    <n v="1747.92"/>
    <n v="0.05"/>
    <n v="4981.57"/>
    <n v="2736.53"/>
    <n v="2245.04"/>
    <x v="3"/>
    <n v="0.45066916654789563"/>
    <x v="1"/>
    <x v="0"/>
    <x v="0"/>
    <s v="Q1"/>
  </r>
  <r>
    <s v="ORD101817"/>
    <x v="358"/>
    <s v="CUST1082"/>
    <s v="Kiran Gupta"/>
    <x v="2"/>
    <s v="Tamil Nadu"/>
    <s v="Coimbatore"/>
    <x v="0"/>
    <s v="Accessories"/>
    <x v="5"/>
    <n v="6"/>
    <n v="2442.9"/>
    <n v="0.1"/>
    <n v="13191.66"/>
    <n v="8346.32"/>
    <n v="4845.34"/>
    <x v="3"/>
    <n v="0.36730328101239718"/>
    <x v="1"/>
    <x v="0"/>
    <x v="0"/>
    <s v="Q1"/>
  </r>
  <r>
    <s v="ORD102118"/>
    <x v="358"/>
    <s v="CUST1089"/>
    <s v="Priya Mehta"/>
    <x v="2"/>
    <s v="Karnataka"/>
    <s v="Bengaluru"/>
    <x v="0"/>
    <s v="Accessories"/>
    <x v="5"/>
    <n v="3"/>
    <n v="2606.54"/>
    <n v="0.1"/>
    <n v="7037.66"/>
    <n v="4237.08"/>
    <n v="2800.58"/>
    <x v="3"/>
    <n v="0.39794192956181462"/>
    <x v="1"/>
    <x v="0"/>
    <x v="0"/>
    <s v="Q1"/>
  </r>
  <r>
    <s v="ORD101101"/>
    <x v="359"/>
    <s v="CUST1508"/>
    <s v="Aisha Sharma"/>
    <x v="2"/>
    <s v="Telangana"/>
    <s v="Karimnagar"/>
    <x v="2"/>
    <s v="Office"/>
    <x v="10"/>
    <n v="2"/>
    <n v="7155.27"/>
    <n v="0.1"/>
    <n v="12879.49"/>
    <n v="9019.9599999999991"/>
    <n v="3859.53"/>
    <x v="2"/>
    <n v="0.2996648159205062"/>
    <x v="1"/>
    <x v="0"/>
    <x v="0"/>
    <s v="Q1"/>
  </r>
  <r>
    <s v="ORD101793"/>
    <x v="359"/>
    <s v="CUST1241"/>
    <s v="Kiran Reddy"/>
    <x v="2"/>
    <s v="Karnataka"/>
    <s v="Mysuru"/>
    <x v="2"/>
    <s v="Living Room"/>
    <x v="4"/>
    <n v="1"/>
    <n v="5104.21"/>
    <n v="0.15"/>
    <n v="4338.58"/>
    <n v="3144.17"/>
    <n v="1194.4100000000001"/>
    <x v="2"/>
    <n v="0.2752997524535678"/>
    <x v="1"/>
    <x v="0"/>
    <x v="0"/>
    <s v="Q1"/>
  </r>
  <r>
    <s v="ORD101166"/>
    <x v="359"/>
    <s v="CUST1208"/>
    <s v="Nikhil Joshi"/>
    <x v="2"/>
    <s v="Karnataka"/>
    <s v="Hubballi"/>
    <x v="2"/>
    <s v="Living Room"/>
    <x v="16"/>
    <n v="3"/>
    <n v="4021.76"/>
    <n v="0.1"/>
    <n v="10858.75"/>
    <n v="7776.07"/>
    <n v="3082.68"/>
    <x v="0"/>
    <n v="0.28388902958443651"/>
    <x v="1"/>
    <x v="0"/>
    <x v="0"/>
    <s v="Q1"/>
  </r>
  <r>
    <s v="ORD101478"/>
    <x v="359"/>
    <s v="CUST1175"/>
    <s v="Sneha Rao"/>
    <x v="0"/>
    <s v="Maharashtra"/>
    <s v="Nashik"/>
    <x v="2"/>
    <s v="Office"/>
    <x v="10"/>
    <n v="1"/>
    <n v="7087.94"/>
    <n v="0.05"/>
    <n v="6733.54"/>
    <n v="4447.74"/>
    <n v="2285.8000000000002"/>
    <x v="1"/>
    <n v="0.33946482830725"/>
    <x v="1"/>
    <x v="0"/>
    <x v="0"/>
    <s v="Q1"/>
  </r>
  <r>
    <s v="ORD100160"/>
    <x v="359"/>
    <s v="CUST1302"/>
    <s v="Rohan Das"/>
    <x v="1"/>
    <s v="Delhi"/>
    <s v="New Delhi"/>
    <x v="0"/>
    <s v="Computers"/>
    <x v="3"/>
    <n v="2"/>
    <n v="15085.08"/>
    <n v="0.15"/>
    <n v="25644.639999999999"/>
    <n v="22664.65"/>
    <n v="2979.99"/>
    <x v="0"/>
    <n v="0.1162032299927002"/>
    <x v="1"/>
    <x v="0"/>
    <x v="0"/>
    <s v="Q1"/>
  </r>
  <r>
    <s v="ORD100591"/>
    <x v="359"/>
    <s v="CUST1242"/>
    <s v="Nikhil Naidu"/>
    <x v="2"/>
    <s v="Telangana"/>
    <s v="Warangal"/>
    <x v="3"/>
    <s v="Kitchen"/>
    <x v="7"/>
    <n v="2"/>
    <n v="1785.5"/>
    <n v="0.1"/>
    <n v="3213.9"/>
    <n v="1993.05"/>
    <n v="1220.8499999999999"/>
    <x v="1"/>
    <n v="0.37986558387006442"/>
    <x v="1"/>
    <x v="0"/>
    <x v="0"/>
    <s v="Q1"/>
  </r>
  <r>
    <s v="ORD101131"/>
    <x v="359"/>
    <s v="CUST1155"/>
    <s v="Meera Nair"/>
    <x v="0"/>
    <s v="Maharashtra"/>
    <s v="Nashik"/>
    <x v="2"/>
    <s v="Office"/>
    <x v="10"/>
    <n v="2"/>
    <n v="6886.8"/>
    <n v="0.2"/>
    <n v="11018.88"/>
    <n v="9127.5300000000007"/>
    <n v="1891.35"/>
    <x v="0"/>
    <n v="0.17164630162049141"/>
    <x v="1"/>
    <x v="0"/>
    <x v="0"/>
    <s v="Q1"/>
  </r>
  <r>
    <s v="ORD100577"/>
    <x v="359"/>
    <s v="CUST1579"/>
    <s v="Diya Nair"/>
    <x v="2"/>
    <s v="Telangana"/>
    <s v="Hyderabad"/>
    <x v="3"/>
    <s v="Cleaning"/>
    <x v="12"/>
    <n v="5"/>
    <n v="12997.17"/>
    <n v="0.15"/>
    <n v="55237.97"/>
    <n v="45998.1"/>
    <n v="9239.8700000000008"/>
    <x v="1"/>
    <n v="0.16727388787096989"/>
    <x v="1"/>
    <x v="0"/>
    <x v="0"/>
    <s v="Q1"/>
  </r>
  <r>
    <s v="ORD101169"/>
    <x v="360"/>
    <s v="CUST1161"/>
    <s v="Sanjana Reddy"/>
    <x v="2"/>
    <s v="Karnataka"/>
    <s v="Hubballi"/>
    <x v="2"/>
    <s v="Living Room"/>
    <x v="4"/>
    <n v="1"/>
    <n v="4998.6099999999997"/>
    <n v="0.1"/>
    <n v="4498.75"/>
    <n v="2977.17"/>
    <n v="1521.58"/>
    <x v="0"/>
    <n v="0.33822283967768818"/>
    <x v="1"/>
    <x v="0"/>
    <x v="0"/>
    <s v="Q1"/>
  </r>
  <r>
    <s v="ORD100567"/>
    <x v="360"/>
    <s v="CUST1469"/>
    <s v="Vikram Malhotra"/>
    <x v="2"/>
    <s v="Karnataka"/>
    <s v="Mangaluru"/>
    <x v="3"/>
    <s v="Kitchen"/>
    <x v="7"/>
    <n v="5"/>
    <n v="1694.5"/>
    <n v="0.05"/>
    <n v="8048.88"/>
    <n v="4478.66"/>
    <n v="3570.22"/>
    <x v="2"/>
    <n v="0.44356730377394121"/>
    <x v="1"/>
    <x v="0"/>
    <x v="0"/>
    <s v="Q1"/>
  </r>
  <r>
    <s v="ORD101629"/>
    <x v="360"/>
    <s v="CUST1330"/>
    <s v="Kiran Rao"/>
    <x v="2"/>
    <s v="Telangana"/>
    <s v="Nizamabad"/>
    <x v="0"/>
    <s v="Audio"/>
    <x v="11"/>
    <n v="1"/>
    <n v="2051.8200000000002"/>
    <n v="0.1"/>
    <n v="1846.64"/>
    <n v="1200.6199999999999"/>
    <n v="646.02"/>
    <x v="1"/>
    <n v="0.34983537668413978"/>
    <x v="1"/>
    <x v="0"/>
    <x v="0"/>
    <s v="Q1"/>
  </r>
  <r>
    <s v="ORD102169"/>
    <x v="361"/>
    <s v="CUST1564"/>
    <s v="Sanjana Malhotra"/>
    <x v="2"/>
    <s v="Tamil Nadu"/>
    <s v="Madurai"/>
    <x v="2"/>
    <s v="Office"/>
    <x v="14"/>
    <n v="3"/>
    <n v="8543.41"/>
    <n v="0.1"/>
    <n v="23067.21"/>
    <n v="17552.91"/>
    <n v="5514.3"/>
    <x v="0"/>
    <n v="0.23905361766767641"/>
    <x v="1"/>
    <x v="0"/>
    <x v="0"/>
    <s v="Q1"/>
  </r>
  <r>
    <s v="ORD101569"/>
    <x v="361"/>
    <s v="CUST1092"/>
    <s v="Sneha Verma"/>
    <x v="3"/>
    <s v="West Bengal"/>
    <s v="Kolkata"/>
    <x v="3"/>
    <s v="Kitchen"/>
    <x v="13"/>
    <n v="1"/>
    <n v="3281.7"/>
    <n v="0.1"/>
    <n v="2953.53"/>
    <n v="1843.46"/>
    <n v="1110.07"/>
    <x v="0"/>
    <n v="0.37584517509556359"/>
    <x v="1"/>
    <x v="0"/>
    <x v="0"/>
    <s v="Q1"/>
  </r>
  <r>
    <s v="ORD102059"/>
    <x v="361"/>
    <s v="CUST1042"/>
    <s v="Ishaan Joshi"/>
    <x v="2"/>
    <s v="Karnataka"/>
    <s v="Bengaluru"/>
    <x v="2"/>
    <s v="Office"/>
    <x v="10"/>
    <n v="1"/>
    <n v="7236.58"/>
    <n v="0.15"/>
    <n v="6151.09"/>
    <n v="4486"/>
    <n v="1665.09"/>
    <x v="3"/>
    <n v="0.27069836402978981"/>
    <x v="1"/>
    <x v="0"/>
    <x v="0"/>
    <s v="Q1"/>
  </r>
  <r>
    <s v="ORD101196"/>
    <x v="361"/>
    <s v="CUST1351"/>
    <s v="Aarav Reddy"/>
    <x v="2"/>
    <s v="Tamil Nadu"/>
    <s v="Coimbatore"/>
    <x v="0"/>
    <s v="Computers"/>
    <x v="3"/>
    <n v="3"/>
    <n v="16115.58"/>
    <n v="0"/>
    <n v="48346.74"/>
    <n v="35897.71"/>
    <n v="12449.03"/>
    <x v="3"/>
    <n v="0.25749471422478543"/>
    <x v="1"/>
    <x v="0"/>
    <x v="0"/>
    <s v="Q1"/>
  </r>
  <r>
    <s v="ORD101940"/>
    <x v="361"/>
    <s v="CUST1640"/>
    <s v="Neha Verma"/>
    <x v="1"/>
    <s v="Delhi"/>
    <s v="New Delhi"/>
    <x v="1"/>
    <s v="Stationery"/>
    <x v="17"/>
    <n v="1"/>
    <n v="315.04000000000002"/>
    <n v="0.2"/>
    <n v="252.03"/>
    <n v="133.59"/>
    <n v="118.44"/>
    <x v="0"/>
    <n v="0.46994405427925251"/>
    <x v="1"/>
    <x v="0"/>
    <x v="0"/>
    <s v="Q1"/>
  </r>
  <r>
    <s v="ORD101945"/>
    <x v="362"/>
    <s v="CUST1524"/>
    <s v="Neha Das"/>
    <x v="1"/>
    <s v="Delhi"/>
    <s v="New Delhi"/>
    <x v="0"/>
    <s v="Computers"/>
    <x v="0"/>
    <n v="1"/>
    <n v="55989.42"/>
    <n v="0"/>
    <n v="55989.42"/>
    <n v="47446.63"/>
    <n v="8542.7900000000009"/>
    <x v="1"/>
    <n v="0.1525786478945487"/>
    <x v="1"/>
    <x v="0"/>
    <x v="0"/>
    <s v="Q1"/>
  </r>
  <r>
    <s v="ORD102336"/>
    <x v="362"/>
    <s v="CUST1552"/>
    <s v="Aditya Kumar"/>
    <x v="3"/>
    <s v="West Bengal"/>
    <s v="Kolkata"/>
    <x v="1"/>
    <s v="Storage"/>
    <x v="9"/>
    <n v="3"/>
    <n v="520.1"/>
    <n v="0.1"/>
    <n v="1404.27"/>
    <n v="696.07"/>
    <n v="708.2"/>
    <x v="0"/>
    <n v="0.504318969998647"/>
    <x v="1"/>
    <x v="0"/>
    <x v="0"/>
    <s v="Q1"/>
  </r>
  <r>
    <s v="ORD101117"/>
    <x v="362"/>
    <s v="CUST1099"/>
    <s v="Sanjana Gupta"/>
    <x v="3"/>
    <s v="West Bengal"/>
    <s v="Durgapur"/>
    <x v="0"/>
    <s v="Accessories"/>
    <x v="5"/>
    <n v="6"/>
    <n v="2468.0100000000002"/>
    <n v="0.15"/>
    <n v="12586.85"/>
    <n v="8435.59"/>
    <n v="4151.26"/>
    <x v="0"/>
    <n v="0.32980928508721402"/>
    <x v="1"/>
    <x v="0"/>
    <x v="0"/>
    <s v="Q1"/>
  </r>
  <r>
    <s v="ORD100475"/>
    <x v="362"/>
    <s v="CUST1041"/>
    <s v="Priya Iyer"/>
    <x v="0"/>
    <s v="Maharashtra"/>
    <s v="Nashik"/>
    <x v="2"/>
    <s v="Office"/>
    <x v="10"/>
    <n v="2"/>
    <n v="7037.75"/>
    <n v="0.1"/>
    <n v="12667.95"/>
    <n v="8737.36"/>
    <n v="3930.59"/>
    <x v="4"/>
    <n v="0.31027830075110813"/>
    <x v="1"/>
    <x v="0"/>
    <x v="0"/>
    <s v="Q1"/>
  </r>
  <r>
    <s v="ORD101312"/>
    <x v="363"/>
    <s v="CUST1449"/>
    <s v="Aditya Kumar"/>
    <x v="1"/>
    <s v="Delhi"/>
    <s v="Delhi"/>
    <x v="0"/>
    <s v="Audio"/>
    <x v="11"/>
    <n v="3"/>
    <n v="1890.64"/>
    <n v="0"/>
    <n v="5671.92"/>
    <n v="3186.87"/>
    <n v="2485.0500000000002"/>
    <x v="0"/>
    <n v="0.43813206110100278"/>
    <x v="1"/>
    <x v="0"/>
    <x v="0"/>
    <s v="Q1"/>
  </r>
  <r>
    <s v="ORD102190"/>
    <x v="363"/>
    <s v="CUST1267"/>
    <s v="Kiran Nair"/>
    <x v="2"/>
    <s v="Telangana"/>
    <s v="Nizamabad"/>
    <x v="1"/>
    <s v="Storage"/>
    <x v="9"/>
    <n v="6"/>
    <n v="504.04"/>
    <n v="0.2"/>
    <n v="2419.39"/>
    <n v="1381.16"/>
    <n v="1038.23"/>
    <x v="2"/>
    <n v="0.42912882999433738"/>
    <x v="1"/>
    <x v="0"/>
    <x v="0"/>
    <s v="Q1"/>
  </r>
  <r>
    <s v="ORD100885"/>
    <x v="363"/>
    <s v="CUST1576"/>
    <s v="Arjun Naidu"/>
    <x v="2"/>
    <s v="Tamil Nadu"/>
    <s v="Madurai"/>
    <x v="3"/>
    <s v="Kitchen"/>
    <x v="13"/>
    <n v="4"/>
    <n v="3244.63"/>
    <n v="0.1"/>
    <n v="11680.67"/>
    <n v="7113.5"/>
    <n v="4567.17"/>
    <x v="2"/>
    <n v="0.39100239969111361"/>
    <x v="1"/>
    <x v="0"/>
    <x v="0"/>
    <s v="Q1"/>
  </r>
  <r>
    <s v="ORD100458"/>
    <x v="363"/>
    <s v="CUST1093"/>
    <s v="Nikhil Iyer"/>
    <x v="2"/>
    <s v="Tamil Nadu"/>
    <s v="Chennai"/>
    <x v="0"/>
    <s v="Accessories"/>
    <x v="6"/>
    <n v="6"/>
    <n v="840.13"/>
    <n v="0.15"/>
    <n v="4284.66"/>
    <n v="3063.97"/>
    <n v="1220.69"/>
    <x v="2"/>
    <n v="0.28489775151353902"/>
    <x v="1"/>
    <x v="0"/>
    <x v="0"/>
    <s v="Q1"/>
  </r>
  <r>
    <s v="ORD101343"/>
    <x v="363"/>
    <s v="CUST1119"/>
    <s v="Neha Reddy"/>
    <x v="0"/>
    <s v="Maharashtra"/>
    <s v="Pune"/>
    <x v="0"/>
    <s v="Computers"/>
    <x v="3"/>
    <n v="1"/>
    <n v="15184.29"/>
    <n v="0"/>
    <n v="15184.29"/>
    <n v="11679.43"/>
    <n v="3504.86"/>
    <x v="1"/>
    <n v="0.23082146086514421"/>
    <x v="1"/>
    <x v="0"/>
    <x v="0"/>
    <s v="Q1"/>
  </r>
  <r>
    <s v="ORD101730"/>
    <x v="363"/>
    <s v="CUST1383"/>
    <s v="Arjun Sharma"/>
    <x v="1"/>
    <s v="Delhi"/>
    <s v="Delhi"/>
    <x v="3"/>
    <s v="Kitchen"/>
    <x v="13"/>
    <n v="2"/>
    <n v="3485.62"/>
    <n v="0.1"/>
    <n v="6274.12"/>
    <n v="4023.4"/>
    <n v="2250.7199999999998"/>
    <x v="0"/>
    <n v="0.35873078615008958"/>
    <x v="1"/>
    <x v="0"/>
    <x v="0"/>
    <s v="Q1"/>
  </r>
  <r>
    <s v="ORD100242"/>
    <x v="363"/>
    <s v="CUST1211"/>
    <s v="Aarav Verma"/>
    <x v="0"/>
    <s v="Maharashtra"/>
    <s v="Nashik"/>
    <x v="2"/>
    <s v="Office"/>
    <x v="14"/>
    <n v="6"/>
    <n v="8450.56"/>
    <n v="0"/>
    <n v="50703.360000000001"/>
    <n v="35423.42"/>
    <n v="15279.94"/>
    <x v="3"/>
    <n v="0.30135951542461881"/>
    <x v="1"/>
    <x v="0"/>
    <x v="0"/>
    <s v="Q1"/>
  </r>
  <r>
    <s v="ORD101939"/>
    <x v="363"/>
    <s v="CUST1221"/>
    <s v="Priya Das"/>
    <x v="2"/>
    <s v="Karnataka"/>
    <s v="Hubballi"/>
    <x v="3"/>
    <s v="Kitchen"/>
    <x v="13"/>
    <n v="4"/>
    <n v="3290.61"/>
    <n v="0.15"/>
    <n v="11188.07"/>
    <n v="7647.46"/>
    <n v="3540.61"/>
    <x v="4"/>
    <n v="0.31646298244469329"/>
    <x v="1"/>
    <x v="0"/>
    <x v="0"/>
    <s v="Q1"/>
  </r>
  <r>
    <s v="ORD101611"/>
    <x v="363"/>
    <s v="CUST1372"/>
    <s v="Meera Kumar"/>
    <x v="3"/>
    <s v="West Bengal"/>
    <s v="Kolkata"/>
    <x v="3"/>
    <s v="Cleaning"/>
    <x v="12"/>
    <n v="2"/>
    <n v="12711.25"/>
    <n v="0.05"/>
    <n v="24151.38"/>
    <n v="17577.87"/>
    <n v="6573.51"/>
    <x v="0"/>
    <n v="0.27217947794287528"/>
    <x v="1"/>
    <x v="0"/>
    <x v="0"/>
    <s v="Q1"/>
  </r>
  <r>
    <s v="ORD102327"/>
    <x v="363"/>
    <s v="CUST1279"/>
    <s v="Kavya Gupta"/>
    <x v="2"/>
    <s v="Tamil Nadu"/>
    <s v="Chennai"/>
    <x v="1"/>
    <s v="Stationery"/>
    <x v="17"/>
    <n v="3"/>
    <n v="286.85000000000002"/>
    <n v="0"/>
    <n v="860.55"/>
    <n v="355.72"/>
    <n v="504.83"/>
    <x v="0"/>
    <n v="0.58663645343094539"/>
    <x v="1"/>
    <x v="0"/>
    <x v="0"/>
    <s v="Q1"/>
  </r>
  <r>
    <s v="ORD101917"/>
    <x v="363"/>
    <s v="CUST1421"/>
    <s v="Kavya Malhotra"/>
    <x v="1"/>
    <s v="Delhi"/>
    <s v="New Delhi"/>
    <x v="0"/>
    <s v="Computers"/>
    <x v="3"/>
    <n v="1"/>
    <n v="15692.29"/>
    <n v="0.1"/>
    <n v="14123.06"/>
    <n v="11566.84"/>
    <n v="2556.2199999999998"/>
    <x v="2"/>
    <n v="0.18099618637887249"/>
    <x v="1"/>
    <x v="0"/>
    <x v="0"/>
    <s v="Q1"/>
  </r>
  <r>
    <s v="ORD101980"/>
    <x v="364"/>
    <s v="CUST1009"/>
    <s v="Diya Mehta"/>
    <x v="2"/>
    <s v="Karnataka"/>
    <s v="Hubballi"/>
    <x v="1"/>
    <s v="Storage"/>
    <x v="9"/>
    <n v="5"/>
    <n v="502.13"/>
    <n v="0"/>
    <n v="2510.65"/>
    <n v="1149"/>
    <n v="1361.65"/>
    <x v="1"/>
    <n v="0.54234959074343303"/>
    <x v="1"/>
    <x v="0"/>
    <x v="0"/>
    <s v="Q1"/>
  </r>
  <r>
    <s v="ORD101244"/>
    <x v="364"/>
    <s v="CUST1335"/>
    <s v="Aditya Gupta"/>
    <x v="0"/>
    <s v="Maharashtra"/>
    <s v="Nashik"/>
    <x v="0"/>
    <s v="Audio"/>
    <x v="8"/>
    <n v="4"/>
    <n v="3155.34"/>
    <n v="0.05"/>
    <n v="11990.29"/>
    <n v="6599.3"/>
    <n v="5390.99"/>
    <x v="2"/>
    <n v="0.44961297850177101"/>
    <x v="1"/>
    <x v="0"/>
    <x v="0"/>
    <s v="Q1"/>
  </r>
  <r>
    <s v="ORD101660"/>
    <x v="364"/>
    <s v="CUST1145"/>
    <s v="Diya Rao"/>
    <x v="2"/>
    <s v="Telangana"/>
    <s v="Warangal"/>
    <x v="3"/>
    <s v="Cleaning"/>
    <x v="15"/>
    <n v="6"/>
    <n v="7337.63"/>
    <n v="0.15"/>
    <n v="37421.910000000003"/>
    <n v="29232.18"/>
    <n v="8189.73"/>
    <x v="1"/>
    <n v="0.21884853017924519"/>
    <x v="1"/>
    <x v="0"/>
    <x v="0"/>
    <s v="Q1"/>
  </r>
  <r>
    <s v="ORD101291"/>
    <x v="364"/>
    <s v="CUST1165"/>
    <s v="Sanjana Mehta"/>
    <x v="1"/>
    <s v="Delhi"/>
    <s v="New Delhi"/>
    <x v="2"/>
    <s v="Living Room"/>
    <x v="16"/>
    <n v="5"/>
    <n v="3953.23"/>
    <n v="0.1"/>
    <n v="17789.54"/>
    <n v="12503.58"/>
    <n v="5285.96"/>
    <x v="2"/>
    <n v="0.29713865563696418"/>
    <x v="1"/>
    <x v="0"/>
    <x v="0"/>
    <s v="Q1"/>
  </r>
  <r>
    <s v="ORD101105"/>
    <x v="365"/>
    <s v="CUST1230"/>
    <s v="Aditya Gupta"/>
    <x v="2"/>
    <s v="Telangana"/>
    <s v="Warangal"/>
    <x v="1"/>
    <s v="Storage"/>
    <x v="2"/>
    <n v="5"/>
    <n v="677.17"/>
    <n v="0.15"/>
    <n v="2877.97"/>
    <n v="1529.34"/>
    <n v="1348.63"/>
    <x v="2"/>
    <n v="0.46860460671931958"/>
    <x v="1"/>
    <x v="0"/>
    <x v="0"/>
    <s v="Q1"/>
  </r>
  <r>
    <s v="ORD101174"/>
    <x v="365"/>
    <s v="CUST1462"/>
    <s v="Rahul Joshi"/>
    <x v="0"/>
    <s v="Maharashtra"/>
    <s v="Nagpur"/>
    <x v="0"/>
    <s v="Accessories"/>
    <x v="5"/>
    <n v="6"/>
    <n v="2541.71"/>
    <n v="0.05"/>
    <n v="14487.75"/>
    <n v="8126.43"/>
    <n v="6361.32"/>
    <x v="0"/>
    <n v="0.43908267329295442"/>
    <x v="1"/>
    <x v="0"/>
    <x v="0"/>
    <s v="Q1"/>
  </r>
  <r>
    <s v="ORD100021"/>
    <x v="365"/>
    <s v="CUST1195"/>
    <s v="Rohan Malhotra"/>
    <x v="0"/>
    <s v="Maharashtra"/>
    <s v="Pune"/>
    <x v="1"/>
    <s v="Stationery"/>
    <x v="1"/>
    <n v="1"/>
    <n v="238.98"/>
    <n v="0.2"/>
    <n v="191.18"/>
    <n v="87.51"/>
    <n v="103.67"/>
    <x v="4"/>
    <n v="0.54226383512919762"/>
    <x v="1"/>
    <x v="0"/>
    <x v="0"/>
    <s v="Q1"/>
  </r>
  <r>
    <s v="ORD102440"/>
    <x v="365"/>
    <s v="CUST1288"/>
    <s v="Priya Mehta"/>
    <x v="1"/>
    <s v="Delhi"/>
    <s v="New Delhi"/>
    <x v="3"/>
    <s v="Kitchen"/>
    <x v="13"/>
    <n v="4"/>
    <n v="3360.7"/>
    <n v="0.05"/>
    <n v="12770.66"/>
    <n v="7773.97"/>
    <n v="4996.6899999999996"/>
    <x v="0"/>
    <n v="0.39126325499230258"/>
    <x v="1"/>
    <x v="0"/>
    <x v="0"/>
    <s v="Q1"/>
  </r>
  <r>
    <s v="ORD100077"/>
    <x v="365"/>
    <s v="CUST1397"/>
    <s v="Meera Patel"/>
    <x v="2"/>
    <s v="Tamil Nadu"/>
    <s v="Chennai"/>
    <x v="3"/>
    <s v="Cleaning"/>
    <x v="12"/>
    <n v="3"/>
    <n v="12845.13"/>
    <n v="0"/>
    <n v="38535.39"/>
    <n v="28623.65"/>
    <n v="9911.74"/>
    <x v="4"/>
    <n v="0.25721135818269908"/>
    <x v="1"/>
    <x v="0"/>
    <x v="0"/>
    <s v="Q1"/>
  </r>
  <r>
    <s v="ORD101960"/>
    <x v="366"/>
    <s v="CUST1136"/>
    <s v="Sanjana Iyer"/>
    <x v="2"/>
    <s v="Karnataka"/>
    <s v="Mysuru"/>
    <x v="3"/>
    <s v="Kitchen"/>
    <x v="13"/>
    <n v="2"/>
    <n v="3412.29"/>
    <n v="0"/>
    <n v="6824.58"/>
    <n v="3861.22"/>
    <n v="2963.36"/>
    <x v="2"/>
    <n v="0.43421866254040542"/>
    <x v="1"/>
    <x v="0"/>
    <x v="0"/>
    <s v="Q1"/>
  </r>
  <r>
    <s v="ORD100592"/>
    <x v="366"/>
    <s v="CUST1017"/>
    <s v="Ananya Sharma"/>
    <x v="3"/>
    <s v="West Bengal"/>
    <s v="Kolkata"/>
    <x v="1"/>
    <s v="Stationery"/>
    <x v="1"/>
    <n v="3"/>
    <n v="243.68"/>
    <n v="0.05"/>
    <n v="694.49"/>
    <n v="279.83999999999997"/>
    <n v="414.65"/>
    <x v="4"/>
    <n v="0.5970568330717505"/>
    <x v="1"/>
    <x v="0"/>
    <x v="0"/>
    <s v="Q1"/>
  </r>
  <r>
    <s v="ORD101265"/>
    <x v="366"/>
    <s v="CUST1029"/>
    <s v="Rahul Patel"/>
    <x v="3"/>
    <s v="West Bengal"/>
    <s v="Siliguri"/>
    <x v="3"/>
    <s v="Cleaning"/>
    <x v="12"/>
    <n v="2"/>
    <n v="12881.67"/>
    <n v="0.15"/>
    <n v="21898.84"/>
    <n v="18044.259999999998"/>
    <n v="3854.58"/>
    <x v="1"/>
    <n v="0.1760175424817022"/>
    <x v="1"/>
    <x v="0"/>
    <x v="0"/>
    <s v="Q1"/>
  </r>
  <r>
    <s v="ORD102217"/>
    <x v="367"/>
    <s v="CUST1618"/>
    <s v="Rohan Reddy"/>
    <x v="2"/>
    <s v="Telangana"/>
    <s v="Hyderabad"/>
    <x v="0"/>
    <s v="Accessories"/>
    <x v="6"/>
    <n v="1"/>
    <n v="816.83"/>
    <n v="0.1"/>
    <n v="735.15"/>
    <n v="503.16"/>
    <n v="231.99"/>
    <x v="0"/>
    <n v="0.31556825137727001"/>
    <x v="1"/>
    <x v="0"/>
    <x v="0"/>
    <s v="Q1"/>
  </r>
  <r>
    <s v="ORD100060"/>
    <x v="368"/>
    <s v="CUST1545"/>
    <s v="Priya Verma"/>
    <x v="1"/>
    <s v="Delhi"/>
    <s v="New Delhi"/>
    <x v="3"/>
    <s v="Cleaning"/>
    <x v="15"/>
    <n v="2"/>
    <n v="7768.85"/>
    <n v="0.1"/>
    <n v="13983.93"/>
    <n v="9949.59"/>
    <n v="4034.34"/>
    <x v="0"/>
    <n v="0.28849829768884711"/>
    <x v="1"/>
    <x v="0"/>
    <x v="0"/>
    <s v="Q1"/>
  </r>
  <r>
    <s v="ORD101586"/>
    <x v="368"/>
    <s v="CUST1492"/>
    <s v="Diya Malhotra"/>
    <x v="1"/>
    <s v="Delhi"/>
    <s v="Delhi"/>
    <x v="0"/>
    <s v="Audio"/>
    <x v="11"/>
    <n v="2"/>
    <n v="1987.91"/>
    <n v="0.1"/>
    <n v="3578.24"/>
    <n v="2333.11"/>
    <n v="1245.1300000000001"/>
    <x v="0"/>
    <n v="0.34797274637810771"/>
    <x v="1"/>
    <x v="0"/>
    <x v="0"/>
    <s v="Q1"/>
  </r>
  <r>
    <s v="ORD100965"/>
    <x v="368"/>
    <s v="CUST1213"/>
    <s v="Aarav Kumar"/>
    <x v="3"/>
    <s v="West Bengal"/>
    <s v="Siliguri"/>
    <x v="0"/>
    <s v="Audio"/>
    <x v="11"/>
    <n v="3"/>
    <n v="1986.51"/>
    <n v="0.05"/>
    <n v="5661.55"/>
    <n v="3374.32"/>
    <n v="2287.23"/>
    <x v="0"/>
    <n v="0.40399360599129208"/>
    <x v="1"/>
    <x v="0"/>
    <x v="0"/>
    <s v="Q1"/>
  </r>
  <r>
    <s v="ORD100872"/>
    <x v="369"/>
    <s v="CUST1138"/>
    <s v="Nikhil Mehta"/>
    <x v="2"/>
    <s v="Karnataka"/>
    <s v="Bengaluru"/>
    <x v="2"/>
    <s v="Living Room"/>
    <x v="16"/>
    <n v="1"/>
    <n v="4035.28"/>
    <n v="0.2"/>
    <n v="3228.22"/>
    <n v="2560.36"/>
    <n v="667.86"/>
    <x v="1"/>
    <n v="0.20688181102898809"/>
    <x v="1"/>
    <x v="0"/>
    <x v="0"/>
    <s v="Q1"/>
  </r>
  <r>
    <s v="ORD100415"/>
    <x v="369"/>
    <s v="CUST1645"/>
    <s v="Rohan Das"/>
    <x v="1"/>
    <s v="Delhi"/>
    <s v="Delhi"/>
    <x v="2"/>
    <s v="Living Room"/>
    <x v="16"/>
    <n v="4"/>
    <n v="3941.87"/>
    <n v="0"/>
    <n v="15767.48"/>
    <n v="9938.25"/>
    <n v="5829.23"/>
    <x v="0"/>
    <n v="0.369699533470155"/>
    <x v="1"/>
    <x v="0"/>
    <x v="0"/>
    <s v="Q1"/>
  </r>
  <r>
    <s v="ORD100812"/>
    <x v="369"/>
    <s v="CUST1616"/>
    <s v="Rohan Rao"/>
    <x v="2"/>
    <s v="Telangana"/>
    <s v="Hyderabad"/>
    <x v="0"/>
    <s v="Audio"/>
    <x v="11"/>
    <n v="1"/>
    <n v="1882.38"/>
    <n v="0.15"/>
    <n v="1600.02"/>
    <n v="1100.68"/>
    <n v="499.34"/>
    <x v="2"/>
    <n v="0.31208359895501298"/>
    <x v="1"/>
    <x v="0"/>
    <x v="0"/>
    <s v="Q1"/>
  </r>
  <r>
    <s v="ORD101837"/>
    <x v="369"/>
    <s v="CUST1099"/>
    <s v="Vikram Das"/>
    <x v="3"/>
    <s v="West Bengal"/>
    <s v="Kolkata"/>
    <x v="3"/>
    <s v="Kitchen"/>
    <x v="7"/>
    <n v="1"/>
    <n v="1723.22"/>
    <n v="0.1"/>
    <n v="1550.9"/>
    <n v="923.52"/>
    <n v="627.38"/>
    <x v="1"/>
    <n v="0.40452640402347018"/>
    <x v="1"/>
    <x v="0"/>
    <x v="0"/>
    <s v="Q1"/>
  </r>
  <r>
    <s v="ORD102422"/>
    <x v="370"/>
    <s v="CUST1454"/>
    <s v="Varun Kumar"/>
    <x v="1"/>
    <s v="Delhi"/>
    <s v="Delhi"/>
    <x v="2"/>
    <s v="Office"/>
    <x v="14"/>
    <n v="1"/>
    <n v="8133.39"/>
    <n v="0.1"/>
    <n v="7320.05"/>
    <n v="5357.72"/>
    <n v="1962.33"/>
    <x v="0"/>
    <n v="0.26807603773198269"/>
    <x v="1"/>
    <x v="0"/>
    <x v="0"/>
    <s v="Q1"/>
  </r>
  <r>
    <s v="ORD100146"/>
    <x v="370"/>
    <s v="CUST1115"/>
    <s v="Arjun Kumar"/>
    <x v="0"/>
    <s v="Maharashtra"/>
    <s v="Pune"/>
    <x v="1"/>
    <s v="Storage"/>
    <x v="9"/>
    <n v="1"/>
    <n v="481.45"/>
    <n v="0"/>
    <n v="481.45"/>
    <n v="215.31"/>
    <n v="266.14"/>
    <x v="4"/>
    <n v="0.55278845155260148"/>
    <x v="1"/>
    <x v="0"/>
    <x v="0"/>
    <s v="Q1"/>
  </r>
  <r>
    <s v="ORD101599"/>
    <x v="370"/>
    <s v="CUST1131"/>
    <s v="Vikram Mehta"/>
    <x v="2"/>
    <s v="Karnataka"/>
    <s v="Mangaluru"/>
    <x v="1"/>
    <s v="Storage"/>
    <x v="9"/>
    <n v="6"/>
    <n v="515.99"/>
    <n v="0.1"/>
    <n v="2786.35"/>
    <n v="1410.79"/>
    <n v="1375.56"/>
    <x v="1"/>
    <n v="0.49367810935453188"/>
    <x v="1"/>
    <x v="0"/>
    <x v="0"/>
    <s v="Q1"/>
  </r>
  <r>
    <s v="ORD101613"/>
    <x v="370"/>
    <s v="CUST1619"/>
    <s v="Varun Naidu"/>
    <x v="0"/>
    <s v="Maharashtra"/>
    <s v="Mumbai"/>
    <x v="1"/>
    <s v="Stationery"/>
    <x v="17"/>
    <n v="1"/>
    <n v="283.27"/>
    <n v="0.15"/>
    <n v="240.78"/>
    <n v="118.64"/>
    <n v="122.14"/>
    <x v="0"/>
    <n v="0.50726804551873084"/>
    <x v="1"/>
    <x v="0"/>
    <x v="0"/>
    <s v="Q1"/>
  </r>
  <r>
    <s v="ORD101651"/>
    <x v="370"/>
    <s v="CUST1228"/>
    <s v="Meera Patel"/>
    <x v="3"/>
    <s v="West Bengal"/>
    <s v="Durgapur"/>
    <x v="0"/>
    <s v="Computers"/>
    <x v="3"/>
    <n v="3"/>
    <n v="16485.080000000002"/>
    <n v="0.1"/>
    <n v="44509.72"/>
    <n v="36768.11"/>
    <n v="7741.61"/>
    <x v="2"/>
    <n v="0.17393077287388009"/>
    <x v="1"/>
    <x v="0"/>
    <x v="0"/>
    <s v="Q1"/>
  </r>
  <r>
    <s v="ORD100780"/>
    <x v="370"/>
    <s v="CUST1379"/>
    <s v="Priya Patel"/>
    <x v="1"/>
    <s v="Delhi"/>
    <s v="New Delhi"/>
    <x v="0"/>
    <s v="Accessories"/>
    <x v="6"/>
    <n v="2"/>
    <n v="838.29"/>
    <n v="0"/>
    <n v="1676.58"/>
    <n v="1051.27"/>
    <n v="625.30999999999995"/>
    <x v="1"/>
    <n v="0.3729675887819251"/>
    <x v="1"/>
    <x v="0"/>
    <x v="0"/>
    <s v="Q1"/>
  </r>
  <r>
    <s v="ORD101362"/>
    <x v="371"/>
    <s v="CUST1524"/>
    <s v="Nikhil Reddy"/>
    <x v="1"/>
    <s v="Delhi"/>
    <s v="Delhi"/>
    <x v="1"/>
    <s v="Stationery"/>
    <x v="17"/>
    <n v="4"/>
    <n v="292.63"/>
    <n v="0.2"/>
    <n v="936.42"/>
    <n v="507.43"/>
    <n v="428.99"/>
    <x v="0"/>
    <n v="0.45811708421434832"/>
    <x v="1"/>
    <x v="0"/>
    <x v="0"/>
    <s v="Q1"/>
  </r>
  <r>
    <s v="ORD101492"/>
    <x v="371"/>
    <s v="CUST1373"/>
    <s v="Meera Malhotra"/>
    <x v="2"/>
    <s v="Telangana"/>
    <s v="Karimnagar"/>
    <x v="0"/>
    <s v="Computers"/>
    <x v="3"/>
    <n v="1"/>
    <n v="16297.82"/>
    <n v="0"/>
    <n v="16297.82"/>
    <n v="11962.44"/>
    <n v="4335.38"/>
    <x v="0"/>
    <n v="0.26600980990095607"/>
    <x v="1"/>
    <x v="0"/>
    <x v="0"/>
    <s v="Q1"/>
  </r>
  <r>
    <s v="ORD100576"/>
    <x v="371"/>
    <s v="CUST1175"/>
    <s v="Meera Das"/>
    <x v="2"/>
    <s v="Telangana"/>
    <s v="Karimnagar"/>
    <x v="2"/>
    <s v="Office"/>
    <x v="10"/>
    <n v="6"/>
    <n v="6814.67"/>
    <n v="0.05"/>
    <n v="38843.620000000003"/>
    <n v="26047.13"/>
    <n v="12796.49"/>
    <x v="2"/>
    <n v="0.3294360824248615"/>
    <x v="1"/>
    <x v="0"/>
    <x v="0"/>
    <s v="Q1"/>
  </r>
  <r>
    <s v="ORD101721"/>
    <x v="371"/>
    <s v="CUST1420"/>
    <s v="Pooja Joshi"/>
    <x v="2"/>
    <s v="Karnataka"/>
    <s v="Mangaluru"/>
    <x v="3"/>
    <s v="Kitchen"/>
    <x v="7"/>
    <n v="6"/>
    <n v="1903.96"/>
    <n v="0.1"/>
    <n v="10281.379999999999"/>
    <n v="6014.04"/>
    <n v="4267.34"/>
    <x v="1"/>
    <n v="0.4150551774178175"/>
    <x v="1"/>
    <x v="0"/>
    <x v="0"/>
    <s v="Q1"/>
  </r>
  <r>
    <s v="ORD100826"/>
    <x v="371"/>
    <s v="CUST1018"/>
    <s v="Aarav Naidu"/>
    <x v="3"/>
    <s v="West Bengal"/>
    <s v="Durgapur"/>
    <x v="1"/>
    <s v="Storage"/>
    <x v="9"/>
    <n v="1"/>
    <n v="491.91"/>
    <n v="0.2"/>
    <n v="393.53"/>
    <n v="212.99"/>
    <n v="180.54"/>
    <x v="3"/>
    <n v="0.45877061469265368"/>
    <x v="1"/>
    <x v="0"/>
    <x v="0"/>
    <s v="Q1"/>
  </r>
  <r>
    <s v="ORD101615"/>
    <x v="372"/>
    <s v="CUST1137"/>
    <s v="Aisha Nair"/>
    <x v="2"/>
    <s v="Telangana"/>
    <s v="Hyderabad"/>
    <x v="1"/>
    <s v="Stationery"/>
    <x v="1"/>
    <n v="1"/>
    <n v="256.39999999999998"/>
    <n v="0.1"/>
    <n v="230.76"/>
    <n v="100.15"/>
    <n v="130.61000000000001"/>
    <x v="1"/>
    <n v="0.56599930663893228"/>
    <x v="1"/>
    <x v="0"/>
    <x v="0"/>
    <s v="Q1"/>
  </r>
  <r>
    <s v="ORD100593"/>
    <x v="372"/>
    <s v="CUST1366"/>
    <s v="Sanjana Malhotra"/>
    <x v="2"/>
    <s v="Telangana"/>
    <s v="Hyderabad"/>
    <x v="3"/>
    <s v="Kitchen"/>
    <x v="13"/>
    <n v="3"/>
    <n v="3455.66"/>
    <n v="0"/>
    <n v="10366.98"/>
    <n v="5762.68"/>
    <n v="4604.3"/>
    <x v="0"/>
    <n v="0.44413127063040542"/>
    <x v="1"/>
    <x v="0"/>
    <x v="0"/>
    <s v="Q1"/>
  </r>
  <r>
    <s v="ORD101107"/>
    <x v="372"/>
    <s v="CUST1465"/>
    <s v="Ananya Rao"/>
    <x v="0"/>
    <s v="Maharashtra"/>
    <s v="Nagpur"/>
    <x v="2"/>
    <s v="Office"/>
    <x v="10"/>
    <n v="2"/>
    <n v="7091.8"/>
    <n v="0.1"/>
    <n v="12765.24"/>
    <n v="9070.23"/>
    <n v="3695.01"/>
    <x v="1"/>
    <n v="0.28945871757992803"/>
    <x v="1"/>
    <x v="0"/>
    <x v="0"/>
    <s v="Q1"/>
  </r>
  <r>
    <s v="ORD102412"/>
    <x v="372"/>
    <s v="CUST1170"/>
    <s v="Pooja Malhotra"/>
    <x v="2"/>
    <s v="Tamil Nadu"/>
    <s v="Salem"/>
    <x v="0"/>
    <s v="Computers"/>
    <x v="0"/>
    <n v="4"/>
    <n v="60668.95"/>
    <n v="0.15"/>
    <n v="206274.43"/>
    <n v="208680.14"/>
    <n v="-2405.71"/>
    <x v="0"/>
    <n v="-1.166266705960598E-2"/>
    <x v="1"/>
    <x v="0"/>
    <x v="0"/>
    <s v="Q1"/>
  </r>
  <r>
    <s v="ORD102467"/>
    <x v="372"/>
    <s v="CUST1592"/>
    <s v="Rohan Naidu"/>
    <x v="2"/>
    <s v="Karnataka"/>
    <s v="Mysuru"/>
    <x v="0"/>
    <s v="Computers"/>
    <x v="0"/>
    <n v="1"/>
    <n v="59836.82"/>
    <n v="0.1"/>
    <n v="53853.14"/>
    <n v="53080.639999999999"/>
    <n v="772.5"/>
    <x v="0"/>
    <n v="1.434456746626102E-2"/>
    <x v="1"/>
    <x v="0"/>
    <x v="0"/>
    <s v="Q1"/>
  </r>
  <r>
    <s v="ORD100490"/>
    <x v="373"/>
    <s v="CUST1560"/>
    <s v="Rahul Rao"/>
    <x v="2"/>
    <s v="Telangana"/>
    <s v="Hyderabad"/>
    <x v="0"/>
    <s v="Accessories"/>
    <x v="5"/>
    <n v="2"/>
    <n v="2506.13"/>
    <n v="0.05"/>
    <n v="4761.6499999999996"/>
    <n v="2708.28"/>
    <n v="2053.37"/>
    <x v="1"/>
    <n v="0.43123077084624029"/>
    <x v="1"/>
    <x v="0"/>
    <x v="0"/>
    <s v="Q1"/>
  </r>
  <r>
    <s v="ORD100320"/>
    <x v="373"/>
    <s v="CUST1645"/>
    <s v="Rohan Sharma"/>
    <x v="3"/>
    <s v="West Bengal"/>
    <s v="Kolkata"/>
    <x v="0"/>
    <s v="Computers"/>
    <x v="0"/>
    <n v="1"/>
    <n v="57061.93"/>
    <n v="0.15"/>
    <n v="48502.64"/>
    <n v="50227.27"/>
    <n v="-1724.63"/>
    <x v="2"/>
    <n v="-3.555744594521041E-2"/>
    <x v="1"/>
    <x v="0"/>
    <x v="0"/>
    <s v="Q1"/>
  </r>
  <r>
    <s v="ORD101228"/>
    <x v="374"/>
    <s v="CUST1648"/>
    <s v="Ishaan Patel"/>
    <x v="2"/>
    <s v="Tamil Nadu"/>
    <s v="Coimbatore"/>
    <x v="0"/>
    <s v="Accessories"/>
    <x v="6"/>
    <n v="3"/>
    <n v="798.46"/>
    <n v="0.05"/>
    <n v="2275.61"/>
    <n v="1461.1"/>
    <n v="814.51"/>
    <x v="3"/>
    <n v="0.35793040107927099"/>
    <x v="1"/>
    <x v="0"/>
    <x v="0"/>
    <s v="Q1"/>
  </r>
  <r>
    <s v="ORD101231"/>
    <x v="374"/>
    <s v="CUST1460"/>
    <s v="Meera Kumar"/>
    <x v="0"/>
    <s v="Maharashtra"/>
    <s v="Nashik"/>
    <x v="3"/>
    <s v="Kitchen"/>
    <x v="7"/>
    <n v="1"/>
    <n v="1826.19"/>
    <n v="0.05"/>
    <n v="1734.88"/>
    <n v="1023.48"/>
    <n v="711.4"/>
    <x v="1"/>
    <n v="0.41005717974730238"/>
    <x v="1"/>
    <x v="0"/>
    <x v="0"/>
    <s v="Q1"/>
  </r>
  <r>
    <s v="ORD101306"/>
    <x v="374"/>
    <s v="CUST1102"/>
    <s v="Varun Gupta"/>
    <x v="2"/>
    <s v="Karnataka"/>
    <s v="Hubballi"/>
    <x v="2"/>
    <s v="Office"/>
    <x v="14"/>
    <n v="1"/>
    <n v="8041.96"/>
    <n v="0.15"/>
    <n v="6835.67"/>
    <n v="5543.91"/>
    <n v="1291.76"/>
    <x v="4"/>
    <n v="0.18897342908595649"/>
    <x v="1"/>
    <x v="0"/>
    <x v="0"/>
    <s v="Q1"/>
  </r>
  <r>
    <s v="ORD100667"/>
    <x v="375"/>
    <s v="CUST1390"/>
    <s v="Sanjana Rao"/>
    <x v="0"/>
    <s v="Maharashtra"/>
    <s v="Mumbai"/>
    <x v="0"/>
    <s v="Computers"/>
    <x v="3"/>
    <n v="1"/>
    <n v="16375.38"/>
    <n v="0.05"/>
    <n v="15556.61"/>
    <n v="12042.92"/>
    <n v="3513.69"/>
    <x v="4"/>
    <n v="0.22586476102441341"/>
    <x v="1"/>
    <x v="0"/>
    <x v="0"/>
    <s v="Q1"/>
  </r>
  <r>
    <s v="ORD101509"/>
    <x v="376"/>
    <s v="CUST1342"/>
    <s v="Meera Malhotra"/>
    <x v="1"/>
    <s v="Delhi"/>
    <s v="New Delhi"/>
    <x v="3"/>
    <s v="Cleaning"/>
    <x v="15"/>
    <n v="1"/>
    <n v="7107.56"/>
    <n v="0.05"/>
    <n v="6752.18"/>
    <n v="4672.62"/>
    <n v="2079.56"/>
    <x v="4"/>
    <n v="0.30798349570064781"/>
    <x v="1"/>
    <x v="0"/>
    <x v="0"/>
    <s v="Q1"/>
  </r>
  <r>
    <s v="ORD101993"/>
    <x v="376"/>
    <s v="CUST1522"/>
    <s v="Sanjana Iyer"/>
    <x v="2"/>
    <s v="Karnataka"/>
    <s v="Mysuru"/>
    <x v="0"/>
    <s v="Audio"/>
    <x v="11"/>
    <n v="3"/>
    <n v="2067.6999999999998"/>
    <n v="0.1"/>
    <n v="5582.79"/>
    <n v="3618.43"/>
    <n v="1964.36"/>
    <x v="4"/>
    <n v="0.35185991233773789"/>
    <x v="1"/>
    <x v="0"/>
    <x v="0"/>
    <s v="Q1"/>
  </r>
  <r>
    <s v="ORD100245"/>
    <x v="376"/>
    <s v="CUST1263"/>
    <s v="Priya Naidu"/>
    <x v="3"/>
    <s v="West Bengal"/>
    <s v="Durgapur"/>
    <x v="0"/>
    <s v="Computers"/>
    <x v="3"/>
    <n v="6"/>
    <n v="15617.71"/>
    <n v="0"/>
    <n v="93706.26"/>
    <n v="67643.19"/>
    <n v="26063.07"/>
    <x v="1"/>
    <n v="0.27813584706080469"/>
    <x v="1"/>
    <x v="0"/>
    <x v="0"/>
    <s v="Q1"/>
  </r>
  <r>
    <s v="ORD100648"/>
    <x v="376"/>
    <s v="CUST1236"/>
    <s v="Aarav Kumar"/>
    <x v="2"/>
    <s v="Telangana"/>
    <s v="Karimnagar"/>
    <x v="0"/>
    <s v="Audio"/>
    <x v="8"/>
    <n v="2"/>
    <n v="3044.36"/>
    <n v="0"/>
    <n v="6088.72"/>
    <n v="3261.09"/>
    <n v="2827.63"/>
    <x v="2"/>
    <n v="0.46440466961857341"/>
    <x v="1"/>
    <x v="0"/>
    <x v="0"/>
    <s v="Q1"/>
  </r>
  <r>
    <s v="ORD100630"/>
    <x v="376"/>
    <s v="CUST1428"/>
    <s v="Aditya Iyer"/>
    <x v="2"/>
    <s v="Telangana"/>
    <s v="Karimnagar"/>
    <x v="1"/>
    <s v="Storage"/>
    <x v="2"/>
    <n v="3"/>
    <n v="733.66"/>
    <n v="0.05"/>
    <n v="2090.9299999999998"/>
    <n v="1055.4100000000001"/>
    <n v="1035.52"/>
    <x v="3"/>
    <n v="0.49524374321474179"/>
    <x v="1"/>
    <x v="0"/>
    <x v="0"/>
    <s v="Q1"/>
  </r>
  <r>
    <s v="ORD102429"/>
    <x v="376"/>
    <s v="CUST1546"/>
    <s v="Pooja Singh"/>
    <x v="1"/>
    <s v="Delhi"/>
    <s v="New Delhi"/>
    <x v="3"/>
    <s v="Kitchen"/>
    <x v="13"/>
    <n v="4"/>
    <n v="3347.57"/>
    <n v="0.2"/>
    <n v="10712.22"/>
    <n v="7652.98"/>
    <n v="3059.24"/>
    <x v="1"/>
    <n v="0.28558412728640747"/>
    <x v="1"/>
    <x v="0"/>
    <x v="0"/>
    <s v="Q1"/>
  </r>
  <r>
    <s v="ORD101377"/>
    <x v="376"/>
    <s v="CUST1510"/>
    <s v="Ishaan Malhotra"/>
    <x v="3"/>
    <s v="West Bengal"/>
    <s v="Siliguri"/>
    <x v="3"/>
    <s v="Cleaning"/>
    <x v="15"/>
    <n v="4"/>
    <n v="7399.86"/>
    <n v="0.15"/>
    <n v="25159.52"/>
    <n v="19672.82"/>
    <n v="5486.7"/>
    <x v="0"/>
    <n v="0.2180764974848487"/>
    <x v="1"/>
    <x v="0"/>
    <x v="0"/>
    <s v="Q1"/>
  </r>
  <r>
    <s v="ORD101942"/>
    <x v="376"/>
    <s v="CUST1290"/>
    <s v="Varun Mehta"/>
    <x v="1"/>
    <s v="Delhi"/>
    <s v="New Delhi"/>
    <x v="0"/>
    <s v="Computers"/>
    <x v="0"/>
    <n v="4"/>
    <n v="56385.66"/>
    <n v="0"/>
    <n v="225542.64"/>
    <n v="202116.86"/>
    <n v="23425.78"/>
    <x v="0"/>
    <n v="0.1038640853011209"/>
    <x v="1"/>
    <x v="0"/>
    <x v="0"/>
    <s v="Q1"/>
  </r>
  <r>
    <s v="ORD100833"/>
    <x v="376"/>
    <s v="CUST1260"/>
    <s v="Ananya Singh"/>
    <x v="0"/>
    <s v="Maharashtra"/>
    <s v="Pune"/>
    <x v="2"/>
    <s v="Office"/>
    <x v="10"/>
    <n v="4"/>
    <n v="6770.34"/>
    <n v="0.1"/>
    <n v="24373.22"/>
    <n v="18016.29"/>
    <n v="6356.93"/>
    <x v="1"/>
    <n v="0.26081617447345901"/>
    <x v="1"/>
    <x v="0"/>
    <x v="0"/>
    <s v="Q1"/>
  </r>
  <r>
    <s v="ORD100390"/>
    <x v="377"/>
    <s v="CUST1355"/>
    <s v="Pooja Iyer"/>
    <x v="2"/>
    <s v="Telangana"/>
    <s v="Hyderabad"/>
    <x v="0"/>
    <s v="Accessories"/>
    <x v="6"/>
    <n v="3"/>
    <n v="840.55"/>
    <n v="0"/>
    <n v="2521.65"/>
    <n v="1618.07"/>
    <n v="903.58"/>
    <x v="0"/>
    <n v="0.35832887196875057"/>
    <x v="1"/>
    <x v="0"/>
    <x v="0"/>
    <s v="Q1"/>
  </r>
  <r>
    <s v="ORD101417"/>
    <x v="377"/>
    <s v="CUST1360"/>
    <s v="Varun Singh"/>
    <x v="2"/>
    <s v="Tamil Nadu"/>
    <s v="Madurai"/>
    <x v="0"/>
    <s v="Computers"/>
    <x v="3"/>
    <n v="3"/>
    <n v="15172.64"/>
    <n v="0.1"/>
    <n v="40966.129999999997"/>
    <n v="34968.58"/>
    <n v="5997.55"/>
    <x v="0"/>
    <n v="0.14640265018931489"/>
    <x v="1"/>
    <x v="0"/>
    <x v="0"/>
    <s v="Q1"/>
  </r>
  <r>
    <s v="ORD102255"/>
    <x v="377"/>
    <s v="CUST1462"/>
    <s v="Sneha Reddy"/>
    <x v="2"/>
    <s v="Telangana"/>
    <s v="Warangal"/>
    <x v="0"/>
    <s v="Computers"/>
    <x v="3"/>
    <n v="4"/>
    <n v="15243.5"/>
    <n v="0.05"/>
    <n v="57925.3"/>
    <n v="46455.29"/>
    <n v="11470.01"/>
    <x v="2"/>
    <n v="0.1980138212490915"/>
    <x v="1"/>
    <x v="0"/>
    <x v="0"/>
    <s v="Q1"/>
  </r>
  <r>
    <s v="ORD102104"/>
    <x v="377"/>
    <s v="CUST1212"/>
    <s v="Varun Naidu"/>
    <x v="2"/>
    <s v="Telangana"/>
    <s v="Hyderabad"/>
    <x v="0"/>
    <s v="Accessories"/>
    <x v="5"/>
    <n v="5"/>
    <n v="2493.6999999999998"/>
    <n v="0"/>
    <n v="12468.5"/>
    <n v="6820.96"/>
    <n v="5647.54"/>
    <x v="0"/>
    <n v="0.45294462044351769"/>
    <x v="1"/>
    <x v="0"/>
    <x v="0"/>
    <s v="Q1"/>
  </r>
  <r>
    <s v="ORD102202"/>
    <x v="378"/>
    <s v="CUST1388"/>
    <s v="Rohan Nair"/>
    <x v="2"/>
    <s v="Karnataka"/>
    <s v="Mangaluru"/>
    <x v="3"/>
    <s v="Kitchen"/>
    <x v="13"/>
    <n v="2"/>
    <n v="3117.19"/>
    <n v="0.1"/>
    <n v="5610.94"/>
    <n v="3564.08"/>
    <n v="2046.86"/>
    <x v="2"/>
    <n v="0.36479805522782283"/>
    <x v="1"/>
    <x v="0"/>
    <x v="0"/>
    <s v="Q1"/>
  </r>
  <r>
    <s v="ORD101835"/>
    <x v="378"/>
    <s v="CUST1505"/>
    <s v="Aarav Mehta"/>
    <x v="1"/>
    <s v="Delhi"/>
    <s v="Delhi"/>
    <x v="0"/>
    <s v="Accessories"/>
    <x v="6"/>
    <n v="1"/>
    <n v="797.35"/>
    <n v="0.1"/>
    <n v="717.62"/>
    <n v="500.02"/>
    <n v="217.6"/>
    <x v="0"/>
    <n v="0.30322454781081909"/>
    <x v="1"/>
    <x v="0"/>
    <x v="0"/>
    <s v="Q1"/>
  </r>
  <r>
    <s v="ORD100830"/>
    <x v="378"/>
    <s v="CUST1240"/>
    <s v="Aisha Gupta"/>
    <x v="3"/>
    <s v="West Bengal"/>
    <s v="Kolkata"/>
    <x v="0"/>
    <s v="Computers"/>
    <x v="3"/>
    <n v="2"/>
    <n v="16919.89"/>
    <n v="0.05"/>
    <n v="32147.79"/>
    <n v="24813.81"/>
    <n v="7333.98"/>
    <x v="0"/>
    <n v="0.2281332558163407"/>
    <x v="1"/>
    <x v="0"/>
    <x v="0"/>
    <s v="Q1"/>
  </r>
  <r>
    <s v="ORD101278"/>
    <x v="378"/>
    <s v="CUST1255"/>
    <s v="Sneha Mehta"/>
    <x v="1"/>
    <s v="Delhi"/>
    <s v="New Delhi"/>
    <x v="0"/>
    <s v="Computers"/>
    <x v="0"/>
    <n v="3"/>
    <n v="60236.54"/>
    <n v="0.1"/>
    <n v="162638.66"/>
    <n v="158935.42000000001"/>
    <n v="3703.24"/>
    <x v="0"/>
    <n v="2.2769739986790351E-2"/>
    <x v="1"/>
    <x v="0"/>
    <x v="0"/>
    <s v="Q1"/>
  </r>
  <r>
    <s v="ORD100429"/>
    <x v="379"/>
    <s v="CUST1286"/>
    <s v="Arjun Das"/>
    <x v="2"/>
    <s v="Karnataka"/>
    <s v="Hubballi"/>
    <x v="2"/>
    <s v="Living Room"/>
    <x v="16"/>
    <n v="1"/>
    <n v="4150.5600000000004"/>
    <n v="0"/>
    <n v="4150.5600000000004"/>
    <n v="2547.17"/>
    <n v="1603.39"/>
    <x v="0"/>
    <n v="0.38630690798350098"/>
    <x v="1"/>
    <x v="0"/>
    <x v="0"/>
    <s v="Q1"/>
  </r>
  <r>
    <s v="ORD100529"/>
    <x v="379"/>
    <s v="CUST1004"/>
    <s v="Kavya Sharma"/>
    <x v="1"/>
    <s v="Delhi"/>
    <s v="New Delhi"/>
    <x v="1"/>
    <s v="Storage"/>
    <x v="2"/>
    <n v="2"/>
    <n v="740.62"/>
    <n v="0.15"/>
    <n v="1259.05"/>
    <n v="674.31"/>
    <n v="584.74"/>
    <x v="2"/>
    <n v="0.46442953020134231"/>
    <x v="1"/>
    <x v="0"/>
    <x v="0"/>
    <s v="Q1"/>
  </r>
  <r>
    <s v="ORD100718"/>
    <x v="380"/>
    <s v="CUST1360"/>
    <s v="Kiran Kumar"/>
    <x v="0"/>
    <s v="Maharashtra"/>
    <s v="Nagpur"/>
    <x v="2"/>
    <s v="Office"/>
    <x v="14"/>
    <n v="1"/>
    <n v="8640.1"/>
    <n v="0.1"/>
    <n v="7776.09"/>
    <n v="5705.87"/>
    <n v="2070.2199999999998"/>
    <x v="4"/>
    <n v="0.26622891453159619"/>
    <x v="1"/>
    <x v="0"/>
    <x v="0"/>
    <s v="Q1"/>
  </r>
  <r>
    <s v="ORD101495"/>
    <x v="380"/>
    <s v="CUST1140"/>
    <s v="Nikhil Reddy"/>
    <x v="3"/>
    <s v="West Bengal"/>
    <s v="Durgapur"/>
    <x v="0"/>
    <s v="Accessories"/>
    <x v="5"/>
    <n v="3"/>
    <n v="2550"/>
    <n v="0.1"/>
    <n v="6885"/>
    <n v="4167.83"/>
    <n v="2717.17"/>
    <x v="0"/>
    <n v="0.39465068990559188"/>
    <x v="1"/>
    <x v="0"/>
    <x v="0"/>
    <s v="Q1"/>
  </r>
  <r>
    <s v="ORD102130"/>
    <x v="380"/>
    <s v="CUST1103"/>
    <s v="Rahul Rao"/>
    <x v="2"/>
    <s v="Telangana"/>
    <s v="Hyderabad"/>
    <x v="2"/>
    <s v="Living Room"/>
    <x v="16"/>
    <n v="4"/>
    <n v="3943.02"/>
    <n v="0.05"/>
    <n v="14983.48"/>
    <n v="10056.06"/>
    <n v="4927.42"/>
    <x v="0"/>
    <n v="0.32885684767490603"/>
    <x v="1"/>
    <x v="0"/>
    <x v="0"/>
    <s v="Q1"/>
  </r>
  <r>
    <s v="ORD100097"/>
    <x v="380"/>
    <s v="CUST1086"/>
    <s v="Kavya Rao"/>
    <x v="2"/>
    <s v="Telangana"/>
    <s v="Karimnagar"/>
    <x v="2"/>
    <s v="Office"/>
    <x v="10"/>
    <n v="3"/>
    <n v="6621.49"/>
    <n v="0.05"/>
    <n v="18871.25"/>
    <n v="12809.44"/>
    <n v="6061.81"/>
    <x v="4"/>
    <n v="0.32121931509571439"/>
    <x v="1"/>
    <x v="0"/>
    <x v="0"/>
    <s v="Q1"/>
  </r>
  <r>
    <s v="ORD100865"/>
    <x v="381"/>
    <s v="CUST1054"/>
    <s v="Aarav Iyer"/>
    <x v="2"/>
    <s v="Tamil Nadu"/>
    <s v="Coimbatore"/>
    <x v="1"/>
    <s v="Storage"/>
    <x v="2"/>
    <n v="2"/>
    <n v="679.23"/>
    <n v="0.1"/>
    <n v="1222.6099999999999"/>
    <n v="619.58000000000004"/>
    <n v="603.03"/>
    <x v="3"/>
    <n v="0.49323169285381269"/>
    <x v="1"/>
    <x v="0"/>
    <x v="0"/>
    <s v="Q1"/>
  </r>
  <r>
    <s v="ORD100298"/>
    <x v="382"/>
    <s v="CUST1404"/>
    <s v="Aditya Iyer"/>
    <x v="0"/>
    <s v="Maharashtra"/>
    <s v="Pune"/>
    <x v="0"/>
    <s v="Audio"/>
    <x v="11"/>
    <n v="5"/>
    <n v="2077.94"/>
    <n v="0.15"/>
    <n v="8831.25"/>
    <n v="6089.32"/>
    <n v="2741.93"/>
    <x v="1"/>
    <n v="0.31048039631988672"/>
    <x v="1"/>
    <x v="0"/>
    <x v="0"/>
    <s v="Q1"/>
  </r>
  <r>
    <s v="ORD100700"/>
    <x v="382"/>
    <s v="CUST1434"/>
    <s v="Vikram Rao"/>
    <x v="1"/>
    <s v="Delhi"/>
    <s v="Delhi"/>
    <x v="0"/>
    <s v="Audio"/>
    <x v="11"/>
    <n v="4"/>
    <n v="1942.43"/>
    <n v="0"/>
    <n v="7769.72"/>
    <n v="4346.75"/>
    <n v="3422.97"/>
    <x v="1"/>
    <n v="0.44055255530443821"/>
    <x v="1"/>
    <x v="0"/>
    <x v="0"/>
    <s v="Q1"/>
  </r>
  <r>
    <s v="ORD100732"/>
    <x v="383"/>
    <s v="CUST1284"/>
    <s v="Rohan Gupta"/>
    <x v="2"/>
    <s v="Tamil Nadu"/>
    <s v="Salem"/>
    <x v="0"/>
    <s v="Computers"/>
    <x v="0"/>
    <n v="1"/>
    <n v="60383.95"/>
    <n v="0.1"/>
    <n v="54345.56"/>
    <n v="51843.41"/>
    <n v="2502.15"/>
    <x v="0"/>
    <n v="4.6041479745539467E-2"/>
    <x v="1"/>
    <x v="0"/>
    <x v="0"/>
    <s v="Q1"/>
  </r>
  <r>
    <s v="ORD101727"/>
    <x v="383"/>
    <s v="CUST1307"/>
    <s v="Kiran Malhotra"/>
    <x v="0"/>
    <s v="Maharashtra"/>
    <s v="Mumbai"/>
    <x v="2"/>
    <s v="Office"/>
    <x v="10"/>
    <n v="2"/>
    <n v="6653.28"/>
    <n v="0.2"/>
    <n v="10645.25"/>
    <n v="8568.48"/>
    <n v="2076.77"/>
    <x v="1"/>
    <n v="0.1950888894107701"/>
    <x v="1"/>
    <x v="0"/>
    <x v="0"/>
    <s v="Q1"/>
  </r>
  <r>
    <s v="ORD102477"/>
    <x v="383"/>
    <s v="CUST1219"/>
    <s v="Nikhil Singh"/>
    <x v="0"/>
    <s v="Maharashtra"/>
    <s v="Pune"/>
    <x v="0"/>
    <s v="Audio"/>
    <x v="11"/>
    <n v="1"/>
    <n v="2006.6"/>
    <n v="0"/>
    <n v="2006.6"/>
    <n v="1138.19"/>
    <n v="868.41"/>
    <x v="0"/>
    <n v="0.43277683643974879"/>
    <x v="1"/>
    <x v="0"/>
    <x v="0"/>
    <s v="Q1"/>
  </r>
  <r>
    <s v="ORD102478"/>
    <x v="383"/>
    <s v="CUST1605"/>
    <s v="Varun Gupta"/>
    <x v="0"/>
    <s v="Maharashtra"/>
    <s v="Nagpur"/>
    <x v="2"/>
    <s v="Office"/>
    <x v="14"/>
    <n v="4"/>
    <n v="8723.09"/>
    <n v="0.05"/>
    <n v="33147.74"/>
    <n v="22955.78"/>
    <n v="10191.959999999999"/>
    <x v="2"/>
    <n v="0.3074707355614591"/>
    <x v="1"/>
    <x v="0"/>
    <x v="0"/>
    <s v="Q1"/>
  </r>
  <r>
    <s v="ORD100032"/>
    <x v="383"/>
    <s v="CUST1014"/>
    <s v="Kiran Sharma"/>
    <x v="2"/>
    <s v="Karnataka"/>
    <s v="Hubballi"/>
    <x v="3"/>
    <s v="Cleaning"/>
    <x v="15"/>
    <n v="1"/>
    <n v="7187.29"/>
    <n v="0.05"/>
    <n v="6827.93"/>
    <n v="4528.03"/>
    <n v="2299.9"/>
    <x v="0"/>
    <n v="0.33683707946625108"/>
    <x v="1"/>
    <x v="0"/>
    <x v="0"/>
    <s v="Q1"/>
  </r>
  <r>
    <s v="ORD100963"/>
    <x v="383"/>
    <s v="CUST1146"/>
    <s v="Aarav Naidu"/>
    <x v="2"/>
    <s v="Karnataka"/>
    <s v="Mangaluru"/>
    <x v="1"/>
    <s v="Storage"/>
    <x v="2"/>
    <n v="2"/>
    <n v="720.42"/>
    <n v="0.05"/>
    <n v="1368.8"/>
    <n v="677.71"/>
    <n v="691.09"/>
    <x v="3"/>
    <n v="0.50488749269433086"/>
    <x v="1"/>
    <x v="0"/>
    <x v="0"/>
    <s v="Q1"/>
  </r>
  <r>
    <s v="ORD102439"/>
    <x v="383"/>
    <s v="CUST1090"/>
    <s v="Sneha Iyer"/>
    <x v="2"/>
    <s v="Tamil Nadu"/>
    <s v="Chennai"/>
    <x v="0"/>
    <s v="Computers"/>
    <x v="3"/>
    <n v="3"/>
    <n v="15749.18"/>
    <n v="0.05"/>
    <n v="44885.16"/>
    <n v="36812.29"/>
    <n v="8072.87"/>
    <x v="0"/>
    <n v="0.17985610388823389"/>
    <x v="1"/>
    <x v="0"/>
    <x v="0"/>
    <s v="Q1"/>
  </r>
  <r>
    <s v="ORD101508"/>
    <x v="384"/>
    <s v="CUST1242"/>
    <s v="Sanjana Malhotra"/>
    <x v="3"/>
    <s v="West Bengal"/>
    <s v="Durgapur"/>
    <x v="1"/>
    <s v="Storage"/>
    <x v="9"/>
    <n v="3"/>
    <n v="484.96"/>
    <n v="0"/>
    <n v="1454.88"/>
    <n v="639.34"/>
    <n v="815.54"/>
    <x v="4"/>
    <n v="0.56055482239085008"/>
    <x v="1"/>
    <x v="0"/>
    <x v="0"/>
    <s v="Q1"/>
  </r>
  <r>
    <s v="ORD101957"/>
    <x v="385"/>
    <s v="CUST1212"/>
    <s v="Aarav Iyer"/>
    <x v="0"/>
    <s v="Maharashtra"/>
    <s v="Pune"/>
    <x v="1"/>
    <s v="Storage"/>
    <x v="9"/>
    <n v="1"/>
    <n v="469.97"/>
    <n v="0"/>
    <n v="469.97"/>
    <n v="205.7"/>
    <n v="264.27"/>
    <x v="2"/>
    <n v="0.56231248803115086"/>
    <x v="1"/>
    <x v="0"/>
    <x v="0"/>
    <s v="Q1"/>
  </r>
  <r>
    <s v="ORD102300"/>
    <x v="385"/>
    <s v="CUST1335"/>
    <s v="Kiran Naidu"/>
    <x v="2"/>
    <s v="Telangana"/>
    <s v="Hyderabad"/>
    <x v="1"/>
    <s v="Storage"/>
    <x v="2"/>
    <n v="3"/>
    <n v="730.52"/>
    <n v="0"/>
    <n v="2191.56"/>
    <n v="1037.94"/>
    <n v="1153.6199999999999"/>
    <x v="0"/>
    <n v="0.52639215901002023"/>
    <x v="1"/>
    <x v="0"/>
    <x v="0"/>
    <s v="Q1"/>
  </r>
  <r>
    <s v="ORD101361"/>
    <x v="386"/>
    <s v="CUST1475"/>
    <s v="Sneha Das"/>
    <x v="2"/>
    <s v="Karnataka"/>
    <s v="Hubballi"/>
    <x v="3"/>
    <s v="Kitchen"/>
    <x v="13"/>
    <n v="2"/>
    <n v="3161.78"/>
    <n v="0"/>
    <n v="6323.56"/>
    <n v="3584.81"/>
    <n v="2738.75"/>
    <x v="2"/>
    <n v="0.4331025561550772"/>
    <x v="1"/>
    <x v="1"/>
    <x v="1"/>
    <s v="Q1"/>
  </r>
  <r>
    <s v="ORD101636"/>
    <x v="386"/>
    <s v="CUST1331"/>
    <s v="Varun Sharma"/>
    <x v="2"/>
    <s v="Tamil Nadu"/>
    <s v="Salem"/>
    <x v="2"/>
    <s v="Office"/>
    <x v="10"/>
    <n v="2"/>
    <n v="7158.51"/>
    <n v="0.05"/>
    <n v="13601.17"/>
    <n v="9271.18"/>
    <n v="4329.99"/>
    <x v="3"/>
    <n v="0.31835422981993461"/>
    <x v="1"/>
    <x v="1"/>
    <x v="1"/>
    <s v="Q1"/>
  </r>
  <r>
    <s v="ORD101322"/>
    <x v="386"/>
    <s v="CUST1482"/>
    <s v="Diya Naidu"/>
    <x v="1"/>
    <s v="Delhi"/>
    <s v="New Delhi"/>
    <x v="1"/>
    <s v="Storage"/>
    <x v="2"/>
    <n v="1"/>
    <n v="661.62"/>
    <n v="0.2"/>
    <n v="529.29999999999995"/>
    <n v="319.06"/>
    <n v="210.24"/>
    <x v="2"/>
    <n v="0.39720385414698661"/>
    <x v="1"/>
    <x v="1"/>
    <x v="1"/>
    <s v="Q1"/>
  </r>
  <r>
    <s v="ORD100878"/>
    <x v="386"/>
    <s v="CUST1314"/>
    <s v="Diya Naidu"/>
    <x v="0"/>
    <s v="Maharashtra"/>
    <s v="Pune"/>
    <x v="2"/>
    <s v="Living Room"/>
    <x v="16"/>
    <n v="3"/>
    <n v="3813.53"/>
    <n v="0.15"/>
    <n v="9724.5"/>
    <n v="7295.86"/>
    <n v="2428.64"/>
    <x v="0"/>
    <n v="0.249744459869402"/>
    <x v="1"/>
    <x v="1"/>
    <x v="1"/>
    <s v="Q1"/>
  </r>
  <r>
    <s v="ORD100126"/>
    <x v="387"/>
    <s v="CUST1016"/>
    <s v="Vikram Gupta"/>
    <x v="0"/>
    <s v="Maharashtra"/>
    <s v="Pune"/>
    <x v="1"/>
    <s v="Stationery"/>
    <x v="1"/>
    <n v="2"/>
    <n v="246"/>
    <n v="0.2"/>
    <n v="393.6"/>
    <n v="189.73"/>
    <n v="203.87"/>
    <x v="4"/>
    <n v="0.51796239837398372"/>
    <x v="1"/>
    <x v="1"/>
    <x v="1"/>
    <s v="Q1"/>
  </r>
  <r>
    <s v="ORD100002"/>
    <x v="387"/>
    <s v="CUST1289"/>
    <s v="Sneha Patel"/>
    <x v="1"/>
    <s v="Delhi"/>
    <s v="Delhi"/>
    <x v="2"/>
    <s v="Living Room"/>
    <x v="4"/>
    <n v="2"/>
    <n v="5085.3"/>
    <n v="0.15"/>
    <n v="8645.01"/>
    <n v="6364.26"/>
    <n v="2280.75"/>
    <x v="2"/>
    <n v="0.26382271391241879"/>
    <x v="1"/>
    <x v="1"/>
    <x v="1"/>
    <s v="Q1"/>
  </r>
  <r>
    <s v="ORD102465"/>
    <x v="388"/>
    <s v="CUST1571"/>
    <s v="Aisha Patel"/>
    <x v="0"/>
    <s v="Maharashtra"/>
    <s v="Nashik"/>
    <x v="2"/>
    <s v="Living Room"/>
    <x v="4"/>
    <n v="2"/>
    <n v="4762.0600000000004"/>
    <n v="0.15"/>
    <n v="8095.5"/>
    <n v="5602.44"/>
    <n v="2493.06"/>
    <x v="3"/>
    <n v="0.3079562720029646"/>
    <x v="1"/>
    <x v="1"/>
    <x v="1"/>
    <s v="Q1"/>
  </r>
  <r>
    <s v="ORD101138"/>
    <x v="388"/>
    <s v="CUST1182"/>
    <s v="Ishaan Malhotra"/>
    <x v="3"/>
    <s v="West Bengal"/>
    <s v="Siliguri"/>
    <x v="1"/>
    <s v="Storage"/>
    <x v="2"/>
    <n v="6"/>
    <n v="734.55"/>
    <n v="0.2"/>
    <n v="3525.84"/>
    <n v="2132.87"/>
    <n v="1392.97"/>
    <x v="3"/>
    <n v="0.39507464887799792"/>
    <x v="1"/>
    <x v="1"/>
    <x v="1"/>
    <s v="Q1"/>
  </r>
  <r>
    <s v="ORD101279"/>
    <x v="388"/>
    <s v="CUST1504"/>
    <s v="Aisha Naidu"/>
    <x v="2"/>
    <s v="Karnataka"/>
    <s v="Bengaluru"/>
    <x v="2"/>
    <s v="Office"/>
    <x v="10"/>
    <n v="1"/>
    <n v="6622.38"/>
    <n v="0"/>
    <n v="6622.38"/>
    <n v="4304.4399999999996"/>
    <n v="2317.94"/>
    <x v="0"/>
    <n v="0.35001615733316421"/>
    <x v="1"/>
    <x v="1"/>
    <x v="1"/>
    <s v="Q1"/>
  </r>
  <r>
    <s v="ORD102235"/>
    <x v="388"/>
    <s v="CUST1500"/>
    <s v="Sanjana Sharma"/>
    <x v="3"/>
    <s v="West Bengal"/>
    <s v="Kolkata"/>
    <x v="3"/>
    <s v="Kitchen"/>
    <x v="7"/>
    <n v="2"/>
    <n v="1865.98"/>
    <n v="0.1"/>
    <n v="3358.76"/>
    <n v="2001.2"/>
    <n v="1357.56"/>
    <x v="2"/>
    <n v="0.40418487775250378"/>
    <x v="1"/>
    <x v="1"/>
    <x v="1"/>
    <s v="Q1"/>
  </r>
  <r>
    <s v="ORD101557"/>
    <x v="389"/>
    <s v="CUST1481"/>
    <s v="Meera Gupta"/>
    <x v="3"/>
    <s v="West Bengal"/>
    <s v="Durgapur"/>
    <x v="3"/>
    <s v="Kitchen"/>
    <x v="7"/>
    <n v="1"/>
    <n v="1789.72"/>
    <n v="0.1"/>
    <n v="1610.75"/>
    <n v="970.43"/>
    <n v="640.32000000000005"/>
    <x v="1"/>
    <n v="0.39752910135030273"/>
    <x v="1"/>
    <x v="1"/>
    <x v="1"/>
    <s v="Q1"/>
  </r>
  <r>
    <s v="ORD101968"/>
    <x v="389"/>
    <s v="CUST1281"/>
    <s v="Aditya Nair"/>
    <x v="0"/>
    <s v="Maharashtra"/>
    <s v="Pune"/>
    <x v="0"/>
    <s v="Audio"/>
    <x v="8"/>
    <n v="3"/>
    <n v="2875.78"/>
    <n v="0.05"/>
    <n v="8195.9699999999993"/>
    <n v="4597.05"/>
    <n v="3598.92"/>
    <x v="0"/>
    <n v="0.43910848868407282"/>
    <x v="1"/>
    <x v="1"/>
    <x v="1"/>
    <s v="Q1"/>
  </r>
  <r>
    <s v="ORD100052"/>
    <x v="389"/>
    <s v="CUST1410"/>
    <s v="Arjun Joshi"/>
    <x v="1"/>
    <s v="Delhi"/>
    <s v="New Delhi"/>
    <x v="0"/>
    <s v="Accessories"/>
    <x v="6"/>
    <n v="1"/>
    <n v="799.43"/>
    <n v="0"/>
    <n v="799.43"/>
    <n v="505.37"/>
    <n v="294.06"/>
    <x v="0"/>
    <n v="0.36783708392229458"/>
    <x v="1"/>
    <x v="1"/>
    <x v="1"/>
    <s v="Q1"/>
  </r>
  <r>
    <s v="ORD100353"/>
    <x v="390"/>
    <s v="CUST1556"/>
    <s v="Aisha Mehta"/>
    <x v="2"/>
    <s v="Telangana"/>
    <s v="Warangal"/>
    <x v="3"/>
    <s v="Cleaning"/>
    <x v="15"/>
    <n v="3"/>
    <n v="7638.58"/>
    <n v="0.1"/>
    <n v="20624.169999999998"/>
    <n v="14549.77"/>
    <n v="6074.4"/>
    <x v="4"/>
    <n v="0.29452821616578989"/>
    <x v="1"/>
    <x v="1"/>
    <x v="1"/>
    <s v="Q1"/>
  </r>
  <r>
    <s v="ORD101943"/>
    <x v="390"/>
    <s v="CUST1496"/>
    <s v="Pooja Naidu"/>
    <x v="3"/>
    <s v="West Bengal"/>
    <s v="Kolkata"/>
    <x v="3"/>
    <s v="Kitchen"/>
    <x v="13"/>
    <n v="1"/>
    <n v="3166.87"/>
    <n v="0.05"/>
    <n v="3008.53"/>
    <n v="1779.13"/>
    <n v="1229.4000000000001"/>
    <x v="1"/>
    <n v="0.40863810565292691"/>
    <x v="1"/>
    <x v="1"/>
    <x v="1"/>
    <s v="Q1"/>
  </r>
  <r>
    <s v="ORD101213"/>
    <x v="390"/>
    <s v="CUST1138"/>
    <s v="Kiran Kumar"/>
    <x v="2"/>
    <s v="Tamil Nadu"/>
    <s v="Madurai"/>
    <x v="3"/>
    <s v="Cleaning"/>
    <x v="15"/>
    <n v="4"/>
    <n v="7506.1"/>
    <n v="0.1"/>
    <n v="27021.96"/>
    <n v="18927.29"/>
    <n v="8094.67"/>
    <x v="0"/>
    <n v="0.29955895131219201"/>
    <x v="1"/>
    <x v="1"/>
    <x v="1"/>
    <s v="Q1"/>
  </r>
  <r>
    <s v="ORD101003"/>
    <x v="391"/>
    <s v="CUST1320"/>
    <s v="Rohan Rao"/>
    <x v="2"/>
    <s v="Karnataka"/>
    <s v="Bengaluru"/>
    <x v="3"/>
    <s v="Cleaning"/>
    <x v="12"/>
    <n v="1"/>
    <n v="12789.48"/>
    <n v="0.1"/>
    <n v="11510.53"/>
    <n v="9552.92"/>
    <n v="1957.61"/>
    <x v="4"/>
    <n v="0.1700712304298759"/>
    <x v="1"/>
    <x v="1"/>
    <x v="1"/>
    <s v="Q1"/>
  </r>
  <r>
    <s v="ORD100231"/>
    <x v="391"/>
    <s v="CUST1313"/>
    <s v="Rohan Iyer"/>
    <x v="2"/>
    <s v="Karnataka"/>
    <s v="Hubballi"/>
    <x v="0"/>
    <s v="Audio"/>
    <x v="8"/>
    <n v="1"/>
    <n v="3039.96"/>
    <n v="0.15"/>
    <n v="2583.9699999999998"/>
    <n v="1595.29"/>
    <n v="988.68"/>
    <x v="0"/>
    <n v="0.38262054126015388"/>
    <x v="1"/>
    <x v="1"/>
    <x v="1"/>
    <s v="Q1"/>
  </r>
  <r>
    <s v="ORD100262"/>
    <x v="391"/>
    <s v="CUST1584"/>
    <s v="Sanjana Patel"/>
    <x v="3"/>
    <s v="West Bengal"/>
    <s v="Durgapur"/>
    <x v="0"/>
    <s v="Computers"/>
    <x v="3"/>
    <n v="2"/>
    <n v="15838.04"/>
    <n v="0.1"/>
    <n v="28508.47"/>
    <n v="23167.97"/>
    <n v="5340.5"/>
    <x v="1"/>
    <n v="0.1873302916641966"/>
    <x v="1"/>
    <x v="1"/>
    <x v="1"/>
    <s v="Q1"/>
  </r>
  <r>
    <s v="ORD100572"/>
    <x v="392"/>
    <s v="CUST1182"/>
    <s v="Nikhil Verma"/>
    <x v="1"/>
    <s v="Delhi"/>
    <s v="Delhi"/>
    <x v="0"/>
    <s v="Accessories"/>
    <x v="5"/>
    <n v="5"/>
    <n v="2538.06"/>
    <n v="0.1"/>
    <n v="11421.27"/>
    <n v="6713.47"/>
    <n v="4707.8"/>
    <x v="4"/>
    <n v="0.41219584161831391"/>
    <x v="1"/>
    <x v="1"/>
    <x v="1"/>
    <s v="Q1"/>
  </r>
  <r>
    <s v="ORD100322"/>
    <x v="392"/>
    <s v="CUST1177"/>
    <s v="Neha Gupta"/>
    <x v="2"/>
    <s v="Telangana"/>
    <s v="Nizamabad"/>
    <x v="3"/>
    <s v="Cleaning"/>
    <x v="15"/>
    <n v="1"/>
    <n v="7548.53"/>
    <n v="0.05"/>
    <n v="7171.1"/>
    <n v="4841.42"/>
    <n v="2329.6799999999998"/>
    <x v="0"/>
    <n v="0.32487066140480542"/>
    <x v="1"/>
    <x v="1"/>
    <x v="1"/>
    <s v="Q1"/>
  </r>
  <r>
    <s v="ORD100982"/>
    <x v="392"/>
    <s v="CUST1541"/>
    <s v="Ishaan Verma"/>
    <x v="2"/>
    <s v="Telangana"/>
    <s v="Warangal"/>
    <x v="1"/>
    <s v="Storage"/>
    <x v="2"/>
    <n v="1"/>
    <n v="713.41"/>
    <n v="0.1"/>
    <n v="642.07000000000005"/>
    <n v="331.41"/>
    <n v="310.66000000000003"/>
    <x v="1"/>
    <n v="0.48384132571214977"/>
    <x v="1"/>
    <x v="1"/>
    <x v="1"/>
    <s v="Q1"/>
  </r>
  <r>
    <s v="ORD100696"/>
    <x v="392"/>
    <s v="CUST1178"/>
    <s v="Aditya Patel"/>
    <x v="0"/>
    <s v="Maharashtra"/>
    <s v="Nagpur"/>
    <x v="0"/>
    <s v="Computers"/>
    <x v="3"/>
    <n v="1"/>
    <n v="15240.26"/>
    <n v="0.2"/>
    <n v="12192.21"/>
    <n v="11456.72"/>
    <n v="735.49"/>
    <x v="2"/>
    <n v="6.0324584304240168E-2"/>
    <x v="1"/>
    <x v="1"/>
    <x v="1"/>
    <s v="Q1"/>
  </r>
  <r>
    <s v="ORD102402"/>
    <x v="392"/>
    <s v="CUST1162"/>
    <s v="Varun Das"/>
    <x v="1"/>
    <s v="Delhi"/>
    <s v="New Delhi"/>
    <x v="2"/>
    <s v="Office"/>
    <x v="10"/>
    <n v="1"/>
    <n v="6964.4"/>
    <n v="0"/>
    <n v="6964.4"/>
    <n v="4614.57"/>
    <n v="2349.83"/>
    <x v="4"/>
    <n v="0.33740595026132908"/>
    <x v="1"/>
    <x v="1"/>
    <x v="1"/>
    <s v="Q1"/>
  </r>
  <r>
    <s v="ORD100907"/>
    <x v="392"/>
    <s v="CUST1432"/>
    <s v="Sneha Naidu"/>
    <x v="2"/>
    <s v="Telangana"/>
    <s v="Nizamabad"/>
    <x v="3"/>
    <s v="Cleaning"/>
    <x v="12"/>
    <n v="3"/>
    <n v="13013.78"/>
    <n v="0.05"/>
    <n v="37089.269999999997"/>
    <n v="27392.3"/>
    <n v="9696.9699999999993"/>
    <x v="1"/>
    <n v="0.26144947042635241"/>
    <x v="1"/>
    <x v="1"/>
    <x v="1"/>
    <s v="Q1"/>
  </r>
  <r>
    <s v="ORD100847"/>
    <x v="393"/>
    <s v="CUST1263"/>
    <s v="Sanjana Patel"/>
    <x v="2"/>
    <s v="Tamil Nadu"/>
    <s v="Coimbatore"/>
    <x v="1"/>
    <s v="Storage"/>
    <x v="9"/>
    <n v="2"/>
    <n v="526.29999999999995"/>
    <n v="0.15"/>
    <n v="894.71"/>
    <n v="459.67"/>
    <n v="435.04"/>
    <x v="1"/>
    <n v="0.48623576354349463"/>
    <x v="1"/>
    <x v="1"/>
    <x v="1"/>
    <s v="Q1"/>
  </r>
  <r>
    <s v="ORD102100"/>
    <x v="393"/>
    <s v="CUST1051"/>
    <s v="Sneha Reddy"/>
    <x v="2"/>
    <s v="Telangana"/>
    <s v="Nizamabad"/>
    <x v="3"/>
    <s v="Kitchen"/>
    <x v="13"/>
    <n v="2"/>
    <n v="3245.16"/>
    <n v="0.1"/>
    <n v="5841.29"/>
    <n v="3823.81"/>
    <n v="2017.48"/>
    <x v="2"/>
    <n v="0.34538261240239743"/>
    <x v="1"/>
    <x v="1"/>
    <x v="1"/>
    <s v="Q1"/>
  </r>
  <r>
    <s v="ORD100109"/>
    <x v="393"/>
    <s v="CUST1339"/>
    <s v="Diya Reddy"/>
    <x v="3"/>
    <s v="West Bengal"/>
    <s v="Kolkata"/>
    <x v="0"/>
    <s v="Computers"/>
    <x v="0"/>
    <n v="1"/>
    <n v="59825.62"/>
    <n v="0.15"/>
    <n v="50851.78"/>
    <n v="52824.97"/>
    <n v="-1973.19"/>
    <x v="0"/>
    <n v="-3.8802771505736869E-2"/>
    <x v="1"/>
    <x v="1"/>
    <x v="1"/>
    <s v="Q1"/>
  </r>
  <r>
    <s v="ORD100961"/>
    <x v="393"/>
    <s v="CUST1513"/>
    <s v="Meera Naidu"/>
    <x v="1"/>
    <s v="Delhi"/>
    <s v="New Delhi"/>
    <x v="1"/>
    <s v="Stationery"/>
    <x v="17"/>
    <n v="1"/>
    <n v="294.74"/>
    <n v="0.05"/>
    <n v="280"/>
    <n v="125.49"/>
    <n v="154.51"/>
    <x v="0"/>
    <n v="0.55182142857142857"/>
    <x v="1"/>
    <x v="1"/>
    <x v="1"/>
    <s v="Q1"/>
  </r>
  <r>
    <s v="ORD100344"/>
    <x v="394"/>
    <s v="CUST1005"/>
    <s v="Sanjana Kumar"/>
    <x v="2"/>
    <s v="Tamil Nadu"/>
    <s v="Salem"/>
    <x v="0"/>
    <s v="Computers"/>
    <x v="0"/>
    <n v="4"/>
    <n v="60477.72"/>
    <n v="0"/>
    <n v="241910.88"/>
    <n v="221386.45"/>
    <n v="20524.43"/>
    <x v="1"/>
    <n v="8.4842938854176375E-2"/>
    <x v="1"/>
    <x v="1"/>
    <x v="1"/>
    <s v="Q1"/>
  </r>
  <r>
    <s v="ORD101433"/>
    <x v="394"/>
    <s v="CUST1507"/>
    <s v="Rahul Naidu"/>
    <x v="2"/>
    <s v="Telangana"/>
    <s v="Warangal"/>
    <x v="0"/>
    <s v="Computers"/>
    <x v="0"/>
    <n v="6"/>
    <n v="58570"/>
    <n v="0.05"/>
    <n v="333849"/>
    <n v="318868.83"/>
    <n v="14980.17"/>
    <x v="0"/>
    <n v="4.4871094416936999E-2"/>
    <x v="1"/>
    <x v="1"/>
    <x v="1"/>
    <s v="Q1"/>
  </r>
  <r>
    <s v="ORD101330"/>
    <x v="394"/>
    <s v="CUST1624"/>
    <s v="Nikhil Joshi"/>
    <x v="3"/>
    <s v="West Bengal"/>
    <s v="Siliguri"/>
    <x v="3"/>
    <s v="Kitchen"/>
    <x v="7"/>
    <n v="3"/>
    <n v="1799.04"/>
    <n v="0.1"/>
    <n v="4857.41"/>
    <n v="3028.12"/>
    <n v="1829.29"/>
    <x v="1"/>
    <n v="0.37659781653185548"/>
    <x v="1"/>
    <x v="1"/>
    <x v="1"/>
    <s v="Q1"/>
  </r>
  <r>
    <s v="ORD100789"/>
    <x v="395"/>
    <s v="CUST1223"/>
    <s v="Sneha Nair"/>
    <x v="2"/>
    <s v="Tamil Nadu"/>
    <s v="Madurai"/>
    <x v="1"/>
    <s v="Stationery"/>
    <x v="17"/>
    <n v="1"/>
    <n v="316.19"/>
    <n v="0.1"/>
    <n v="284.57"/>
    <n v="128.79"/>
    <n v="155.78"/>
    <x v="0"/>
    <n v="0.54742242681941178"/>
    <x v="1"/>
    <x v="1"/>
    <x v="1"/>
    <s v="Q1"/>
  </r>
  <r>
    <s v="ORD102360"/>
    <x v="395"/>
    <s v="CUST1635"/>
    <s v="Ananya Das"/>
    <x v="2"/>
    <s v="Karnataka"/>
    <s v="Bengaluru"/>
    <x v="3"/>
    <s v="Kitchen"/>
    <x v="13"/>
    <n v="1"/>
    <n v="3115.94"/>
    <n v="0.15"/>
    <n v="2648.55"/>
    <n v="1832.75"/>
    <n v="815.8"/>
    <x v="3"/>
    <n v="0.30801759453285749"/>
    <x v="1"/>
    <x v="1"/>
    <x v="1"/>
    <s v="Q1"/>
  </r>
  <r>
    <s v="ORD102210"/>
    <x v="395"/>
    <s v="CUST1116"/>
    <s v="Kiran Sharma"/>
    <x v="2"/>
    <s v="Tamil Nadu"/>
    <s v="Salem"/>
    <x v="0"/>
    <s v="Computers"/>
    <x v="0"/>
    <n v="1"/>
    <n v="59570.76"/>
    <n v="0.05"/>
    <n v="56592.22"/>
    <n v="54333.42"/>
    <n v="2258.8000000000002"/>
    <x v="0"/>
    <n v="3.9913613567377278E-2"/>
    <x v="1"/>
    <x v="1"/>
    <x v="1"/>
    <s v="Q1"/>
  </r>
  <r>
    <s v="ORD102075"/>
    <x v="395"/>
    <s v="CUST1119"/>
    <s v="Meera Iyer"/>
    <x v="2"/>
    <s v="Karnataka"/>
    <s v="Hubballi"/>
    <x v="3"/>
    <s v="Kitchen"/>
    <x v="13"/>
    <n v="4"/>
    <n v="3457.49"/>
    <n v="0"/>
    <n v="13829.96"/>
    <n v="8198.1200000000008"/>
    <n v="5631.84"/>
    <x v="0"/>
    <n v="0.40722026672528339"/>
    <x v="1"/>
    <x v="1"/>
    <x v="1"/>
    <s v="Q1"/>
  </r>
  <r>
    <s v="ORD102157"/>
    <x v="395"/>
    <s v="CUST1024"/>
    <s v="Rahul Patel"/>
    <x v="1"/>
    <s v="Delhi"/>
    <s v="New Delhi"/>
    <x v="0"/>
    <s v="Computers"/>
    <x v="0"/>
    <n v="1"/>
    <n v="56040.959999999999"/>
    <n v="0.05"/>
    <n v="53238.91"/>
    <n v="50426.14"/>
    <n v="2812.77"/>
    <x v="0"/>
    <n v="5.2832974980141403E-2"/>
    <x v="1"/>
    <x v="1"/>
    <x v="1"/>
    <s v="Q1"/>
  </r>
  <r>
    <s v="ORD101950"/>
    <x v="396"/>
    <s v="CUST1458"/>
    <s v="Sneha Kumar"/>
    <x v="1"/>
    <s v="Delhi"/>
    <s v="New Delhi"/>
    <x v="2"/>
    <s v="Living Room"/>
    <x v="16"/>
    <n v="5"/>
    <n v="4065.17"/>
    <n v="0"/>
    <n v="20325.849999999999"/>
    <n v="13031.96"/>
    <n v="7293.89"/>
    <x v="3"/>
    <n v="0.35884796945761188"/>
    <x v="1"/>
    <x v="1"/>
    <x v="1"/>
    <s v="Q1"/>
  </r>
  <r>
    <s v="ORD101854"/>
    <x v="396"/>
    <s v="CUST1180"/>
    <s v="Vikram Sharma"/>
    <x v="2"/>
    <s v="Tamil Nadu"/>
    <s v="Chennai"/>
    <x v="3"/>
    <s v="Kitchen"/>
    <x v="13"/>
    <n v="2"/>
    <n v="3286.71"/>
    <n v="0.1"/>
    <n v="5916.08"/>
    <n v="3676.51"/>
    <n v="2239.5700000000002"/>
    <x v="1"/>
    <n v="0.37855640897350951"/>
    <x v="1"/>
    <x v="1"/>
    <x v="1"/>
    <s v="Q1"/>
  </r>
  <r>
    <s v="ORD101647"/>
    <x v="396"/>
    <s v="CUST1506"/>
    <s v="Sneha Sharma"/>
    <x v="2"/>
    <s v="Karnataka"/>
    <s v="Bengaluru"/>
    <x v="0"/>
    <s v="Accessories"/>
    <x v="6"/>
    <n v="2"/>
    <n v="774.5"/>
    <n v="0.05"/>
    <n v="1471.55"/>
    <n v="943.08"/>
    <n v="528.47"/>
    <x v="2"/>
    <n v="0.3591247324249941"/>
    <x v="1"/>
    <x v="1"/>
    <x v="1"/>
    <s v="Q1"/>
  </r>
  <r>
    <s v="ORD101310"/>
    <x v="397"/>
    <s v="CUST1119"/>
    <s v="Ishaan Malhotra"/>
    <x v="2"/>
    <s v="Karnataka"/>
    <s v="Bengaluru"/>
    <x v="0"/>
    <s v="Computers"/>
    <x v="0"/>
    <n v="1"/>
    <n v="57161.7"/>
    <n v="0.15"/>
    <n v="48587.44"/>
    <n v="49427.79"/>
    <n v="-840.35"/>
    <x v="1"/>
    <n v="-1.729562207846308E-2"/>
    <x v="1"/>
    <x v="1"/>
    <x v="1"/>
    <s v="Q1"/>
  </r>
  <r>
    <s v="ORD102398"/>
    <x v="398"/>
    <s v="CUST1403"/>
    <s v="Neha Das"/>
    <x v="2"/>
    <s v="Tamil Nadu"/>
    <s v="Salem"/>
    <x v="0"/>
    <s v="Computers"/>
    <x v="3"/>
    <n v="5"/>
    <n v="16097.98"/>
    <n v="0.15"/>
    <n v="68416.41"/>
    <n v="60170.44"/>
    <n v="8245.9699999999993"/>
    <x v="0"/>
    <n v="0.12052620124323971"/>
    <x v="1"/>
    <x v="1"/>
    <x v="1"/>
    <s v="Q1"/>
  </r>
  <r>
    <s v="ORD100486"/>
    <x v="398"/>
    <s v="CUST1519"/>
    <s v="Vikram Nair"/>
    <x v="1"/>
    <s v="Delhi"/>
    <s v="New Delhi"/>
    <x v="2"/>
    <s v="Office"/>
    <x v="14"/>
    <n v="6"/>
    <n v="8518.14"/>
    <n v="0"/>
    <n v="51108.84"/>
    <n v="34696.379999999997"/>
    <n v="16412.46"/>
    <x v="1"/>
    <n v="0.32112761706194082"/>
    <x v="1"/>
    <x v="1"/>
    <x v="1"/>
    <s v="Q1"/>
  </r>
  <r>
    <s v="ORD101608"/>
    <x v="398"/>
    <s v="CUST1198"/>
    <s v="Pooja Naidu"/>
    <x v="0"/>
    <s v="Maharashtra"/>
    <s v="Nashik"/>
    <x v="1"/>
    <s v="Stationery"/>
    <x v="17"/>
    <n v="2"/>
    <n v="295.85000000000002"/>
    <n v="0.2"/>
    <n v="473.36"/>
    <n v="254.12"/>
    <n v="219.24"/>
    <x v="3"/>
    <n v="0.46315700523914138"/>
    <x v="1"/>
    <x v="1"/>
    <x v="1"/>
    <s v="Q1"/>
  </r>
  <r>
    <s v="ORD100405"/>
    <x v="399"/>
    <s v="CUST1206"/>
    <s v="Kavya Mehta"/>
    <x v="1"/>
    <s v="Delhi"/>
    <s v="New Delhi"/>
    <x v="0"/>
    <s v="Audio"/>
    <x v="11"/>
    <n v="2"/>
    <n v="1880.76"/>
    <n v="0.05"/>
    <n v="3573.44"/>
    <n v="2198.48"/>
    <n v="1374.96"/>
    <x v="0"/>
    <n v="0.38477209635533272"/>
    <x v="1"/>
    <x v="1"/>
    <x v="1"/>
    <s v="Q1"/>
  </r>
  <r>
    <s v="ORD100635"/>
    <x v="399"/>
    <s v="CUST1402"/>
    <s v="Rohan Singh"/>
    <x v="2"/>
    <s v="Karnataka"/>
    <s v="Hubballi"/>
    <x v="0"/>
    <s v="Audio"/>
    <x v="8"/>
    <n v="2"/>
    <n v="2985.94"/>
    <n v="0.2"/>
    <n v="4777.5"/>
    <n v="3088.92"/>
    <n v="1688.58"/>
    <x v="0"/>
    <n v="0.35344427001569861"/>
    <x v="1"/>
    <x v="1"/>
    <x v="1"/>
    <s v="Q1"/>
  </r>
  <r>
    <s v="ORD101752"/>
    <x v="400"/>
    <s v="CUST1298"/>
    <s v="Varun Malhotra"/>
    <x v="2"/>
    <s v="Telangana"/>
    <s v="Karimnagar"/>
    <x v="3"/>
    <s v="Kitchen"/>
    <x v="13"/>
    <n v="3"/>
    <n v="3425.91"/>
    <n v="0.1"/>
    <n v="9249.9599999999991"/>
    <n v="6022.98"/>
    <n v="3226.98"/>
    <x v="0"/>
    <n v="0.34886421130469758"/>
    <x v="1"/>
    <x v="1"/>
    <x v="1"/>
    <s v="Q1"/>
  </r>
  <r>
    <s v="ORD100809"/>
    <x v="400"/>
    <s v="CUST1093"/>
    <s v="Ishaan Gupta"/>
    <x v="2"/>
    <s v="Tamil Nadu"/>
    <s v="Madurai"/>
    <x v="1"/>
    <s v="Storage"/>
    <x v="9"/>
    <n v="3"/>
    <n v="495.28"/>
    <n v="0.1"/>
    <n v="1337.26"/>
    <n v="660.61"/>
    <n v="676.65"/>
    <x v="0"/>
    <n v="0.50599733784006096"/>
    <x v="1"/>
    <x v="1"/>
    <x v="1"/>
    <s v="Q1"/>
  </r>
  <r>
    <s v="ORD100817"/>
    <x v="400"/>
    <s v="CUST1330"/>
    <s v="Vikram Singh"/>
    <x v="2"/>
    <s v="Telangana"/>
    <s v="Karimnagar"/>
    <x v="3"/>
    <s v="Kitchen"/>
    <x v="7"/>
    <n v="1"/>
    <n v="1843.95"/>
    <n v="0.05"/>
    <n v="1751.75"/>
    <n v="995.26"/>
    <n v="756.49"/>
    <x v="2"/>
    <n v="0.43184815184815178"/>
    <x v="1"/>
    <x v="1"/>
    <x v="1"/>
    <s v="Q1"/>
  </r>
  <r>
    <s v="ORD102047"/>
    <x v="401"/>
    <s v="CUST1318"/>
    <s v="Nikhil Nair"/>
    <x v="2"/>
    <s v="Tamil Nadu"/>
    <s v="Coimbatore"/>
    <x v="1"/>
    <s v="Stationery"/>
    <x v="1"/>
    <n v="1"/>
    <n v="261.02"/>
    <n v="0.1"/>
    <n v="234.92"/>
    <n v="95.25"/>
    <n v="139.66999999999999"/>
    <x v="0"/>
    <n v="0.59454282308871098"/>
    <x v="1"/>
    <x v="1"/>
    <x v="1"/>
    <s v="Q1"/>
  </r>
  <r>
    <s v="ORD100192"/>
    <x v="401"/>
    <s v="CUST1267"/>
    <s v="Rohan Verma"/>
    <x v="1"/>
    <s v="Delhi"/>
    <s v="New Delhi"/>
    <x v="2"/>
    <s v="Office"/>
    <x v="10"/>
    <n v="3"/>
    <n v="6737.66"/>
    <n v="0.05"/>
    <n v="19202.330000000002"/>
    <n v="12621.17"/>
    <n v="6581.16"/>
    <x v="4"/>
    <n v="0.34272715863127018"/>
    <x v="1"/>
    <x v="1"/>
    <x v="1"/>
    <s v="Q1"/>
  </r>
  <r>
    <s v="ORD100157"/>
    <x v="402"/>
    <s v="CUST1140"/>
    <s v="Vikram Patel"/>
    <x v="3"/>
    <s v="West Bengal"/>
    <s v="Durgapur"/>
    <x v="3"/>
    <s v="Kitchen"/>
    <x v="7"/>
    <n v="1"/>
    <n v="1858.35"/>
    <n v="0"/>
    <n v="1858.35"/>
    <n v="1003.24"/>
    <n v="855.11"/>
    <x v="3"/>
    <n v="0.46014475206500388"/>
    <x v="1"/>
    <x v="1"/>
    <x v="1"/>
    <s v="Q1"/>
  </r>
  <r>
    <s v="ORD101537"/>
    <x v="402"/>
    <s v="CUST1169"/>
    <s v="Neha Naidu"/>
    <x v="1"/>
    <s v="Delhi"/>
    <s v="New Delhi"/>
    <x v="0"/>
    <s v="Audio"/>
    <x v="8"/>
    <n v="2"/>
    <n v="2928.65"/>
    <n v="0.1"/>
    <n v="5271.57"/>
    <n v="3153.36"/>
    <n v="2118.21"/>
    <x v="0"/>
    <n v="0.40181767481035058"/>
    <x v="1"/>
    <x v="1"/>
    <x v="1"/>
    <s v="Q1"/>
  </r>
  <r>
    <s v="ORD100008"/>
    <x v="402"/>
    <s v="CUST1360"/>
    <s v="Arjun Naidu"/>
    <x v="2"/>
    <s v="Telangana"/>
    <s v="Warangal"/>
    <x v="1"/>
    <s v="Storage"/>
    <x v="9"/>
    <n v="2"/>
    <n v="514.87"/>
    <n v="0.1"/>
    <n v="926.77"/>
    <n v="468.38"/>
    <n v="458.39"/>
    <x v="0"/>
    <n v="0.49461031323845178"/>
    <x v="1"/>
    <x v="1"/>
    <x v="1"/>
    <s v="Q1"/>
  </r>
  <r>
    <s v="ORD101796"/>
    <x v="402"/>
    <s v="CUST1170"/>
    <s v="Sneha Kumar"/>
    <x v="1"/>
    <s v="Delhi"/>
    <s v="New Delhi"/>
    <x v="0"/>
    <s v="Audio"/>
    <x v="8"/>
    <n v="1"/>
    <n v="3157.78"/>
    <n v="0.05"/>
    <n v="2999.89"/>
    <n v="1640.29"/>
    <n v="1359.6"/>
    <x v="0"/>
    <n v="0.45321661794265788"/>
    <x v="1"/>
    <x v="1"/>
    <x v="1"/>
    <s v="Q1"/>
  </r>
  <r>
    <s v="ORD101294"/>
    <x v="402"/>
    <s v="CUST1228"/>
    <s v="Ananya Mehta"/>
    <x v="3"/>
    <s v="West Bengal"/>
    <s v="Siliguri"/>
    <x v="1"/>
    <s v="Storage"/>
    <x v="9"/>
    <n v="3"/>
    <n v="519.78"/>
    <n v="0"/>
    <n v="1559.34"/>
    <n v="720.11"/>
    <n v="839.23"/>
    <x v="2"/>
    <n v="0.53819564687624255"/>
    <x v="1"/>
    <x v="1"/>
    <x v="1"/>
    <s v="Q1"/>
  </r>
  <r>
    <s v="ORD100026"/>
    <x v="403"/>
    <s v="CUST1603"/>
    <s v="Arjun Rao"/>
    <x v="0"/>
    <s v="Maharashtra"/>
    <s v="Nashik"/>
    <x v="3"/>
    <s v="Kitchen"/>
    <x v="13"/>
    <n v="3"/>
    <n v="3152.94"/>
    <n v="0.1"/>
    <n v="8512.94"/>
    <n v="5229.24"/>
    <n v="3283.7"/>
    <x v="0"/>
    <n v="0.38573042920542128"/>
    <x v="1"/>
    <x v="1"/>
    <x v="1"/>
    <s v="Q1"/>
  </r>
  <r>
    <s v="ORD101068"/>
    <x v="403"/>
    <s v="CUST1083"/>
    <s v="Priya Joshi"/>
    <x v="1"/>
    <s v="Delhi"/>
    <s v="Delhi"/>
    <x v="0"/>
    <s v="Audio"/>
    <x v="8"/>
    <n v="2"/>
    <n v="3062.65"/>
    <n v="0.1"/>
    <n v="5512.77"/>
    <n v="3246.65"/>
    <n v="2266.12"/>
    <x v="1"/>
    <n v="0.4110673944314745"/>
    <x v="1"/>
    <x v="1"/>
    <x v="1"/>
    <s v="Q1"/>
  </r>
  <r>
    <s v="ORD101634"/>
    <x v="404"/>
    <s v="CUST1645"/>
    <s v="Vikram Nair"/>
    <x v="2"/>
    <s v="Karnataka"/>
    <s v="Hubballi"/>
    <x v="0"/>
    <s v="Audio"/>
    <x v="8"/>
    <n v="2"/>
    <n v="3000.3"/>
    <n v="0.05"/>
    <n v="5700.57"/>
    <n v="3137.77"/>
    <n v="2562.8000000000002"/>
    <x v="1"/>
    <n v="0.44956907817990138"/>
    <x v="1"/>
    <x v="1"/>
    <x v="1"/>
    <s v="Q1"/>
  </r>
  <r>
    <s v="ORD100837"/>
    <x v="404"/>
    <s v="CUST1458"/>
    <s v="Meera Sharma"/>
    <x v="3"/>
    <s v="West Bengal"/>
    <s v="Durgapur"/>
    <x v="3"/>
    <s v="Cleaning"/>
    <x v="12"/>
    <n v="2"/>
    <n v="13713.3"/>
    <n v="0"/>
    <n v="27426.6"/>
    <n v="19880.47"/>
    <n v="7546.13"/>
    <x v="1"/>
    <n v="0.27513909853937418"/>
    <x v="1"/>
    <x v="1"/>
    <x v="1"/>
    <s v="Q1"/>
  </r>
  <r>
    <s v="ORD100156"/>
    <x v="404"/>
    <s v="CUST1512"/>
    <s v="Varun Singh"/>
    <x v="0"/>
    <s v="Maharashtra"/>
    <s v="Pune"/>
    <x v="1"/>
    <s v="Storage"/>
    <x v="2"/>
    <n v="4"/>
    <n v="696.13"/>
    <n v="0.1"/>
    <n v="2506.0700000000002"/>
    <n v="1256.95"/>
    <n v="1249.1199999999999"/>
    <x v="4"/>
    <n v="0.49843779303850239"/>
    <x v="1"/>
    <x v="1"/>
    <x v="1"/>
    <s v="Q1"/>
  </r>
  <r>
    <s v="ORD100659"/>
    <x v="405"/>
    <s v="CUST1327"/>
    <s v="Sneha Malhotra"/>
    <x v="0"/>
    <s v="Maharashtra"/>
    <s v="Mumbai"/>
    <x v="3"/>
    <s v="Cleaning"/>
    <x v="15"/>
    <n v="3"/>
    <n v="7421.36"/>
    <n v="0.15"/>
    <n v="18924.47"/>
    <n v="14557.87"/>
    <n v="4366.6000000000004"/>
    <x v="0"/>
    <n v="0.23073829808707991"/>
    <x v="1"/>
    <x v="1"/>
    <x v="1"/>
    <s v="Q1"/>
  </r>
  <r>
    <s v="ORD100912"/>
    <x v="405"/>
    <s v="CUST1528"/>
    <s v="Rohan Joshi"/>
    <x v="1"/>
    <s v="Delhi"/>
    <s v="New Delhi"/>
    <x v="3"/>
    <s v="Kitchen"/>
    <x v="13"/>
    <n v="3"/>
    <n v="3356.25"/>
    <n v="0.1"/>
    <n v="9061.8799999999992"/>
    <n v="5641.77"/>
    <n v="3420.11"/>
    <x v="0"/>
    <n v="0.37741726882280502"/>
    <x v="1"/>
    <x v="1"/>
    <x v="1"/>
    <s v="Q1"/>
  </r>
  <r>
    <s v="ORD100707"/>
    <x v="405"/>
    <s v="CUST1639"/>
    <s v="Sanjana Rao"/>
    <x v="2"/>
    <s v="Telangana"/>
    <s v="Hyderabad"/>
    <x v="1"/>
    <s v="Stationery"/>
    <x v="17"/>
    <n v="1"/>
    <n v="298.95"/>
    <n v="0"/>
    <n v="298.95"/>
    <n v="127.12"/>
    <n v="171.83"/>
    <x v="4"/>
    <n v="0.57477839103529027"/>
    <x v="1"/>
    <x v="1"/>
    <x v="1"/>
    <s v="Q1"/>
  </r>
  <r>
    <s v="ORD100524"/>
    <x v="405"/>
    <s v="CUST1633"/>
    <s v="Aditya Iyer"/>
    <x v="2"/>
    <s v="Telangana"/>
    <s v="Nizamabad"/>
    <x v="2"/>
    <s v="Office"/>
    <x v="14"/>
    <n v="2"/>
    <n v="8009.72"/>
    <n v="0.1"/>
    <n v="14417.5"/>
    <n v="11191.47"/>
    <n v="3226.03"/>
    <x v="1"/>
    <n v="0.22375793306745281"/>
    <x v="1"/>
    <x v="1"/>
    <x v="1"/>
    <s v="Q1"/>
  </r>
  <r>
    <s v="ORD102192"/>
    <x v="406"/>
    <s v="CUST1524"/>
    <s v="Sanjana Patel"/>
    <x v="2"/>
    <s v="Telangana"/>
    <s v="Nizamabad"/>
    <x v="2"/>
    <s v="Office"/>
    <x v="10"/>
    <n v="2"/>
    <n v="6766.85"/>
    <n v="0.05"/>
    <n v="12857.01"/>
    <n v="8442.2099999999991"/>
    <n v="4414.8"/>
    <x v="1"/>
    <n v="0.34337688156110951"/>
    <x v="1"/>
    <x v="1"/>
    <x v="1"/>
    <s v="Q1"/>
  </r>
  <r>
    <s v="ORD101909"/>
    <x v="406"/>
    <s v="CUST1355"/>
    <s v="Rohan Nair"/>
    <x v="0"/>
    <s v="Maharashtra"/>
    <s v="Nagpur"/>
    <x v="1"/>
    <s v="Stationery"/>
    <x v="17"/>
    <n v="1"/>
    <n v="299.52"/>
    <n v="0.1"/>
    <n v="269.57"/>
    <n v="129.06"/>
    <n v="140.51"/>
    <x v="3"/>
    <n v="0.52123752643098265"/>
    <x v="1"/>
    <x v="1"/>
    <x v="1"/>
    <s v="Q1"/>
  </r>
  <r>
    <s v="ORD102352"/>
    <x v="406"/>
    <s v="CUST1283"/>
    <s v="Diya Naidu"/>
    <x v="1"/>
    <s v="Delhi"/>
    <s v="Delhi"/>
    <x v="1"/>
    <s v="Stationery"/>
    <x v="1"/>
    <n v="2"/>
    <n v="253.48"/>
    <n v="0.15"/>
    <n v="430.92"/>
    <n v="193.79"/>
    <n v="237.13"/>
    <x v="0"/>
    <n v="0.55028775642810723"/>
    <x v="1"/>
    <x v="1"/>
    <x v="1"/>
    <s v="Q1"/>
  </r>
  <r>
    <s v="ORD101002"/>
    <x v="407"/>
    <s v="CUST1257"/>
    <s v="Aarav Naidu"/>
    <x v="2"/>
    <s v="Karnataka"/>
    <s v="Mangaluru"/>
    <x v="3"/>
    <s v="Kitchen"/>
    <x v="7"/>
    <n v="2"/>
    <n v="1799.14"/>
    <n v="0.1"/>
    <n v="3238.45"/>
    <n v="2014.58"/>
    <n v="1223.8699999999999"/>
    <x v="3"/>
    <n v="0.37791844864055341"/>
    <x v="1"/>
    <x v="1"/>
    <x v="1"/>
    <s v="Q1"/>
  </r>
  <r>
    <s v="ORD100055"/>
    <x v="407"/>
    <s v="CUST1350"/>
    <s v="Meera Patel"/>
    <x v="2"/>
    <s v="Karnataka"/>
    <s v="Mangaluru"/>
    <x v="3"/>
    <s v="Kitchen"/>
    <x v="7"/>
    <n v="1"/>
    <n v="1756.11"/>
    <n v="0.2"/>
    <n v="1404.89"/>
    <n v="954.22"/>
    <n v="450.67"/>
    <x v="3"/>
    <n v="0.32078668080775008"/>
    <x v="1"/>
    <x v="1"/>
    <x v="1"/>
    <s v="Q1"/>
  </r>
  <r>
    <s v="ORD101928"/>
    <x v="407"/>
    <s v="CUST1229"/>
    <s v="Aarav Patel"/>
    <x v="2"/>
    <s v="Telangana"/>
    <s v="Warangal"/>
    <x v="3"/>
    <s v="Cleaning"/>
    <x v="12"/>
    <n v="2"/>
    <n v="12352.86"/>
    <n v="0.15"/>
    <n v="20999.86"/>
    <n v="17730.79"/>
    <n v="3269.07"/>
    <x v="0"/>
    <n v="0.15567103780691871"/>
    <x v="1"/>
    <x v="1"/>
    <x v="1"/>
    <s v="Q1"/>
  </r>
  <r>
    <s v="ORD100278"/>
    <x v="407"/>
    <s v="CUST1540"/>
    <s v="Varun Sharma"/>
    <x v="0"/>
    <s v="Maharashtra"/>
    <s v="Pune"/>
    <x v="3"/>
    <s v="Kitchen"/>
    <x v="13"/>
    <n v="2"/>
    <n v="3492.62"/>
    <n v="0.1"/>
    <n v="6286.72"/>
    <n v="3870.14"/>
    <n v="2416.58"/>
    <x v="2"/>
    <n v="0.38439440598595132"/>
    <x v="1"/>
    <x v="1"/>
    <x v="1"/>
    <s v="Q1"/>
  </r>
  <r>
    <s v="ORD100247"/>
    <x v="407"/>
    <s v="CUST1367"/>
    <s v="Sneha Naidu"/>
    <x v="2"/>
    <s v="Telangana"/>
    <s v="Karimnagar"/>
    <x v="0"/>
    <s v="Accessories"/>
    <x v="5"/>
    <n v="1"/>
    <n v="2451.81"/>
    <n v="0.15"/>
    <n v="2084.04"/>
    <n v="1298.76"/>
    <n v="785.28"/>
    <x v="0"/>
    <n v="0.37680658720561983"/>
    <x v="1"/>
    <x v="1"/>
    <x v="1"/>
    <s v="Q1"/>
  </r>
  <r>
    <s v="ORD102438"/>
    <x v="408"/>
    <s v="CUST1173"/>
    <s v="Sanjana Gupta"/>
    <x v="1"/>
    <s v="Delhi"/>
    <s v="New Delhi"/>
    <x v="0"/>
    <s v="Accessories"/>
    <x v="5"/>
    <n v="2"/>
    <n v="2646.61"/>
    <n v="0.15"/>
    <n v="4499.24"/>
    <n v="2797.53"/>
    <n v="1701.71"/>
    <x v="0"/>
    <n v="0.37822165521288043"/>
    <x v="1"/>
    <x v="1"/>
    <x v="1"/>
    <s v="Q1"/>
  </r>
  <r>
    <s v="ORD100933"/>
    <x v="409"/>
    <s v="CUST1143"/>
    <s v="Aarav Patel"/>
    <x v="3"/>
    <s v="West Bengal"/>
    <s v="Siliguri"/>
    <x v="3"/>
    <s v="Cleaning"/>
    <x v="15"/>
    <n v="4"/>
    <n v="7215.52"/>
    <n v="0"/>
    <n v="28862.080000000002"/>
    <n v="18670.87"/>
    <n v="10191.209999999999"/>
    <x v="0"/>
    <n v="0.35310033095327842"/>
    <x v="1"/>
    <x v="1"/>
    <x v="1"/>
    <s v="Q1"/>
  </r>
  <r>
    <s v="ORD100762"/>
    <x v="409"/>
    <s v="CUST1075"/>
    <s v="Aarav Sharma"/>
    <x v="1"/>
    <s v="Delhi"/>
    <s v="Delhi"/>
    <x v="3"/>
    <s v="Kitchen"/>
    <x v="7"/>
    <n v="2"/>
    <n v="1905.16"/>
    <n v="0.1"/>
    <n v="3429.29"/>
    <n v="2068.84"/>
    <n v="1360.45"/>
    <x v="1"/>
    <n v="0.39671477186239718"/>
    <x v="1"/>
    <x v="1"/>
    <x v="1"/>
    <s v="Q1"/>
  </r>
  <r>
    <s v="ORD101743"/>
    <x v="410"/>
    <s v="CUST1382"/>
    <s v="Aarav Kumar"/>
    <x v="2"/>
    <s v="Karnataka"/>
    <s v="Bengaluru"/>
    <x v="3"/>
    <s v="Kitchen"/>
    <x v="13"/>
    <n v="1"/>
    <n v="3206.88"/>
    <n v="0.15"/>
    <n v="2725.85"/>
    <n v="1882.18"/>
    <n v="843.67"/>
    <x v="2"/>
    <n v="0.30950712621751009"/>
    <x v="1"/>
    <x v="1"/>
    <x v="1"/>
    <s v="Q1"/>
  </r>
  <r>
    <s v="ORD101147"/>
    <x v="410"/>
    <s v="CUST1640"/>
    <s v="Sanjana Gupta"/>
    <x v="2"/>
    <s v="Tamil Nadu"/>
    <s v="Coimbatore"/>
    <x v="0"/>
    <s v="Audio"/>
    <x v="11"/>
    <n v="3"/>
    <n v="2069.23"/>
    <n v="0.15"/>
    <n v="5276.54"/>
    <n v="3647.93"/>
    <n v="1628.61"/>
    <x v="0"/>
    <n v="0.30865112365299979"/>
    <x v="1"/>
    <x v="1"/>
    <x v="1"/>
    <s v="Q1"/>
  </r>
  <r>
    <s v="ORD100921"/>
    <x v="411"/>
    <s v="CUST1599"/>
    <s v="Pooja Gupta"/>
    <x v="1"/>
    <s v="Delhi"/>
    <s v="Delhi"/>
    <x v="1"/>
    <s v="Stationery"/>
    <x v="1"/>
    <n v="2"/>
    <n v="263.58"/>
    <n v="0.05"/>
    <n v="500.8"/>
    <n v="195.62"/>
    <n v="305.18"/>
    <x v="1"/>
    <n v="0.60938498402555907"/>
    <x v="1"/>
    <x v="1"/>
    <x v="1"/>
    <s v="Q1"/>
  </r>
  <r>
    <s v="ORD101834"/>
    <x v="411"/>
    <s v="CUST1066"/>
    <s v="Neha Singh"/>
    <x v="2"/>
    <s v="Tamil Nadu"/>
    <s v="Chennai"/>
    <x v="0"/>
    <s v="Audio"/>
    <x v="8"/>
    <n v="3"/>
    <n v="3107.33"/>
    <n v="0"/>
    <n v="9321.99"/>
    <n v="4895.93"/>
    <n v="4426.0600000000004"/>
    <x v="0"/>
    <n v="0.47479776313855743"/>
    <x v="1"/>
    <x v="1"/>
    <x v="1"/>
    <s v="Q1"/>
  </r>
  <r>
    <s v="ORD100096"/>
    <x v="411"/>
    <s v="CUST1381"/>
    <s v="Priya Reddy"/>
    <x v="1"/>
    <s v="Delhi"/>
    <s v="Delhi"/>
    <x v="2"/>
    <s v="Living Room"/>
    <x v="16"/>
    <n v="6"/>
    <n v="3767.02"/>
    <n v="0"/>
    <n v="22602.12"/>
    <n v="14801.03"/>
    <n v="7801.09"/>
    <x v="4"/>
    <n v="0.34514859668031139"/>
    <x v="1"/>
    <x v="1"/>
    <x v="1"/>
    <s v="Q1"/>
  </r>
  <r>
    <s v="ORD101387"/>
    <x v="411"/>
    <s v="CUST1413"/>
    <s v="Rahul Reddy"/>
    <x v="2"/>
    <s v="Telangana"/>
    <s v="Nizamabad"/>
    <x v="3"/>
    <s v="Cleaning"/>
    <x v="12"/>
    <n v="3"/>
    <n v="12231.76"/>
    <n v="0.1"/>
    <n v="33025.75"/>
    <n v="26699.3"/>
    <n v="6326.45"/>
    <x v="0"/>
    <n v="0.1915611303301212"/>
    <x v="1"/>
    <x v="1"/>
    <x v="1"/>
    <s v="Q1"/>
  </r>
  <r>
    <s v="ORD102386"/>
    <x v="412"/>
    <s v="CUST1073"/>
    <s v="Diya Joshi"/>
    <x v="1"/>
    <s v="Delhi"/>
    <s v="New Delhi"/>
    <x v="0"/>
    <s v="Audio"/>
    <x v="8"/>
    <n v="4"/>
    <n v="2936.52"/>
    <n v="0"/>
    <n v="11746.08"/>
    <n v="5953.5"/>
    <n v="5792.58"/>
    <x v="0"/>
    <n v="0.49315005516734101"/>
    <x v="1"/>
    <x v="1"/>
    <x v="1"/>
    <s v="Q1"/>
  </r>
  <r>
    <s v="ORD102095"/>
    <x v="412"/>
    <s v="CUST1317"/>
    <s v="Aisha Reddy"/>
    <x v="2"/>
    <s v="Telangana"/>
    <s v="Karimnagar"/>
    <x v="2"/>
    <s v="Office"/>
    <x v="14"/>
    <n v="4"/>
    <n v="8741.92"/>
    <n v="0.05"/>
    <n v="33219.300000000003"/>
    <n v="23152.31"/>
    <n v="10066.99"/>
    <x v="4"/>
    <n v="0.30304642180900859"/>
    <x v="1"/>
    <x v="1"/>
    <x v="1"/>
    <s v="Q1"/>
  </r>
  <r>
    <s v="ORD100392"/>
    <x v="412"/>
    <s v="CUST1145"/>
    <s v="Arjun Malhotra"/>
    <x v="1"/>
    <s v="Delhi"/>
    <s v="Delhi"/>
    <x v="1"/>
    <s v="Stationery"/>
    <x v="17"/>
    <n v="4"/>
    <n v="311.51"/>
    <n v="0.05"/>
    <n v="1183.74"/>
    <n v="523.61"/>
    <n v="660.13"/>
    <x v="0"/>
    <n v="0.55766468988122386"/>
    <x v="1"/>
    <x v="1"/>
    <x v="1"/>
    <s v="Q1"/>
  </r>
  <r>
    <s v="ORD100992"/>
    <x v="412"/>
    <s v="CUST1386"/>
    <s v="Diya Sharma"/>
    <x v="0"/>
    <s v="Maharashtra"/>
    <s v="Mumbai"/>
    <x v="2"/>
    <s v="Office"/>
    <x v="14"/>
    <n v="2"/>
    <n v="8227.7000000000007"/>
    <n v="0.15"/>
    <n v="13987.09"/>
    <n v="11605.11"/>
    <n v="2381.98"/>
    <x v="0"/>
    <n v="0.17029846808735771"/>
    <x v="1"/>
    <x v="1"/>
    <x v="1"/>
    <s v="Q1"/>
  </r>
  <r>
    <s v="ORD101119"/>
    <x v="412"/>
    <s v="CUST1057"/>
    <s v="Arjun Kumar"/>
    <x v="2"/>
    <s v="Karnataka"/>
    <s v="Bengaluru"/>
    <x v="3"/>
    <s v="Cleaning"/>
    <x v="15"/>
    <n v="3"/>
    <n v="7216.58"/>
    <n v="0.1"/>
    <n v="19484.77"/>
    <n v="14323.45"/>
    <n v="5161.32"/>
    <x v="2"/>
    <n v="0.26488996277605531"/>
    <x v="1"/>
    <x v="1"/>
    <x v="1"/>
    <s v="Q1"/>
  </r>
  <r>
    <s v="ORD100944"/>
    <x v="412"/>
    <s v="CUST1172"/>
    <s v="Kavya Malhotra"/>
    <x v="2"/>
    <s v="Telangana"/>
    <s v="Nizamabad"/>
    <x v="1"/>
    <s v="Storage"/>
    <x v="2"/>
    <n v="3"/>
    <n v="709.53"/>
    <n v="0.05"/>
    <n v="2022.16"/>
    <n v="976.05"/>
    <n v="1046.1099999999999"/>
    <x v="2"/>
    <n v="0.51732306048977328"/>
    <x v="1"/>
    <x v="1"/>
    <x v="1"/>
    <s v="Q1"/>
  </r>
  <r>
    <s v="ORD102269"/>
    <x v="412"/>
    <s v="CUST1017"/>
    <s v="Ishaan Mehta"/>
    <x v="2"/>
    <s v="Karnataka"/>
    <s v="Mangaluru"/>
    <x v="0"/>
    <s v="Audio"/>
    <x v="11"/>
    <n v="2"/>
    <n v="2059.7199999999998"/>
    <n v="0.1"/>
    <n v="3707.5"/>
    <n v="2349.0500000000002"/>
    <n v="1358.45"/>
    <x v="1"/>
    <n v="0.36640593391773429"/>
    <x v="1"/>
    <x v="1"/>
    <x v="1"/>
    <s v="Q1"/>
  </r>
  <r>
    <s v="ORD100806"/>
    <x v="413"/>
    <s v="CUST1132"/>
    <s v="Priya Malhotra"/>
    <x v="3"/>
    <s v="West Bengal"/>
    <s v="Kolkata"/>
    <x v="2"/>
    <s v="Office"/>
    <x v="14"/>
    <n v="3"/>
    <n v="8215.15"/>
    <n v="0"/>
    <n v="24645.45"/>
    <n v="16648.349999999999"/>
    <n v="7997.1"/>
    <x v="3"/>
    <n v="0.32448585844445932"/>
    <x v="1"/>
    <x v="1"/>
    <x v="1"/>
    <s v="Q1"/>
  </r>
  <r>
    <s v="ORD100275"/>
    <x v="413"/>
    <s v="CUST1063"/>
    <s v="Meera Patel"/>
    <x v="2"/>
    <s v="Tamil Nadu"/>
    <s v="Coimbatore"/>
    <x v="3"/>
    <s v="Kitchen"/>
    <x v="13"/>
    <n v="2"/>
    <n v="3155.92"/>
    <n v="0.15"/>
    <n v="5365.06"/>
    <n v="3577.14"/>
    <n v="1787.92"/>
    <x v="0"/>
    <n v="0.33325256381102908"/>
    <x v="1"/>
    <x v="1"/>
    <x v="1"/>
    <s v="Q1"/>
  </r>
  <r>
    <s v="ORD102022"/>
    <x v="414"/>
    <s v="CUST1359"/>
    <s v="Diya Naidu"/>
    <x v="1"/>
    <s v="Delhi"/>
    <s v="Delhi"/>
    <x v="0"/>
    <s v="Accessories"/>
    <x v="6"/>
    <n v="3"/>
    <n v="831.47"/>
    <n v="0.05"/>
    <n v="2369.69"/>
    <n v="1494.04"/>
    <n v="875.65"/>
    <x v="0"/>
    <n v="0.3695209077980664"/>
    <x v="1"/>
    <x v="2"/>
    <x v="2"/>
    <s v="Q1"/>
  </r>
  <r>
    <s v="ORD100804"/>
    <x v="414"/>
    <s v="CUST1402"/>
    <s v="Ananya Patel"/>
    <x v="0"/>
    <s v="Maharashtra"/>
    <s v="Nagpur"/>
    <x v="0"/>
    <s v="Accessories"/>
    <x v="6"/>
    <n v="4"/>
    <n v="822.46"/>
    <n v="0.1"/>
    <n v="2960.86"/>
    <n v="2038.71"/>
    <n v="922.15"/>
    <x v="3"/>
    <n v="0.31144667427706813"/>
    <x v="1"/>
    <x v="2"/>
    <x v="2"/>
    <s v="Q1"/>
  </r>
  <r>
    <s v="ORD101999"/>
    <x v="414"/>
    <s v="CUST1240"/>
    <s v="Kiran Rao"/>
    <x v="0"/>
    <s v="Maharashtra"/>
    <s v="Mumbai"/>
    <x v="2"/>
    <s v="Office"/>
    <x v="10"/>
    <n v="2"/>
    <n v="6969.46"/>
    <n v="0"/>
    <n v="13938.92"/>
    <n v="8968.9599999999991"/>
    <n v="4969.96"/>
    <x v="0"/>
    <n v="0.35655273148852279"/>
    <x v="1"/>
    <x v="2"/>
    <x v="2"/>
    <s v="Q1"/>
  </r>
  <r>
    <s v="ORD100015"/>
    <x v="415"/>
    <s v="CUST1117"/>
    <s v="Sneha Kumar"/>
    <x v="2"/>
    <s v="Karnataka"/>
    <s v="Mangaluru"/>
    <x v="0"/>
    <s v="Audio"/>
    <x v="11"/>
    <n v="3"/>
    <n v="1978.8"/>
    <n v="0"/>
    <n v="5936.4"/>
    <n v="3316.85"/>
    <n v="2619.5500000000002"/>
    <x v="0"/>
    <n v="0.44126911933158153"/>
    <x v="1"/>
    <x v="2"/>
    <x v="2"/>
    <s v="Q1"/>
  </r>
  <r>
    <s v="ORD102014"/>
    <x v="415"/>
    <s v="CUST1273"/>
    <s v="Diya Sharma"/>
    <x v="0"/>
    <s v="Maharashtra"/>
    <s v="Mumbai"/>
    <x v="1"/>
    <s v="Storage"/>
    <x v="2"/>
    <n v="1"/>
    <n v="680.81"/>
    <n v="0.15"/>
    <n v="578.69000000000005"/>
    <n v="328.28"/>
    <n v="250.41"/>
    <x v="3"/>
    <n v="0.43271872677945011"/>
    <x v="1"/>
    <x v="2"/>
    <x v="2"/>
    <s v="Q1"/>
  </r>
  <r>
    <s v="ORD101371"/>
    <x v="415"/>
    <s v="CUST1488"/>
    <s v="Vikram Malhotra"/>
    <x v="2"/>
    <s v="Karnataka"/>
    <s v="Bengaluru"/>
    <x v="2"/>
    <s v="Office"/>
    <x v="14"/>
    <n v="2"/>
    <n v="8839.65"/>
    <n v="0.05"/>
    <n v="16795.330000000002"/>
    <n v="11946.84"/>
    <n v="4848.49"/>
    <x v="2"/>
    <n v="0.28868084163871738"/>
    <x v="1"/>
    <x v="2"/>
    <x v="2"/>
    <s v="Q1"/>
  </r>
  <r>
    <s v="ORD100606"/>
    <x v="415"/>
    <s v="CUST1582"/>
    <s v="Pooja Singh"/>
    <x v="0"/>
    <s v="Maharashtra"/>
    <s v="Nagpur"/>
    <x v="3"/>
    <s v="Cleaning"/>
    <x v="15"/>
    <n v="2"/>
    <n v="7855.27"/>
    <n v="0.15"/>
    <n v="13353.96"/>
    <n v="10198.24"/>
    <n v="3155.72"/>
    <x v="1"/>
    <n v="0.23631342313441109"/>
    <x v="1"/>
    <x v="2"/>
    <x v="2"/>
    <s v="Q1"/>
  </r>
  <r>
    <s v="ORD101406"/>
    <x v="415"/>
    <s v="CUST1341"/>
    <s v="Vikram Gupta"/>
    <x v="2"/>
    <s v="Tamil Nadu"/>
    <s v="Coimbatore"/>
    <x v="0"/>
    <s v="Computers"/>
    <x v="0"/>
    <n v="1"/>
    <n v="56464.78"/>
    <n v="0.1"/>
    <n v="50818.3"/>
    <n v="49416.26"/>
    <n v="1402.04"/>
    <x v="4"/>
    <n v="2.7589273942654511E-2"/>
    <x v="1"/>
    <x v="2"/>
    <x v="2"/>
    <s v="Q1"/>
  </r>
  <r>
    <s v="ORD100289"/>
    <x v="416"/>
    <s v="CUST1520"/>
    <s v="Aditya Malhotra"/>
    <x v="3"/>
    <s v="West Bengal"/>
    <s v="Durgapur"/>
    <x v="1"/>
    <s v="Storage"/>
    <x v="2"/>
    <n v="3"/>
    <n v="710.87"/>
    <n v="0.1"/>
    <n v="1919.35"/>
    <n v="1025.5999999999999"/>
    <n v="893.75"/>
    <x v="2"/>
    <n v="0.46565243441790188"/>
    <x v="1"/>
    <x v="2"/>
    <x v="2"/>
    <s v="Q1"/>
  </r>
  <r>
    <s v="ORD101978"/>
    <x v="416"/>
    <s v="CUST1605"/>
    <s v="Arjun Malhotra"/>
    <x v="1"/>
    <s v="Delhi"/>
    <s v="Delhi"/>
    <x v="3"/>
    <s v="Cleaning"/>
    <x v="15"/>
    <n v="3"/>
    <n v="7642.08"/>
    <n v="0"/>
    <n v="22926.240000000002"/>
    <n v="14736.96"/>
    <n v="8189.28"/>
    <x v="4"/>
    <n v="0.3572011808303498"/>
    <x v="1"/>
    <x v="2"/>
    <x v="2"/>
    <s v="Q1"/>
  </r>
  <r>
    <s v="ORD101531"/>
    <x v="416"/>
    <s v="CUST1620"/>
    <s v="Aditya Nair"/>
    <x v="3"/>
    <s v="West Bengal"/>
    <s v="Durgapur"/>
    <x v="2"/>
    <s v="Living Room"/>
    <x v="4"/>
    <n v="2"/>
    <n v="4938.84"/>
    <n v="0.15"/>
    <n v="8396.0300000000007"/>
    <n v="6002.73"/>
    <n v="2393.3000000000002"/>
    <x v="0"/>
    <n v="0.28505138738189362"/>
    <x v="1"/>
    <x v="2"/>
    <x v="2"/>
    <s v="Q1"/>
  </r>
  <r>
    <s v="ORD102237"/>
    <x v="417"/>
    <s v="CUST1319"/>
    <s v="Neha Gupta"/>
    <x v="0"/>
    <s v="Maharashtra"/>
    <s v="Nashik"/>
    <x v="3"/>
    <s v="Kitchen"/>
    <x v="7"/>
    <n v="1"/>
    <n v="1711.15"/>
    <n v="0.1"/>
    <n v="1540.04"/>
    <n v="936.67"/>
    <n v="603.37"/>
    <x v="0"/>
    <n v="0.39178852497337741"/>
    <x v="1"/>
    <x v="2"/>
    <x v="2"/>
    <s v="Q1"/>
  </r>
  <r>
    <s v="ORD100287"/>
    <x v="417"/>
    <s v="CUST1124"/>
    <s v="Meera Gupta"/>
    <x v="3"/>
    <s v="West Bengal"/>
    <s v="Siliguri"/>
    <x v="3"/>
    <s v="Kitchen"/>
    <x v="7"/>
    <n v="2"/>
    <n v="1897.65"/>
    <n v="0.1"/>
    <n v="3415.77"/>
    <n v="2063.81"/>
    <n v="1351.96"/>
    <x v="1"/>
    <n v="0.39579948298626672"/>
    <x v="1"/>
    <x v="2"/>
    <x v="2"/>
    <s v="Q1"/>
  </r>
  <r>
    <s v="ORD100270"/>
    <x v="417"/>
    <s v="CUST1397"/>
    <s v="Ishaan Singh"/>
    <x v="2"/>
    <s v="Telangana"/>
    <s v="Nizamabad"/>
    <x v="1"/>
    <s v="Storage"/>
    <x v="2"/>
    <n v="1"/>
    <n v="738.6"/>
    <n v="0.05"/>
    <n v="701.67"/>
    <n v="352.92"/>
    <n v="348.75"/>
    <x v="0"/>
    <n v="0.49702851767925088"/>
    <x v="1"/>
    <x v="2"/>
    <x v="2"/>
    <s v="Q1"/>
  </r>
  <r>
    <s v="ORD102492"/>
    <x v="418"/>
    <s v="CUST1530"/>
    <s v="Diya Naidu"/>
    <x v="2"/>
    <s v="Telangana"/>
    <s v="Nizamabad"/>
    <x v="0"/>
    <s v="Accessories"/>
    <x v="6"/>
    <n v="5"/>
    <n v="828.92"/>
    <n v="0"/>
    <n v="4144.6000000000004"/>
    <n v="2470.58"/>
    <n v="1674.02"/>
    <x v="0"/>
    <n v="0.40390387492158469"/>
    <x v="1"/>
    <x v="2"/>
    <x v="2"/>
    <s v="Q1"/>
  </r>
  <r>
    <s v="ORD101451"/>
    <x v="418"/>
    <s v="CUST1188"/>
    <s v="Aditya Rao"/>
    <x v="3"/>
    <s v="West Bengal"/>
    <s v="Kolkata"/>
    <x v="0"/>
    <s v="Audio"/>
    <x v="8"/>
    <n v="1"/>
    <n v="3020.99"/>
    <n v="0.05"/>
    <n v="2869.94"/>
    <n v="1541.88"/>
    <n v="1328.06"/>
    <x v="0"/>
    <n v="0.46274835013972421"/>
    <x v="1"/>
    <x v="2"/>
    <x v="2"/>
    <s v="Q1"/>
  </r>
  <r>
    <s v="ORD101769"/>
    <x v="418"/>
    <s v="CUST1564"/>
    <s v="Nikhil Kumar"/>
    <x v="2"/>
    <s v="Karnataka"/>
    <s v="Mangaluru"/>
    <x v="0"/>
    <s v="Computers"/>
    <x v="3"/>
    <n v="5"/>
    <n v="15380.77"/>
    <n v="0.1"/>
    <n v="69213.47"/>
    <n v="56360.9"/>
    <n v="12852.57"/>
    <x v="4"/>
    <n v="0.18569463429589639"/>
    <x v="1"/>
    <x v="2"/>
    <x v="2"/>
    <s v="Q1"/>
  </r>
  <r>
    <s v="ORD101694"/>
    <x v="418"/>
    <s v="CUST1428"/>
    <s v="Meera Reddy"/>
    <x v="2"/>
    <s v="Telangana"/>
    <s v="Nizamabad"/>
    <x v="2"/>
    <s v="Office"/>
    <x v="10"/>
    <n v="2"/>
    <n v="7198.51"/>
    <n v="0.15"/>
    <n v="12237.47"/>
    <n v="9007.2900000000009"/>
    <n v="3230.18"/>
    <x v="0"/>
    <n v="0.26395815474930678"/>
    <x v="1"/>
    <x v="2"/>
    <x v="2"/>
    <s v="Q1"/>
  </r>
  <r>
    <s v="ORD100216"/>
    <x v="419"/>
    <s v="CUST1118"/>
    <s v="Rohan Patel"/>
    <x v="0"/>
    <s v="Maharashtra"/>
    <s v="Nagpur"/>
    <x v="3"/>
    <s v="Cleaning"/>
    <x v="15"/>
    <n v="2"/>
    <n v="7914.92"/>
    <n v="0.1"/>
    <n v="14246.86"/>
    <n v="10248.709999999999"/>
    <n v="3998.15"/>
    <x v="0"/>
    <n v="0.28063376772144882"/>
    <x v="1"/>
    <x v="2"/>
    <x v="2"/>
    <s v="Q1"/>
  </r>
  <r>
    <s v="ORD100084"/>
    <x v="419"/>
    <s v="CUST1439"/>
    <s v="Kavya Joshi"/>
    <x v="2"/>
    <s v="Karnataka"/>
    <s v="Mysuru"/>
    <x v="3"/>
    <s v="Kitchen"/>
    <x v="13"/>
    <n v="4"/>
    <n v="3289.6"/>
    <n v="0.05"/>
    <n v="12500.48"/>
    <n v="7797.12"/>
    <n v="4703.3599999999997"/>
    <x v="3"/>
    <n v="0.37625435183288958"/>
    <x v="1"/>
    <x v="2"/>
    <x v="2"/>
    <s v="Q1"/>
  </r>
  <r>
    <s v="ORD100558"/>
    <x v="419"/>
    <s v="CUST1137"/>
    <s v="Aarav Patel"/>
    <x v="2"/>
    <s v="Karnataka"/>
    <s v="Mysuru"/>
    <x v="1"/>
    <s v="Storage"/>
    <x v="2"/>
    <n v="3"/>
    <n v="668.07"/>
    <n v="0"/>
    <n v="2004.21"/>
    <n v="952.4"/>
    <n v="1051.81"/>
    <x v="1"/>
    <n v="0.52480029537822881"/>
    <x v="1"/>
    <x v="2"/>
    <x v="2"/>
    <s v="Q1"/>
  </r>
  <r>
    <s v="ORD101170"/>
    <x v="419"/>
    <s v="CUST1512"/>
    <s v="Rahul Naidu"/>
    <x v="2"/>
    <s v="Karnataka"/>
    <s v="Bengaluru"/>
    <x v="0"/>
    <s v="Computers"/>
    <x v="0"/>
    <n v="4"/>
    <n v="61853.22"/>
    <n v="0.1"/>
    <n v="222671.59"/>
    <n v="213009"/>
    <n v="9662.59"/>
    <x v="0"/>
    <n v="4.3393905796424243E-2"/>
    <x v="1"/>
    <x v="2"/>
    <x v="2"/>
    <s v="Q1"/>
  </r>
  <r>
    <s v="ORD100610"/>
    <x v="419"/>
    <s v="CUST1003"/>
    <s v="Ishaan Das"/>
    <x v="2"/>
    <s v="Telangana"/>
    <s v="Nizamabad"/>
    <x v="0"/>
    <s v="Accessories"/>
    <x v="6"/>
    <n v="2"/>
    <n v="814.14"/>
    <n v="0.1"/>
    <n v="1465.45"/>
    <n v="1000.24"/>
    <n v="465.21"/>
    <x v="0"/>
    <n v="0.31745197720836599"/>
    <x v="1"/>
    <x v="2"/>
    <x v="2"/>
    <s v="Q1"/>
  </r>
  <r>
    <s v="ORD100047"/>
    <x v="419"/>
    <s v="CUST1281"/>
    <s v="Kavya Malhotra"/>
    <x v="2"/>
    <s v="Telangana"/>
    <s v="Hyderabad"/>
    <x v="2"/>
    <s v="Living Room"/>
    <x v="4"/>
    <n v="3"/>
    <n v="4971.6000000000004"/>
    <n v="0"/>
    <n v="14914.8"/>
    <n v="9334.8700000000008"/>
    <n v="5579.93"/>
    <x v="2"/>
    <n v="0.37412033684662221"/>
    <x v="1"/>
    <x v="2"/>
    <x v="2"/>
    <s v="Q1"/>
  </r>
  <r>
    <s v="ORD101564"/>
    <x v="420"/>
    <s v="CUST1341"/>
    <s v="Rahul Iyer"/>
    <x v="3"/>
    <s v="West Bengal"/>
    <s v="Kolkata"/>
    <x v="3"/>
    <s v="Cleaning"/>
    <x v="15"/>
    <n v="6"/>
    <n v="7948.66"/>
    <n v="0.1"/>
    <n v="42922.76"/>
    <n v="31662.75"/>
    <n v="11260.01"/>
    <x v="0"/>
    <n v="0.26233191900986802"/>
    <x v="1"/>
    <x v="2"/>
    <x v="2"/>
    <s v="Q1"/>
  </r>
  <r>
    <s v="ORD100345"/>
    <x v="420"/>
    <s v="CUST1335"/>
    <s v="Neha Naidu"/>
    <x v="0"/>
    <s v="Maharashtra"/>
    <s v="Mumbai"/>
    <x v="0"/>
    <s v="Audio"/>
    <x v="8"/>
    <n v="3"/>
    <n v="2950.48"/>
    <n v="0.1"/>
    <n v="7966.3"/>
    <n v="4675.3900000000003"/>
    <n v="3290.91"/>
    <x v="2"/>
    <n v="0.41310395039102221"/>
    <x v="1"/>
    <x v="2"/>
    <x v="2"/>
    <s v="Q1"/>
  </r>
  <r>
    <s v="ORD101789"/>
    <x v="420"/>
    <s v="CUST1173"/>
    <s v="Ishaan Malhotra"/>
    <x v="2"/>
    <s v="Tamil Nadu"/>
    <s v="Chennai"/>
    <x v="2"/>
    <s v="Living Room"/>
    <x v="4"/>
    <n v="1"/>
    <n v="5073.72"/>
    <n v="0.05"/>
    <n v="4820.03"/>
    <n v="3164.43"/>
    <n v="1655.6"/>
    <x v="1"/>
    <n v="0.34348333931531538"/>
    <x v="1"/>
    <x v="2"/>
    <x v="2"/>
    <s v="Q1"/>
  </r>
  <r>
    <s v="ORD100058"/>
    <x v="420"/>
    <s v="CUST1457"/>
    <s v="Vikram Iyer"/>
    <x v="2"/>
    <s v="Karnataka"/>
    <s v="Mysuru"/>
    <x v="2"/>
    <s v="Office"/>
    <x v="10"/>
    <n v="2"/>
    <n v="7059.86"/>
    <n v="0.05"/>
    <n v="13413.73"/>
    <n v="9084.17"/>
    <n v="4329.5600000000004"/>
    <x v="1"/>
    <n v="0.32277077293191381"/>
    <x v="1"/>
    <x v="2"/>
    <x v="2"/>
    <s v="Q1"/>
  </r>
  <r>
    <s v="ORD100649"/>
    <x v="421"/>
    <s v="CUST1232"/>
    <s v="Ananya Patel"/>
    <x v="3"/>
    <s v="West Bengal"/>
    <s v="Siliguri"/>
    <x v="0"/>
    <s v="Audio"/>
    <x v="11"/>
    <n v="1"/>
    <n v="1991.34"/>
    <n v="0.1"/>
    <n v="1792.21"/>
    <n v="1139"/>
    <n v="653.21"/>
    <x v="0"/>
    <n v="0.36447179738981478"/>
    <x v="1"/>
    <x v="2"/>
    <x v="2"/>
    <s v="Q1"/>
  </r>
  <r>
    <s v="ORD101198"/>
    <x v="421"/>
    <s v="CUST1568"/>
    <s v="Rahul Iyer"/>
    <x v="2"/>
    <s v="Karnataka"/>
    <s v="Mangaluru"/>
    <x v="1"/>
    <s v="Storage"/>
    <x v="9"/>
    <n v="1"/>
    <n v="485.12"/>
    <n v="0.1"/>
    <n v="436.61"/>
    <n v="221.11"/>
    <n v="215.5"/>
    <x v="0"/>
    <n v="0.49357550216440299"/>
    <x v="1"/>
    <x v="2"/>
    <x v="2"/>
    <s v="Q1"/>
  </r>
  <r>
    <s v="ORD102268"/>
    <x v="421"/>
    <s v="CUST1006"/>
    <s v="Nikhil Sharma"/>
    <x v="0"/>
    <s v="Maharashtra"/>
    <s v="Pune"/>
    <x v="0"/>
    <s v="Accessories"/>
    <x v="6"/>
    <n v="1"/>
    <n v="772.85"/>
    <n v="0.1"/>
    <n v="695.57"/>
    <n v="467.07"/>
    <n v="228.5"/>
    <x v="2"/>
    <n v="0.328507554954929"/>
    <x v="1"/>
    <x v="2"/>
    <x v="2"/>
    <s v="Q1"/>
  </r>
  <r>
    <s v="ORD100033"/>
    <x v="421"/>
    <s v="CUST1479"/>
    <s v="Sanjana Mehta"/>
    <x v="1"/>
    <s v="Delhi"/>
    <s v="New Delhi"/>
    <x v="2"/>
    <s v="Office"/>
    <x v="10"/>
    <n v="3"/>
    <n v="6846.13"/>
    <n v="0.05"/>
    <n v="19511.47"/>
    <n v="13149.33"/>
    <n v="6362.14"/>
    <x v="0"/>
    <n v="0.32607179264299407"/>
    <x v="1"/>
    <x v="2"/>
    <x v="2"/>
    <s v="Q1"/>
  </r>
  <r>
    <s v="ORD100417"/>
    <x v="421"/>
    <s v="CUST1352"/>
    <s v="Sanjana Gupta"/>
    <x v="0"/>
    <s v="Maharashtra"/>
    <s v="Mumbai"/>
    <x v="1"/>
    <s v="Storage"/>
    <x v="9"/>
    <n v="1"/>
    <n v="522.28"/>
    <n v="0.05"/>
    <n v="496.17"/>
    <n v="235.86"/>
    <n v="260.31"/>
    <x v="0"/>
    <n v="0.524638732692424"/>
    <x v="1"/>
    <x v="2"/>
    <x v="2"/>
    <s v="Q1"/>
  </r>
  <r>
    <s v="ORD101458"/>
    <x v="421"/>
    <s v="CUST1232"/>
    <s v="Priya Verma"/>
    <x v="2"/>
    <s v="Karnataka"/>
    <s v="Mangaluru"/>
    <x v="2"/>
    <s v="Office"/>
    <x v="14"/>
    <n v="1"/>
    <n v="8754.82"/>
    <n v="0.1"/>
    <n v="7879.34"/>
    <n v="6073.82"/>
    <n v="1805.52"/>
    <x v="1"/>
    <n v="0.2291460959928116"/>
    <x v="1"/>
    <x v="2"/>
    <x v="2"/>
    <s v="Q1"/>
  </r>
  <r>
    <s v="ORD102287"/>
    <x v="422"/>
    <s v="CUST1113"/>
    <s v="Aditya Kumar"/>
    <x v="2"/>
    <s v="Telangana"/>
    <s v="Karimnagar"/>
    <x v="2"/>
    <s v="Living Room"/>
    <x v="16"/>
    <n v="1"/>
    <n v="4124.83"/>
    <n v="0.15"/>
    <n v="3506.11"/>
    <n v="2628.26"/>
    <n v="877.85"/>
    <x v="0"/>
    <n v="0.25037719866176472"/>
    <x v="1"/>
    <x v="2"/>
    <x v="2"/>
    <s v="Q1"/>
  </r>
  <r>
    <s v="ORD102012"/>
    <x v="422"/>
    <s v="CUST1630"/>
    <s v="Ishaan Singh"/>
    <x v="1"/>
    <s v="Delhi"/>
    <s v="New Delhi"/>
    <x v="3"/>
    <s v="Kitchen"/>
    <x v="7"/>
    <n v="3"/>
    <n v="1803.63"/>
    <n v="0.05"/>
    <n v="5140.3500000000004"/>
    <n v="3006.06"/>
    <n v="2134.29"/>
    <x v="1"/>
    <n v="0.41520324491522947"/>
    <x v="1"/>
    <x v="2"/>
    <x v="2"/>
    <s v="Q1"/>
  </r>
  <r>
    <s v="ORD101250"/>
    <x v="423"/>
    <s v="CUST1590"/>
    <s v="Vikram Naidu"/>
    <x v="2"/>
    <s v="Tamil Nadu"/>
    <s v="Chennai"/>
    <x v="1"/>
    <s v="Storage"/>
    <x v="9"/>
    <n v="6"/>
    <n v="498.17"/>
    <n v="0.15"/>
    <n v="2540.67"/>
    <n v="1338.68"/>
    <n v="1201.99"/>
    <x v="2"/>
    <n v="0.47309961545576562"/>
    <x v="1"/>
    <x v="2"/>
    <x v="2"/>
    <s v="Q1"/>
  </r>
  <r>
    <s v="ORD100873"/>
    <x v="423"/>
    <s v="CUST1460"/>
    <s v="Sneha Patel"/>
    <x v="1"/>
    <s v="Delhi"/>
    <s v="New Delhi"/>
    <x v="0"/>
    <s v="Audio"/>
    <x v="11"/>
    <n v="3"/>
    <n v="1928.5"/>
    <n v="0.15"/>
    <n v="4917.68"/>
    <n v="3456.97"/>
    <n v="1460.71"/>
    <x v="0"/>
    <n v="0.29703234045322191"/>
    <x v="1"/>
    <x v="2"/>
    <x v="2"/>
    <s v="Q1"/>
  </r>
  <r>
    <s v="ORD100787"/>
    <x v="423"/>
    <s v="CUST1522"/>
    <s v="Sanjana Rao"/>
    <x v="2"/>
    <s v="Telangana"/>
    <s v="Karimnagar"/>
    <x v="2"/>
    <s v="Living Room"/>
    <x v="4"/>
    <n v="4"/>
    <n v="4910.7"/>
    <n v="0.05"/>
    <n v="18660.66"/>
    <n v="12405.92"/>
    <n v="6254.74"/>
    <x v="2"/>
    <n v="0.33518321431289139"/>
    <x v="1"/>
    <x v="2"/>
    <x v="2"/>
    <s v="Q1"/>
  </r>
  <r>
    <s v="ORD100434"/>
    <x v="423"/>
    <s v="CUST1227"/>
    <s v="Priya Malhotra"/>
    <x v="2"/>
    <s v="Telangana"/>
    <s v="Hyderabad"/>
    <x v="0"/>
    <s v="Audio"/>
    <x v="8"/>
    <n v="2"/>
    <n v="2885.45"/>
    <n v="0.1"/>
    <n v="5193.8100000000004"/>
    <n v="2903.53"/>
    <n v="2290.2800000000002"/>
    <x v="1"/>
    <n v="0.4409633775590559"/>
    <x v="1"/>
    <x v="2"/>
    <x v="2"/>
    <s v="Q1"/>
  </r>
  <r>
    <s v="ORD100631"/>
    <x v="424"/>
    <s v="CUST1021"/>
    <s v="Arjun Joshi"/>
    <x v="2"/>
    <s v="Karnataka"/>
    <s v="Hubballi"/>
    <x v="1"/>
    <s v="Stationery"/>
    <x v="1"/>
    <n v="2"/>
    <n v="258.52999999999997"/>
    <n v="0.05"/>
    <n v="491.21"/>
    <n v="198.76"/>
    <n v="292.45"/>
    <x v="3"/>
    <n v="0.59536654384071985"/>
    <x v="1"/>
    <x v="2"/>
    <x v="2"/>
    <s v="Q1"/>
  </r>
  <r>
    <s v="ORD101520"/>
    <x v="424"/>
    <s v="CUST1545"/>
    <s v="Sanjana Singh"/>
    <x v="0"/>
    <s v="Maharashtra"/>
    <s v="Nashik"/>
    <x v="0"/>
    <s v="Computers"/>
    <x v="3"/>
    <n v="5"/>
    <n v="16832.669999999998"/>
    <n v="0"/>
    <n v="84163.35"/>
    <n v="63141.74"/>
    <n v="21021.61"/>
    <x v="1"/>
    <n v="0.24977154545297919"/>
    <x v="1"/>
    <x v="2"/>
    <x v="2"/>
    <s v="Q1"/>
  </r>
  <r>
    <s v="ORD100633"/>
    <x v="425"/>
    <s v="CUST1106"/>
    <s v="Ishaan Naidu"/>
    <x v="1"/>
    <s v="Delhi"/>
    <s v="New Delhi"/>
    <x v="1"/>
    <s v="Stationery"/>
    <x v="17"/>
    <n v="3"/>
    <n v="290.23"/>
    <n v="0.1"/>
    <n v="783.62"/>
    <n v="372.17"/>
    <n v="411.45"/>
    <x v="0"/>
    <n v="0.52506316837242539"/>
    <x v="1"/>
    <x v="2"/>
    <x v="2"/>
    <s v="Q1"/>
  </r>
  <r>
    <s v="ORD101087"/>
    <x v="425"/>
    <s v="CUST1143"/>
    <s v="Meera Reddy"/>
    <x v="0"/>
    <s v="Maharashtra"/>
    <s v="Nashik"/>
    <x v="3"/>
    <s v="Kitchen"/>
    <x v="13"/>
    <n v="5"/>
    <n v="3221.85"/>
    <n v="0"/>
    <n v="16109.25"/>
    <n v="9079.91"/>
    <n v="7029.34"/>
    <x v="3"/>
    <n v="0.43635426851032788"/>
    <x v="1"/>
    <x v="2"/>
    <x v="2"/>
    <s v="Q1"/>
  </r>
  <r>
    <s v="ORD101410"/>
    <x v="425"/>
    <s v="CUST1294"/>
    <s v="Aarav Kumar"/>
    <x v="2"/>
    <s v="Karnataka"/>
    <s v="Hubballi"/>
    <x v="2"/>
    <s v="Living Room"/>
    <x v="4"/>
    <n v="1"/>
    <n v="5009.28"/>
    <n v="0.15"/>
    <n v="4257.8900000000003"/>
    <n v="2990.48"/>
    <n v="1267.4100000000001"/>
    <x v="0"/>
    <n v="0.29766151779402472"/>
    <x v="1"/>
    <x v="2"/>
    <x v="2"/>
    <s v="Q1"/>
  </r>
  <r>
    <s v="ORD100259"/>
    <x v="426"/>
    <s v="CUST1046"/>
    <s v="Meera Rao"/>
    <x v="2"/>
    <s v="Karnataka"/>
    <s v="Bengaluru"/>
    <x v="2"/>
    <s v="Office"/>
    <x v="14"/>
    <n v="4"/>
    <n v="8511.49"/>
    <n v="0"/>
    <n v="34045.96"/>
    <n v="22704.080000000002"/>
    <n v="11341.88"/>
    <x v="3"/>
    <n v="0.33313438657626337"/>
    <x v="1"/>
    <x v="2"/>
    <x v="2"/>
    <s v="Q1"/>
  </r>
  <r>
    <s v="ORD102468"/>
    <x v="426"/>
    <s v="CUST1518"/>
    <s v="Meera Reddy"/>
    <x v="2"/>
    <s v="Karnataka"/>
    <s v="Mysuru"/>
    <x v="3"/>
    <s v="Cleaning"/>
    <x v="12"/>
    <n v="2"/>
    <n v="12805.21"/>
    <n v="0.1"/>
    <n v="23049.38"/>
    <n v="19159.2"/>
    <n v="3890.18"/>
    <x v="2"/>
    <n v="0.16877590633674311"/>
    <x v="1"/>
    <x v="2"/>
    <x v="2"/>
    <s v="Q1"/>
  </r>
  <r>
    <s v="ORD100594"/>
    <x v="426"/>
    <s v="CUST1150"/>
    <s v="Nikhil Joshi"/>
    <x v="1"/>
    <s v="Delhi"/>
    <s v="New Delhi"/>
    <x v="0"/>
    <s v="Audio"/>
    <x v="11"/>
    <n v="2"/>
    <n v="1938.02"/>
    <n v="0.05"/>
    <n v="3682.24"/>
    <n v="2337.83"/>
    <n v="1344.41"/>
    <x v="0"/>
    <n v="0.36510656556878418"/>
    <x v="1"/>
    <x v="2"/>
    <x v="2"/>
    <s v="Q1"/>
  </r>
  <r>
    <s v="ORD101700"/>
    <x v="427"/>
    <s v="CUST1446"/>
    <s v="Ishaan Iyer"/>
    <x v="2"/>
    <s v="Karnataka"/>
    <s v="Bengaluru"/>
    <x v="0"/>
    <s v="Audio"/>
    <x v="11"/>
    <n v="1"/>
    <n v="1959.84"/>
    <n v="0.1"/>
    <n v="1763.86"/>
    <n v="1155.24"/>
    <n v="608.62"/>
    <x v="1"/>
    <n v="0.3450500606624109"/>
    <x v="1"/>
    <x v="2"/>
    <x v="2"/>
    <s v="Q1"/>
  </r>
  <r>
    <s v="ORD100653"/>
    <x v="427"/>
    <s v="CUST1499"/>
    <s v="Meera Kumar"/>
    <x v="2"/>
    <s v="Telangana"/>
    <s v="Nizamabad"/>
    <x v="2"/>
    <s v="Office"/>
    <x v="10"/>
    <n v="2"/>
    <n v="7395.07"/>
    <n v="0.05"/>
    <n v="14050.63"/>
    <n v="9557.82"/>
    <n v="4492.8100000000004"/>
    <x v="0"/>
    <n v="0.31975861580583942"/>
    <x v="1"/>
    <x v="2"/>
    <x v="2"/>
    <s v="Q1"/>
  </r>
  <r>
    <s v="ORD102305"/>
    <x v="427"/>
    <s v="CUST1231"/>
    <s v="Aarav Gupta"/>
    <x v="2"/>
    <s v="Tamil Nadu"/>
    <s v="Coimbatore"/>
    <x v="2"/>
    <s v="Office"/>
    <x v="14"/>
    <n v="1"/>
    <n v="8312.51"/>
    <n v="0.05"/>
    <n v="7896.88"/>
    <n v="5629.48"/>
    <n v="2267.4"/>
    <x v="0"/>
    <n v="0.28712605484697762"/>
    <x v="1"/>
    <x v="2"/>
    <x v="2"/>
    <s v="Q1"/>
  </r>
  <r>
    <s v="ORD102028"/>
    <x v="428"/>
    <s v="CUST1046"/>
    <s v="Meera Das"/>
    <x v="3"/>
    <s v="West Bengal"/>
    <s v="Durgapur"/>
    <x v="0"/>
    <s v="Audio"/>
    <x v="8"/>
    <n v="5"/>
    <n v="3087.25"/>
    <n v="0.15"/>
    <n v="13120.81"/>
    <n v="8037.71"/>
    <n v="5083.1000000000004"/>
    <x v="2"/>
    <n v="0.38740748475132258"/>
    <x v="1"/>
    <x v="2"/>
    <x v="2"/>
    <s v="Q1"/>
  </r>
  <r>
    <s v="ORD101376"/>
    <x v="428"/>
    <s v="CUST1171"/>
    <s v="Diya Singh"/>
    <x v="2"/>
    <s v="Karnataka"/>
    <s v="Mysuru"/>
    <x v="1"/>
    <s v="Stationery"/>
    <x v="17"/>
    <n v="3"/>
    <n v="307.83999999999997"/>
    <n v="0.05"/>
    <n v="877.34"/>
    <n v="378.57"/>
    <n v="498.77"/>
    <x v="4"/>
    <n v="0.56850251897781923"/>
    <x v="1"/>
    <x v="2"/>
    <x v="2"/>
    <s v="Q1"/>
  </r>
  <r>
    <s v="ORD101566"/>
    <x v="428"/>
    <s v="CUST1099"/>
    <s v="Neha Singh"/>
    <x v="3"/>
    <s v="West Bengal"/>
    <s v="Kolkata"/>
    <x v="3"/>
    <s v="Cleaning"/>
    <x v="15"/>
    <n v="3"/>
    <n v="7898.05"/>
    <n v="0.05"/>
    <n v="22509.439999999999"/>
    <n v="15000.59"/>
    <n v="7508.85"/>
    <x v="2"/>
    <n v="0.33358670850985189"/>
    <x v="1"/>
    <x v="2"/>
    <x v="2"/>
    <s v="Q1"/>
  </r>
  <r>
    <s v="ORD102185"/>
    <x v="428"/>
    <s v="CUST1622"/>
    <s v="Pooja Singh"/>
    <x v="2"/>
    <s v="Telangana"/>
    <s v="Nizamabad"/>
    <x v="3"/>
    <s v="Kitchen"/>
    <x v="13"/>
    <n v="3"/>
    <n v="3422.15"/>
    <n v="0.05"/>
    <n v="9753.1299999999992"/>
    <n v="5846.01"/>
    <n v="3907.12"/>
    <x v="2"/>
    <n v="0.40060165300780359"/>
    <x v="1"/>
    <x v="2"/>
    <x v="2"/>
    <s v="Q1"/>
  </r>
  <r>
    <s v="ORD101680"/>
    <x v="428"/>
    <s v="CUST1114"/>
    <s v="Aisha Iyer"/>
    <x v="3"/>
    <s v="West Bengal"/>
    <s v="Durgapur"/>
    <x v="3"/>
    <s v="Kitchen"/>
    <x v="7"/>
    <n v="6"/>
    <n v="1845.83"/>
    <n v="0.05"/>
    <n v="10521.23"/>
    <n v="6070.47"/>
    <n v="4450.76"/>
    <x v="2"/>
    <n v="0.42302658529468518"/>
    <x v="1"/>
    <x v="2"/>
    <x v="2"/>
    <s v="Q1"/>
  </r>
  <r>
    <s v="ORD101503"/>
    <x v="429"/>
    <s v="CUST1162"/>
    <s v="Aarav Singh"/>
    <x v="0"/>
    <s v="Maharashtra"/>
    <s v="Pune"/>
    <x v="0"/>
    <s v="Computers"/>
    <x v="3"/>
    <n v="1"/>
    <n v="15556.68"/>
    <n v="0.1"/>
    <n v="14001.01"/>
    <n v="11849.91"/>
    <n v="2151.1"/>
    <x v="0"/>
    <n v="0.15363891604962779"/>
    <x v="1"/>
    <x v="2"/>
    <x v="2"/>
    <s v="Q1"/>
  </r>
  <r>
    <s v="ORD102186"/>
    <x v="429"/>
    <s v="CUST1592"/>
    <s v="Rohan Rao"/>
    <x v="0"/>
    <s v="Maharashtra"/>
    <s v="Nashik"/>
    <x v="1"/>
    <s v="Storage"/>
    <x v="9"/>
    <n v="3"/>
    <n v="507.9"/>
    <n v="0.1"/>
    <n v="1371.33"/>
    <n v="662.95"/>
    <n v="708.38"/>
    <x v="0"/>
    <n v="0.51656421138602671"/>
    <x v="1"/>
    <x v="2"/>
    <x v="2"/>
    <s v="Q1"/>
  </r>
  <r>
    <s v="ORD102286"/>
    <x v="429"/>
    <s v="CUST1248"/>
    <s v="Meera Malhotra"/>
    <x v="1"/>
    <s v="Delhi"/>
    <s v="Delhi"/>
    <x v="3"/>
    <s v="Cleaning"/>
    <x v="12"/>
    <n v="2"/>
    <n v="13467.07"/>
    <n v="0"/>
    <n v="26934.14"/>
    <n v="19599.59"/>
    <n v="7334.55"/>
    <x v="0"/>
    <n v="0.27231424504365093"/>
    <x v="1"/>
    <x v="2"/>
    <x v="2"/>
    <s v="Q1"/>
  </r>
  <r>
    <s v="ORD101630"/>
    <x v="429"/>
    <s v="CUST1175"/>
    <s v="Kiran Rao"/>
    <x v="2"/>
    <s v="Telangana"/>
    <s v="Karimnagar"/>
    <x v="0"/>
    <s v="Audio"/>
    <x v="8"/>
    <n v="4"/>
    <n v="2996.12"/>
    <n v="0.05"/>
    <n v="11385.26"/>
    <n v="6225.58"/>
    <n v="5159.68"/>
    <x v="0"/>
    <n v="0.45318947481216942"/>
    <x v="1"/>
    <x v="2"/>
    <x v="2"/>
    <s v="Q1"/>
  </r>
  <r>
    <s v="ORD100090"/>
    <x v="430"/>
    <s v="CUST1031"/>
    <s v="Rahul Kumar"/>
    <x v="2"/>
    <s v="Karnataka"/>
    <s v="Bengaluru"/>
    <x v="3"/>
    <s v="Cleaning"/>
    <x v="15"/>
    <n v="1"/>
    <n v="7689.38"/>
    <n v="0.1"/>
    <n v="6920.44"/>
    <n v="4858.33"/>
    <n v="2062.11"/>
    <x v="3"/>
    <n v="0.29797382825369489"/>
    <x v="1"/>
    <x v="2"/>
    <x v="2"/>
    <s v="Q1"/>
  </r>
  <r>
    <s v="ORD100093"/>
    <x v="430"/>
    <s v="CUST1357"/>
    <s v="Pooja Reddy"/>
    <x v="0"/>
    <s v="Maharashtra"/>
    <s v="Pune"/>
    <x v="3"/>
    <s v="Cleaning"/>
    <x v="12"/>
    <n v="6"/>
    <n v="13487.49"/>
    <n v="0.05"/>
    <n v="76878.69"/>
    <n v="57419.46"/>
    <n v="19459.23"/>
    <x v="0"/>
    <n v="0.2531160455517647"/>
    <x v="1"/>
    <x v="2"/>
    <x v="2"/>
    <s v="Q1"/>
  </r>
  <r>
    <s v="ORD101216"/>
    <x v="430"/>
    <s v="CUST1005"/>
    <s v="Sneha Kumar"/>
    <x v="2"/>
    <s v="Karnataka"/>
    <s v="Mysuru"/>
    <x v="2"/>
    <s v="Office"/>
    <x v="14"/>
    <n v="5"/>
    <n v="8851.0499999999993"/>
    <n v="0.05"/>
    <n v="42042.49"/>
    <n v="30227.46"/>
    <n v="11815.03"/>
    <x v="3"/>
    <n v="0.28102593352582123"/>
    <x v="1"/>
    <x v="2"/>
    <x v="2"/>
    <s v="Q1"/>
  </r>
  <r>
    <s v="ORD100959"/>
    <x v="431"/>
    <s v="CUST1583"/>
    <s v="Arjun Naidu"/>
    <x v="1"/>
    <s v="Delhi"/>
    <s v="New Delhi"/>
    <x v="1"/>
    <s v="Storage"/>
    <x v="2"/>
    <n v="3"/>
    <n v="674.37"/>
    <n v="0.05"/>
    <n v="1921.95"/>
    <n v="975.69"/>
    <n v="946.26"/>
    <x v="2"/>
    <n v="0.49234371341606181"/>
    <x v="1"/>
    <x v="2"/>
    <x v="2"/>
    <s v="Q1"/>
  </r>
  <r>
    <s v="ORD102098"/>
    <x v="431"/>
    <s v="CUST1445"/>
    <s v="Arjun Kumar"/>
    <x v="3"/>
    <s v="West Bengal"/>
    <s v="Durgapur"/>
    <x v="3"/>
    <s v="Cleaning"/>
    <x v="15"/>
    <n v="1"/>
    <n v="7499.37"/>
    <n v="0.05"/>
    <n v="7124.4"/>
    <n v="4835.82"/>
    <n v="2288.58"/>
    <x v="2"/>
    <n v="0.32123126157992249"/>
    <x v="1"/>
    <x v="2"/>
    <x v="2"/>
    <s v="Q1"/>
  </r>
  <r>
    <s v="ORD102161"/>
    <x v="431"/>
    <s v="CUST1424"/>
    <s v="Aisha Rao"/>
    <x v="2"/>
    <s v="Tamil Nadu"/>
    <s v="Madurai"/>
    <x v="2"/>
    <s v="Office"/>
    <x v="10"/>
    <n v="1"/>
    <n v="6701.53"/>
    <n v="0.1"/>
    <n v="6031.38"/>
    <n v="4246.8500000000004"/>
    <n v="1784.53"/>
    <x v="0"/>
    <n v="0.29587424436861881"/>
    <x v="1"/>
    <x v="2"/>
    <x v="2"/>
    <s v="Q1"/>
  </r>
  <r>
    <s v="ORD102073"/>
    <x v="431"/>
    <s v="CUST1494"/>
    <s v="Varun Sharma"/>
    <x v="2"/>
    <s v="Tamil Nadu"/>
    <s v="Coimbatore"/>
    <x v="2"/>
    <s v="Office"/>
    <x v="14"/>
    <n v="2"/>
    <n v="8925.82"/>
    <n v="0.1"/>
    <n v="16066.48"/>
    <n v="11891.03"/>
    <n v="4175.45"/>
    <x v="0"/>
    <n v="0.25988579950306478"/>
    <x v="1"/>
    <x v="2"/>
    <x v="2"/>
    <s v="Q1"/>
  </r>
  <r>
    <s v="ORD102401"/>
    <x v="432"/>
    <s v="CUST1451"/>
    <s v="Neha Patel"/>
    <x v="0"/>
    <s v="Maharashtra"/>
    <s v="Mumbai"/>
    <x v="0"/>
    <s v="Audio"/>
    <x v="8"/>
    <n v="1"/>
    <n v="2927.23"/>
    <n v="0.05"/>
    <n v="2780.87"/>
    <n v="1572.77"/>
    <n v="1208.0999999999999"/>
    <x v="1"/>
    <n v="0.43443238986360377"/>
    <x v="1"/>
    <x v="2"/>
    <x v="2"/>
    <s v="Q1"/>
  </r>
  <r>
    <s v="ORD102425"/>
    <x v="432"/>
    <s v="CUST1457"/>
    <s v="Aditya Gupta"/>
    <x v="3"/>
    <s v="West Bengal"/>
    <s v="Durgapur"/>
    <x v="0"/>
    <s v="Computers"/>
    <x v="0"/>
    <n v="2"/>
    <n v="55926.38"/>
    <n v="0.05"/>
    <n v="106260.12"/>
    <n v="101935.54"/>
    <n v="4324.58"/>
    <x v="0"/>
    <n v="4.0698053041912617E-2"/>
    <x v="1"/>
    <x v="2"/>
    <x v="2"/>
    <s v="Q1"/>
  </r>
  <r>
    <s v="ORD100190"/>
    <x v="433"/>
    <s v="CUST1502"/>
    <s v="Neha Rao"/>
    <x v="2"/>
    <s v="Karnataka"/>
    <s v="Mangaluru"/>
    <x v="0"/>
    <s v="Computers"/>
    <x v="0"/>
    <n v="2"/>
    <n v="57250.52"/>
    <n v="0.05"/>
    <n v="108775.99"/>
    <n v="102984.03"/>
    <n v="5791.96"/>
    <x v="4"/>
    <n v="5.3246676955089077E-2"/>
    <x v="1"/>
    <x v="2"/>
    <x v="2"/>
    <s v="Q1"/>
  </r>
  <r>
    <s v="ORD102156"/>
    <x v="433"/>
    <s v="CUST1283"/>
    <s v="Priya Rao"/>
    <x v="2"/>
    <s v="Telangana"/>
    <s v="Karimnagar"/>
    <x v="2"/>
    <s v="Office"/>
    <x v="14"/>
    <n v="1"/>
    <n v="8600.7900000000009"/>
    <n v="0.15"/>
    <n v="7310.67"/>
    <n v="5997.04"/>
    <n v="1313.63"/>
    <x v="1"/>
    <n v="0.17968667714450251"/>
    <x v="1"/>
    <x v="2"/>
    <x v="2"/>
    <s v="Q1"/>
  </r>
  <r>
    <s v="ORD101777"/>
    <x v="433"/>
    <s v="CUST1321"/>
    <s v="Kiran Verma"/>
    <x v="3"/>
    <s v="West Bengal"/>
    <s v="Siliguri"/>
    <x v="3"/>
    <s v="Cleaning"/>
    <x v="15"/>
    <n v="4"/>
    <n v="7618.45"/>
    <n v="0.05"/>
    <n v="28950.11"/>
    <n v="19634.3"/>
    <n v="9315.81"/>
    <x v="2"/>
    <n v="0.32178841462087698"/>
    <x v="1"/>
    <x v="2"/>
    <x v="2"/>
    <s v="Q1"/>
  </r>
  <r>
    <s v="ORD101748"/>
    <x v="433"/>
    <s v="CUST1398"/>
    <s v="Pooja Iyer"/>
    <x v="2"/>
    <s v="Karnataka"/>
    <s v="Hubballi"/>
    <x v="1"/>
    <s v="Stationery"/>
    <x v="17"/>
    <n v="3"/>
    <n v="290.97000000000003"/>
    <n v="0.1"/>
    <n v="785.62"/>
    <n v="377.02"/>
    <n v="408.6"/>
    <x v="0"/>
    <n v="0.5200987754894224"/>
    <x v="1"/>
    <x v="2"/>
    <x v="2"/>
    <s v="Q1"/>
  </r>
  <r>
    <s v="ORD100453"/>
    <x v="433"/>
    <s v="CUST1336"/>
    <s v="Ishaan Reddy"/>
    <x v="0"/>
    <s v="Maharashtra"/>
    <s v="Nagpur"/>
    <x v="0"/>
    <s v="Accessories"/>
    <x v="5"/>
    <n v="6"/>
    <n v="2568.67"/>
    <n v="0.1"/>
    <n v="13870.82"/>
    <n v="8615.93"/>
    <n v="5254.89"/>
    <x v="2"/>
    <n v="0.37884494211589509"/>
    <x v="1"/>
    <x v="2"/>
    <x v="2"/>
    <s v="Q1"/>
  </r>
  <r>
    <s v="ORD101853"/>
    <x v="434"/>
    <s v="CUST1183"/>
    <s v="Vikram Rao"/>
    <x v="0"/>
    <s v="Maharashtra"/>
    <s v="Nashik"/>
    <x v="3"/>
    <s v="Cleaning"/>
    <x v="15"/>
    <n v="1"/>
    <n v="7528.01"/>
    <n v="0"/>
    <n v="7528.01"/>
    <n v="4969.3599999999997"/>
    <n v="2558.65"/>
    <x v="0"/>
    <n v="0.33988397996283221"/>
    <x v="1"/>
    <x v="2"/>
    <x v="2"/>
    <s v="Q1"/>
  </r>
  <r>
    <s v="ORD100363"/>
    <x v="434"/>
    <s v="CUST1197"/>
    <s v="Pooja Joshi"/>
    <x v="2"/>
    <s v="Telangana"/>
    <s v="Nizamabad"/>
    <x v="0"/>
    <s v="Accessories"/>
    <x v="5"/>
    <n v="1"/>
    <n v="2383.2199999999998"/>
    <n v="0.05"/>
    <n v="2264.06"/>
    <n v="1327.48"/>
    <n v="936.58"/>
    <x v="0"/>
    <n v="0.41367278252343143"/>
    <x v="1"/>
    <x v="2"/>
    <x v="2"/>
    <s v="Q1"/>
  </r>
  <r>
    <s v="ORD100330"/>
    <x v="434"/>
    <s v="CUST1040"/>
    <s v="Sneha Naidu"/>
    <x v="0"/>
    <s v="Maharashtra"/>
    <s v="Nashik"/>
    <x v="2"/>
    <s v="Office"/>
    <x v="14"/>
    <n v="3"/>
    <n v="9007.1299999999992"/>
    <n v="0.15"/>
    <n v="22968.18"/>
    <n v="18363.47"/>
    <n v="4604.71"/>
    <x v="0"/>
    <n v="0.20048214529840849"/>
    <x v="1"/>
    <x v="2"/>
    <x v="2"/>
    <s v="Q1"/>
  </r>
  <r>
    <s v="ORD102010"/>
    <x v="435"/>
    <s v="CUST1276"/>
    <s v="Aditya Malhotra"/>
    <x v="0"/>
    <s v="Maharashtra"/>
    <s v="Nashik"/>
    <x v="3"/>
    <s v="Kitchen"/>
    <x v="13"/>
    <n v="4"/>
    <n v="3417.14"/>
    <n v="0.05"/>
    <n v="12985.13"/>
    <n v="7704.71"/>
    <n v="5280.42"/>
    <x v="4"/>
    <n v="0.40665130037204089"/>
    <x v="1"/>
    <x v="2"/>
    <x v="2"/>
    <s v="Q1"/>
  </r>
  <r>
    <s v="ORD102056"/>
    <x v="435"/>
    <s v="CUST1403"/>
    <s v="Pooja Verma"/>
    <x v="2"/>
    <s v="Telangana"/>
    <s v="Hyderabad"/>
    <x v="3"/>
    <s v="Kitchen"/>
    <x v="13"/>
    <n v="1"/>
    <n v="3218.04"/>
    <n v="0.2"/>
    <n v="2574.4299999999998"/>
    <n v="1852.88"/>
    <n v="721.55"/>
    <x v="1"/>
    <n v="0.28027563382962439"/>
    <x v="1"/>
    <x v="2"/>
    <x v="2"/>
    <s v="Q1"/>
  </r>
  <r>
    <s v="ORD100057"/>
    <x v="435"/>
    <s v="CUST1617"/>
    <s v="Neha Iyer"/>
    <x v="0"/>
    <s v="Maharashtra"/>
    <s v="Pune"/>
    <x v="3"/>
    <s v="Kitchen"/>
    <x v="13"/>
    <n v="3"/>
    <n v="3262.89"/>
    <n v="0.05"/>
    <n v="9299.24"/>
    <n v="5453.5"/>
    <n v="3845.74"/>
    <x v="0"/>
    <n v="0.41355422593674318"/>
    <x v="1"/>
    <x v="2"/>
    <x v="2"/>
    <s v="Q1"/>
  </r>
  <r>
    <s v="ORD100729"/>
    <x v="435"/>
    <s v="CUST1501"/>
    <s v="Aarav Reddy"/>
    <x v="1"/>
    <s v="Delhi"/>
    <s v="Delhi"/>
    <x v="3"/>
    <s v="Kitchen"/>
    <x v="13"/>
    <n v="4"/>
    <n v="3178.19"/>
    <n v="0"/>
    <n v="12712.76"/>
    <n v="7238.14"/>
    <n v="5474.62"/>
    <x v="1"/>
    <n v="0.4306397666596396"/>
    <x v="1"/>
    <x v="2"/>
    <x v="2"/>
    <s v="Q1"/>
  </r>
  <r>
    <s v="ORD101335"/>
    <x v="436"/>
    <s v="CUST1538"/>
    <s v="Vikram Sharma"/>
    <x v="3"/>
    <s v="West Bengal"/>
    <s v="Kolkata"/>
    <x v="2"/>
    <s v="Living Room"/>
    <x v="4"/>
    <n v="1"/>
    <n v="4816.46"/>
    <n v="0.05"/>
    <n v="4575.6400000000003"/>
    <n v="2984.27"/>
    <n v="1591.37"/>
    <x v="0"/>
    <n v="0.34779178431869628"/>
    <x v="1"/>
    <x v="2"/>
    <x v="2"/>
    <s v="Q1"/>
  </r>
  <r>
    <s v="ORD101720"/>
    <x v="436"/>
    <s v="CUST1463"/>
    <s v="Vikram Gupta"/>
    <x v="2"/>
    <s v="Telangana"/>
    <s v="Nizamabad"/>
    <x v="2"/>
    <s v="Office"/>
    <x v="14"/>
    <n v="2"/>
    <n v="8035.03"/>
    <n v="0.15"/>
    <n v="13659.55"/>
    <n v="10804.76"/>
    <n v="2854.79"/>
    <x v="0"/>
    <n v="0.2089959039646255"/>
    <x v="1"/>
    <x v="2"/>
    <x v="2"/>
    <s v="Q1"/>
  </r>
  <r>
    <s v="ORD101733"/>
    <x v="436"/>
    <s v="CUST1509"/>
    <s v="Varun Sharma"/>
    <x v="2"/>
    <s v="Karnataka"/>
    <s v="Mangaluru"/>
    <x v="3"/>
    <s v="Kitchen"/>
    <x v="7"/>
    <n v="1"/>
    <n v="1805.93"/>
    <n v="0.1"/>
    <n v="1625.34"/>
    <n v="944.93"/>
    <n v="680.41"/>
    <x v="1"/>
    <n v="0.41862625666014502"/>
    <x v="1"/>
    <x v="2"/>
    <x v="2"/>
    <s v="Q1"/>
  </r>
  <r>
    <s v="ORD102427"/>
    <x v="436"/>
    <s v="CUST1635"/>
    <s v="Aisha Das"/>
    <x v="2"/>
    <s v="Karnataka"/>
    <s v="Mangaluru"/>
    <x v="0"/>
    <s v="Accessories"/>
    <x v="6"/>
    <n v="3"/>
    <n v="753.63"/>
    <n v="0.1"/>
    <n v="2034.8"/>
    <n v="1354.21"/>
    <n v="680.59"/>
    <x v="3"/>
    <n v="0.33447513269117363"/>
    <x v="1"/>
    <x v="2"/>
    <x v="2"/>
    <s v="Q1"/>
  </r>
  <r>
    <s v="ORD101975"/>
    <x v="436"/>
    <s v="CUST1314"/>
    <s v="Neha Verma"/>
    <x v="1"/>
    <s v="Delhi"/>
    <s v="New Delhi"/>
    <x v="2"/>
    <s v="Office"/>
    <x v="14"/>
    <n v="4"/>
    <n v="8152.2"/>
    <n v="0"/>
    <n v="32608.799999999999"/>
    <n v="22205.9"/>
    <n v="10402.9"/>
    <x v="0"/>
    <n v="0.31902124579868008"/>
    <x v="1"/>
    <x v="2"/>
    <x v="2"/>
    <s v="Q1"/>
  </r>
  <r>
    <s v="ORD101638"/>
    <x v="437"/>
    <s v="CUST1492"/>
    <s v="Rohan Verma"/>
    <x v="2"/>
    <s v="Telangana"/>
    <s v="Warangal"/>
    <x v="1"/>
    <s v="Stationery"/>
    <x v="1"/>
    <n v="1"/>
    <n v="243.96"/>
    <n v="0.1"/>
    <n v="219.56"/>
    <n v="96.06"/>
    <n v="123.5"/>
    <x v="2"/>
    <n v="0.56248861359081803"/>
    <x v="1"/>
    <x v="2"/>
    <x v="2"/>
    <s v="Q1"/>
  </r>
  <r>
    <s v="ORD100315"/>
    <x v="437"/>
    <s v="CUST1148"/>
    <s v="Vikram Reddy"/>
    <x v="2"/>
    <s v="Tamil Nadu"/>
    <s v="Coimbatore"/>
    <x v="0"/>
    <s v="Computers"/>
    <x v="3"/>
    <n v="2"/>
    <n v="15945.01"/>
    <n v="0.05"/>
    <n v="30295.52"/>
    <n v="24074.41"/>
    <n v="6221.11"/>
    <x v="4"/>
    <n v="0.20534752333018211"/>
    <x v="1"/>
    <x v="2"/>
    <x v="2"/>
    <s v="Q1"/>
  </r>
  <r>
    <s v="ORD102474"/>
    <x v="437"/>
    <s v="CUST1488"/>
    <s v="Rohan Naidu"/>
    <x v="2"/>
    <s v="Karnataka"/>
    <s v="Bengaluru"/>
    <x v="3"/>
    <s v="Cleaning"/>
    <x v="12"/>
    <n v="1"/>
    <n v="13041.05"/>
    <n v="0.1"/>
    <n v="11736.94"/>
    <n v="9322.42"/>
    <n v="2414.52"/>
    <x v="1"/>
    <n v="0.2057197191090693"/>
    <x v="1"/>
    <x v="2"/>
    <x v="2"/>
    <s v="Q1"/>
  </r>
  <r>
    <s v="ORD100589"/>
    <x v="437"/>
    <s v="CUST1611"/>
    <s v="Aarav Iyer"/>
    <x v="3"/>
    <s v="West Bengal"/>
    <s v="Durgapur"/>
    <x v="1"/>
    <s v="Stationery"/>
    <x v="17"/>
    <n v="1"/>
    <n v="308.57"/>
    <n v="0.1"/>
    <n v="277.70999999999998"/>
    <n v="126.14"/>
    <n v="151.57"/>
    <x v="1"/>
    <n v="0.54578517158186601"/>
    <x v="1"/>
    <x v="2"/>
    <x v="2"/>
    <s v="Q1"/>
  </r>
  <r>
    <s v="ORD101735"/>
    <x v="438"/>
    <s v="CUST1539"/>
    <s v="Nikhil Mehta"/>
    <x v="0"/>
    <s v="Maharashtra"/>
    <s v="Nashik"/>
    <x v="2"/>
    <s v="Office"/>
    <x v="10"/>
    <n v="2"/>
    <n v="7036.65"/>
    <n v="0.15"/>
    <n v="11962.3"/>
    <n v="9322.9"/>
    <n v="2639.4"/>
    <x v="2"/>
    <n v="0.2206431873469149"/>
    <x v="1"/>
    <x v="2"/>
    <x v="2"/>
    <s v="Q1"/>
  </r>
  <r>
    <s v="ORD100528"/>
    <x v="438"/>
    <s v="CUST1183"/>
    <s v="Rahul Mehta"/>
    <x v="1"/>
    <s v="Delhi"/>
    <s v="New Delhi"/>
    <x v="2"/>
    <s v="Living Room"/>
    <x v="4"/>
    <n v="3"/>
    <n v="4843.92"/>
    <n v="0.15"/>
    <n v="12352"/>
    <n v="9122.82"/>
    <n v="3229.18"/>
    <x v="0"/>
    <n v="0.26142972797927461"/>
    <x v="1"/>
    <x v="2"/>
    <x v="2"/>
    <s v="Q1"/>
  </r>
  <r>
    <s v="ORD101247"/>
    <x v="438"/>
    <s v="CUST1198"/>
    <s v="Sneha Reddy"/>
    <x v="2"/>
    <s v="Karnataka"/>
    <s v="Hubballi"/>
    <x v="2"/>
    <s v="Living Room"/>
    <x v="4"/>
    <n v="2"/>
    <n v="4972.01"/>
    <n v="0.15"/>
    <n v="8452.42"/>
    <n v="5933.76"/>
    <n v="2518.66"/>
    <x v="4"/>
    <n v="0.29798093327118153"/>
    <x v="1"/>
    <x v="2"/>
    <x v="2"/>
    <s v="Q1"/>
  </r>
  <r>
    <s v="ORD101987"/>
    <x v="439"/>
    <s v="CUST1009"/>
    <s v="Sanjana Malhotra"/>
    <x v="3"/>
    <s v="West Bengal"/>
    <s v="Kolkata"/>
    <x v="1"/>
    <s v="Storage"/>
    <x v="2"/>
    <n v="2"/>
    <n v="678.96"/>
    <n v="0.1"/>
    <n v="1222.1300000000001"/>
    <n v="647.74"/>
    <n v="574.39"/>
    <x v="1"/>
    <n v="0.46999091749650201"/>
    <x v="1"/>
    <x v="2"/>
    <x v="2"/>
    <s v="Q1"/>
  </r>
  <r>
    <s v="ORD102460"/>
    <x v="439"/>
    <s v="CUST1563"/>
    <s v="Meera Patel"/>
    <x v="0"/>
    <s v="Maharashtra"/>
    <s v="Nashik"/>
    <x v="0"/>
    <s v="Accessories"/>
    <x v="5"/>
    <n v="3"/>
    <n v="2365.41"/>
    <n v="0.05"/>
    <n v="6741.42"/>
    <n v="3997.58"/>
    <n v="2743.84"/>
    <x v="1"/>
    <n v="0.40701217250964927"/>
    <x v="1"/>
    <x v="2"/>
    <x v="2"/>
    <s v="Q1"/>
  </r>
  <r>
    <s v="ORD101274"/>
    <x v="439"/>
    <s v="CUST1449"/>
    <s v="Rahul Verma"/>
    <x v="2"/>
    <s v="Tamil Nadu"/>
    <s v="Salem"/>
    <x v="0"/>
    <s v="Accessories"/>
    <x v="5"/>
    <n v="1"/>
    <n v="2433.66"/>
    <n v="0.05"/>
    <n v="2311.98"/>
    <n v="1354.47"/>
    <n v="957.51"/>
    <x v="1"/>
    <n v="0.41415150650092131"/>
    <x v="1"/>
    <x v="2"/>
    <x v="2"/>
    <s v="Q1"/>
  </r>
  <r>
    <s v="ORD100484"/>
    <x v="439"/>
    <s v="CUST1539"/>
    <s v="Sanjana Mehta"/>
    <x v="3"/>
    <s v="West Bengal"/>
    <s v="Siliguri"/>
    <x v="1"/>
    <s v="Storage"/>
    <x v="9"/>
    <n v="3"/>
    <n v="500.11"/>
    <n v="0.15"/>
    <n v="1275.28"/>
    <n v="665.51"/>
    <n v="609.77"/>
    <x v="2"/>
    <n v="0.47814597578570978"/>
    <x v="1"/>
    <x v="2"/>
    <x v="2"/>
    <s v="Q1"/>
  </r>
  <r>
    <s v="ORD102072"/>
    <x v="440"/>
    <s v="CUST1269"/>
    <s v="Rohan Sharma"/>
    <x v="2"/>
    <s v="Karnataka"/>
    <s v="Hubballi"/>
    <x v="0"/>
    <s v="Accessories"/>
    <x v="5"/>
    <n v="2"/>
    <n v="2387.0700000000002"/>
    <n v="0.15"/>
    <n v="4058.02"/>
    <n v="2667.92"/>
    <n v="1390.1"/>
    <x v="2"/>
    <n v="0.34255622199989161"/>
    <x v="1"/>
    <x v="2"/>
    <x v="2"/>
    <s v="Q1"/>
  </r>
  <r>
    <s v="ORD100931"/>
    <x v="440"/>
    <s v="CUST1100"/>
    <s v="Ananya Das"/>
    <x v="2"/>
    <s v="Tamil Nadu"/>
    <s v="Chennai"/>
    <x v="2"/>
    <s v="Office"/>
    <x v="14"/>
    <n v="4"/>
    <n v="8358.43"/>
    <n v="0.1"/>
    <n v="30090.35"/>
    <n v="23616.61"/>
    <n v="6473.74"/>
    <x v="4"/>
    <n v="0.215143393147637"/>
    <x v="1"/>
    <x v="2"/>
    <x v="2"/>
    <s v="Q1"/>
  </r>
  <r>
    <s v="ORD102057"/>
    <x v="440"/>
    <s v="CUST1530"/>
    <s v="Diya Patel"/>
    <x v="1"/>
    <s v="Delhi"/>
    <s v="Delhi"/>
    <x v="0"/>
    <s v="Accessories"/>
    <x v="6"/>
    <n v="2"/>
    <n v="789.6"/>
    <n v="0.1"/>
    <n v="1421.28"/>
    <n v="945.49"/>
    <n v="475.79"/>
    <x v="3"/>
    <n v="0.33476162332545312"/>
    <x v="1"/>
    <x v="2"/>
    <x v="2"/>
    <s v="Q1"/>
  </r>
  <r>
    <s v="ORD100098"/>
    <x v="440"/>
    <s v="CUST1398"/>
    <s v="Diya Naidu"/>
    <x v="0"/>
    <s v="Maharashtra"/>
    <s v="Mumbai"/>
    <x v="0"/>
    <s v="Accessories"/>
    <x v="6"/>
    <n v="3"/>
    <n v="834.85"/>
    <n v="0.05"/>
    <n v="2379.3200000000002"/>
    <n v="1522.22"/>
    <n v="857.1"/>
    <x v="2"/>
    <n v="0.36022897298387768"/>
    <x v="1"/>
    <x v="2"/>
    <x v="2"/>
    <s v="Q1"/>
  </r>
  <r>
    <s v="ORD101709"/>
    <x v="440"/>
    <s v="CUST1053"/>
    <s v="Aisha Verma"/>
    <x v="0"/>
    <s v="Maharashtra"/>
    <s v="Mumbai"/>
    <x v="0"/>
    <s v="Computers"/>
    <x v="3"/>
    <n v="2"/>
    <n v="15410.44"/>
    <n v="0.05"/>
    <n v="29279.84"/>
    <n v="23672.41"/>
    <n v="5607.43"/>
    <x v="3"/>
    <n v="0.19151163394335491"/>
    <x v="1"/>
    <x v="2"/>
    <x v="2"/>
    <s v="Q1"/>
  </r>
  <r>
    <s v="ORD101994"/>
    <x v="441"/>
    <s v="CUST1593"/>
    <s v="Rahul Rao"/>
    <x v="2"/>
    <s v="Telangana"/>
    <s v="Hyderabad"/>
    <x v="1"/>
    <s v="Stationery"/>
    <x v="17"/>
    <n v="1"/>
    <n v="314.77999999999997"/>
    <n v="0.2"/>
    <n v="251.82"/>
    <n v="135.86000000000001"/>
    <n v="115.96"/>
    <x v="0"/>
    <n v="0.46048764990866492"/>
    <x v="1"/>
    <x v="2"/>
    <x v="2"/>
    <s v="Q1"/>
  </r>
  <r>
    <s v="ORD100672"/>
    <x v="441"/>
    <s v="CUST1401"/>
    <s v="Vikram Mehta"/>
    <x v="2"/>
    <s v="Telangana"/>
    <s v="Nizamabad"/>
    <x v="2"/>
    <s v="Living Room"/>
    <x v="16"/>
    <n v="2"/>
    <n v="4161.82"/>
    <n v="0.15"/>
    <n v="7075.09"/>
    <n v="5058.3100000000004"/>
    <n v="2016.78"/>
    <x v="2"/>
    <n v="0.28505361769249582"/>
    <x v="1"/>
    <x v="2"/>
    <x v="2"/>
    <s v="Q1"/>
  </r>
  <r>
    <s v="ORD100703"/>
    <x v="441"/>
    <s v="CUST1310"/>
    <s v="Aisha Kumar"/>
    <x v="2"/>
    <s v="Telangana"/>
    <s v="Warangal"/>
    <x v="2"/>
    <s v="Office"/>
    <x v="14"/>
    <n v="4"/>
    <n v="8036.8"/>
    <n v="0.05"/>
    <n v="30539.84"/>
    <n v="21922.080000000002"/>
    <n v="8617.76"/>
    <x v="0"/>
    <n v="0.28218091515869109"/>
    <x v="1"/>
    <x v="2"/>
    <x v="2"/>
    <s v="Q1"/>
  </r>
  <r>
    <s v="ORD102345"/>
    <x v="442"/>
    <s v="CUST1402"/>
    <s v="Aisha Patel"/>
    <x v="2"/>
    <s v="Karnataka"/>
    <s v="Bengaluru"/>
    <x v="0"/>
    <s v="Audio"/>
    <x v="8"/>
    <n v="3"/>
    <n v="3046.33"/>
    <n v="0.1"/>
    <n v="8225.09"/>
    <n v="4930.24"/>
    <n v="3294.85"/>
    <x v="0"/>
    <n v="0.40058528234949398"/>
    <x v="1"/>
    <x v="2"/>
    <x v="2"/>
    <s v="Q1"/>
  </r>
  <r>
    <s v="ORD100040"/>
    <x v="442"/>
    <s v="CUST1472"/>
    <s v="Neha Reddy"/>
    <x v="1"/>
    <s v="Delhi"/>
    <s v="Delhi"/>
    <x v="1"/>
    <s v="Storage"/>
    <x v="9"/>
    <n v="4"/>
    <n v="505.85"/>
    <n v="0"/>
    <n v="2023.4"/>
    <n v="881.04"/>
    <n v="1142.3599999999999"/>
    <x v="3"/>
    <n v="0.56457447860037557"/>
    <x v="1"/>
    <x v="2"/>
    <x v="2"/>
    <s v="Q1"/>
  </r>
  <r>
    <s v="ORD100734"/>
    <x v="442"/>
    <s v="CUST1274"/>
    <s v="Nikhil Das"/>
    <x v="2"/>
    <s v="Tamil Nadu"/>
    <s v="Salem"/>
    <x v="2"/>
    <s v="Living Room"/>
    <x v="4"/>
    <n v="4"/>
    <n v="4910.2700000000004"/>
    <n v="0.05"/>
    <n v="18659.03"/>
    <n v="11573.79"/>
    <n v="7085.24"/>
    <x v="4"/>
    <n v="0.37972177546206848"/>
    <x v="1"/>
    <x v="2"/>
    <x v="2"/>
    <s v="Q1"/>
  </r>
  <r>
    <s v="ORD101032"/>
    <x v="443"/>
    <s v="CUST1052"/>
    <s v="Aisha Reddy"/>
    <x v="2"/>
    <s v="Karnataka"/>
    <s v="Hubballi"/>
    <x v="2"/>
    <s v="Office"/>
    <x v="10"/>
    <n v="2"/>
    <n v="7405.93"/>
    <n v="0.15"/>
    <n v="12590.08"/>
    <n v="9528.94"/>
    <n v="3061.14"/>
    <x v="3"/>
    <n v="0.243139042801952"/>
    <x v="1"/>
    <x v="2"/>
    <x v="2"/>
    <s v="Q1"/>
  </r>
  <r>
    <s v="ORD100668"/>
    <x v="443"/>
    <s v="CUST1588"/>
    <s v="Neha Kumar"/>
    <x v="0"/>
    <s v="Maharashtra"/>
    <s v="Nashik"/>
    <x v="1"/>
    <s v="Stationery"/>
    <x v="1"/>
    <n v="4"/>
    <n v="250.47"/>
    <n v="0.05"/>
    <n v="951.79"/>
    <n v="381.2"/>
    <n v="570.59"/>
    <x v="2"/>
    <n v="0.59949148446611122"/>
    <x v="1"/>
    <x v="2"/>
    <x v="2"/>
    <s v="Q1"/>
  </r>
  <r>
    <s v="ORD102043"/>
    <x v="443"/>
    <s v="CUST1623"/>
    <s v="Ananya Naidu"/>
    <x v="1"/>
    <s v="Delhi"/>
    <s v="Delhi"/>
    <x v="0"/>
    <s v="Computers"/>
    <x v="0"/>
    <n v="4"/>
    <n v="55749.57"/>
    <n v="0.2"/>
    <n v="178398.62"/>
    <n v="191607.16"/>
    <n v="-13208.54"/>
    <x v="0"/>
    <n v="-7.4039474072164921E-2"/>
    <x v="1"/>
    <x v="2"/>
    <x v="2"/>
    <s v="Q1"/>
  </r>
  <r>
    <s v="ORD100545"/>
    <x v="443"/>
    <s v="CUST1238"/>
    <s v="Kavya Kumar"/>
    <x v="0"/>
    <s v="Maharashtra"/>
    <s v="Mumbai"/>
    <x v="1"/>
    <s v="Stationery"/>
    <x v="1"/>
    <n v="4"/>
    <n v="239.89"/>
    <n v="0.05"/>
    <n v="911.58"/>
    <n v="357.78"/>
    <n v="553.79999999999995"/>
    <x v="0"/>
    <n v="0.60751661949582036"/>
    <x v="1"/>
    <x v="2"/>
    <x v="2"/>
    <s v="Q1"/>
  </r>
  <r>
    <s v="ORD100849"/>
    <x v="443"/>
    <s v="CUST1353"/>
    <s v="Nikhil Nair"/>
    <x v="3"/>
    <s v="West Bengal"/>
    <s v="Kolkata"/>
    <x v="2"/>
    <s v="Office"/>
    <x v="14"/>
    <n v="2"/>
    <n v="8660.9"/>
    <n v="0.15"/>
    <n v="14723.53"/>
    <n v="11874.41"/>
    <n v="2849.12"/>
    <x v="1"/>
    <n v="0.19350794272840821"/>
    <x v="1"/>
    <x v="2"/>
    <x v="2"/>
    <s v="Q1"/>
  </r>
  <r>
    <s v="ORD101861"/>
    <x v="444"/>
    <s v="CUST1288"/>
    <s v="Sneha Singh"/>
    <x v="3"/>
    <s v="West Bengal"/>
    <s v="Durgapur"/>
    <x v="0"/>
    <s v="Accessories"/>
    <x v="6"/>
    <n v="2"/>
    <n v="759.99"/>
    <n v="0.2"/>
    <n v="1215.98"/>
    <n v="963.25"/>
    <n v="252.73"/>
    <x v="0"/>
    <n v="0.20784058948337969"/>
    <x v="1"/>
    <x v="3"/>
    <x v="3"/>
    <s v="Q2"/>
  </r>
  <r>
    <s v="ORD101470"/>
    <x v="444"/>
    <s v="CUST1317"/>
    <s v="Varun Joshi"/>
    <x v="0"/>
    <s v="Maharashtra"/>
    <s v="Nagpur"/>
    <x v="2"/>
    <s v="Office"/>
    <x v="10"/>
    <n v="5"/>
    <n v="6579.16"/>
    <n v="0.05"/>
    <n v="31251.01"/>
    <n v="20644.89"/>
    <n v="10606.12"/>
    <x v="1"/>
    <n v="0.33938487108096671"/>
    <x v="1"/>
    <x v="3"/>
    <x v="3"/>
    <s v="Q2"/>
  </r>
  <r>
    <s v="ORD102486"/>
    <x v="444"/>
    <s v="CUST1279"/>
    <s v="Arjun Sharma"/>
    <x v="2"/>
    <s v="Karnataka"/>
    <s v="Mysuru"/>
    <x v="2"/>
    <s v="Living Room"/>
    <x v="4"/>
    <n v="5"/>
    <n v="5149.93"/>
    <n v="0.15"/>
    <n v="21887.200000000001"/>
    <n v="15724.98"/>
    <n v="6162.22"/>
    <x v="4"/>
    <n v="0.28154446434445701"/>
    <x v="1"/>
    <x v="3"/>
    <x v="3"/>
    <s v="Q2"/>
  </r>
  <r>
    <s v="ORD101392"/>
    <x v="445"/>
    <s v="CUST1059"/>
    <s v="Aarav Reddy"/>
    <x v="1"/>
    <s v="Delhi"/>
    <s v="New Delhi"/>
    <x v="1"/>
    <s v="Storage"/>
    <x v="9"/>
    <n v="2"/>
    <n v="479.94"/>
    <n v="0.1"/>
    <n v="863.89"/>
    <n v="423.19"/>
    <n v="440.7"/>
    <x v="0"/>
    <n v="0.51013439211010658"/>
    <x v="1"/>
    <x v="3"/>
    <x v="3"/>
    <s v="Q2"/>
  </r>
  <r>
    <s v="ORD102362"/>
    <x v="445"/>
    <s v="CUST1100"/>
    <s v="Aisha Malhotra"/>
    <x v="1"/>
    <s v="Delhi"/>
    <s v="New Delhi"/>
    <x v="0"/>
    <s v="Accessories"/>
    <x v="6"/>
    <n v="1"/>
    <n v="784.22"/>
    <n v="0.2"/>
    <n v="627.38"/>
    <n v="479.4"/>
    <n v="147.97999999999999"/>
    <x v="0"/>
    <n v="0.2358698077720042"/>
    <x v="1"/>
    <x v="3"/>
    <x v="3"/>
    <s v="Q2"/>
  </r>
  <r>
    <s v="ORD101920"/>
    <x v="445"/>
    <s v="CUST1386"/>
    <s v="Arjun Gupta"/>
    <x v="1"/>
    <s v="Delhi"/>
    <s v="Delhi"/>
    <x v="3"/>
    <s v="Cleaning"/>
    <x v="15"/>
    <n v="6"/>
    <n v="7946.55"/>
    <n v="0"/>
    <n v="47679.3"/>
    <n v="31494.9"/>
    <n v="16184.4"/>
    <x v="0"/>
    <n v="0.33944290289496698"/>
    <x v="1"/>
    <x v="3"/>
    <x v="3"/>
    <s v="Q2"/>
  </r>
  <r>
    <s v="ORD100646"/>
    <x v="445"/>
    <s v="CUST1268"/>
    <s v="Aditya Mehta"/>
    <x v="2"/>
    <s v="Telangana"/>
    <s v="Karimnagar"/>
    <x v="2"/>
    <s v="Office"/>
    <x v="14"/>
    <n v="5"/>
    <n v="8887.09"/>
    <n v="0.15"/>
    <n v="37770.129999999997"/>
    <n v="29353.57"/>
    <n v="8416.56"/>
    <x v="0"/>
    <n v="0.22283640538171301"/>
    <x v="1"/>
    <x v="3"/>
    <x v="3"/>
    <s v="Q2"/>
  </r>
  <r>
    <s v="ORD101558"/>
    <x v="445"/>
    <s v="CUST1086"/>
    <s v="Rahul Singh"/>
    <x v="0"/>
    <s v="Maharashtra"/>
    <s v="Nashik"/>
    <x v="0"/>
    <s v="Audio"/>
    <x v="8"/>
    <n v="1"/>
    <n v="2903.99"/>
    <n v="0.1"/>
    <n v="2613.59"/>
    <n v="1463.52"/>
    <n v="1150.07"/>
    <x v="3"/>
    <n v="0.44003458843965582"/>
    <x v="1"/>
    <x v="3"/>
    <x v="3"/>
    <s v="Q2"/>
  </r>
  <r>
    <s v="ORD100468"/>
    <x v="445"/>
    <s v="CUST1132"/>
    <s v="Varun Sharma"/>
    <x v="2"/>
    <s v="Tamil Nadu"/>
    <s v="Madurai"/>
    <x v="3"/>
    <s v="Cleaning"/>
    <x v="12"/>
    <n v="1"/>
    <n v="12526.32"/>
    <n v="0.1"/>
    <n v="11273.69"/>
    <n v="8713.2900000000009"/>
    <n v="2560.4"/>
    <x v="0"/>
    <n v="0.22711286189348831"/>
    <x v="1"/>
    <x v="3"/>
    <x v="3"/>
    <s v="Q2"/>
  </r>
  <r>
    <s v="ORD102035"/>
    <x v="446"/>
    <s v="CUST1135"/>
    <s v="Varun Sharma"/>
    <x v="2"/>
    <s v="Telangana"/>
    <s v="Nizamabad"/>
    <x v="3"/>
    <s v="Cleaning"/>
    <x v="12"/>
    <n v="1"/>
    <n v="12537.09"/>
    <n v="0.2"/>
    <n v="10029.67"/>
    <n v="8673.1"/>
    <n v="1356.57"/>
    <x v="2"/>
    <n v="0.1352556963489327"/>
    <x v="1"/>
    <x v="3"/>
    <x v="3"/>
    <s v="Q2"/>
  </r>
  <r>
    <s v="ORD101121"/>
    <x v="446"/>
    <s v="CUST1068"/>
    <s v="Vikram Sharma"/>
    <x v="3"/>
    <s v="West Bengal"/>
    <s v="Siliguri"/>
    <x v="3"/>
    <s v="Kitchen"/>
    <x v="7"/>
    <n v="1"/>
    <n v="1709.58"/>
    <n v="0.1"/>
    <n v="1538.62"/>
    <n v="928.62"/>
    <n v="610"/>
    <x v="4"/>
    <n v="0.39645916470603532"/>
    <x v="1"/>
    <x v="3"/>
    <x v="3"/>
    <s v="Q2"/>
  </r>
  <r>
    <s v="ORD102036"/>
    <x v="446"/>
    <s v="CUST1298"/>
    <s v="Arjun Nair"/>
    <x v="2"/>
    <s v="Tamil Nadu"/>
    <s v="Coimbatore"/>
    <x v="0"/>
    <s v="Computers"/>
    <x v="0"/>
    <n v="1"/>
    <n v="58243.58"/>
    <n v="0.05"/>
    <n v="55331.4"/>
    <n v="51337.71"/>
    <n v="3993.69"/>
    <x v="3"/>
    <n v="7.2177642351359261E-2"/>
    <x v="1"/>
    <x v="3"/>
    <x v="3"/>
    <s v="Q2"/>
  </r>
  <r>
    <s v="ORD100378"/>
    <x v="446"/>
    <s v="CUST1229"/>
    <s v="Diya Das"/>
    <x v="0"/>
    <s v="Maharashtra"/>
    <s v="Nashik"/>
    <x v="2"/>
    <s v="Office"/>
    <x v="10"/>
    <n v="1"/>
    <n v="6671.02"/>
    <n v="0"/>
    <n v="6671.02"/>
    <n v="4131.24"/>
    <n v="2539.7800000000002"/>
    <x v="1"/>
    <n v="0.38071839089074833"/>
    <x v="1"/>
    <x v="3"/>
    <x v="3"/>
    <s v="Q2"/>
  </r>
  <r>
    <s v="ORD101862"/>
    <x v="447"/>
    <s v="CUST1239"/>
    <s v="Sneha Iyer"/>
    <x v="2"/>
    <s v="Tamil Nadu"/>
    <s v="Salem"/>
    <x v="1"/>
    <s v="Storage"/>
    <x v="2"/>
    <n v="4"/>
    <n v="700.42"/>
    <n v="0.05"/>
    <n v="2661.6"/>
    <n v="1328"/>
    <n v="1333.6"/>
    <x v="2"/>
    <n v="0.50105199879771567"/>
    <x v="1"/>
    <x v="3"/>
    <x v="3"/>
    <s v="Q2"/>
  </r>
  <r>
    <s v="ORD101616"/>
    <x v="447"/>
    <s v="CUST1493"/>
    <s v="Priya Joshi"/>
    <x v="2"/>
    <s v="Tamil Nadu"/>
    <s v="Salem"/>
    <x v="0"/>
    <s v="Accessories"/>
    <x v="6"/>
    <n v="5"/>
    <n v="791.46"/>
    <n v="0.1"/>
    <n v="3561.57"/>
    <n v="2440.63"/>
    <n v="1120.94"/>
    <x v="1"/>
    <n v="0.31473198617463649"/>
    <x v="1"/>
    <x v="3"/>
    <x v="3"/>
    <s v="Q2"/>
  </r>
  <r>
    <s v="ORD102273"/>
    <x v="447"/>
    <s v="CUST1476"/>
    <s v="Aditya Iyer"/>
    <x v="2"/>
    <s v="Telangana"/>
    <s v="Karimnagar"/>
    <x v="2"/>
    <s v="Living Room"/>
    <x v="16"/>
    <n v="2"/>
    <n v="4001.68"/>
    <n v="0"/>
    <n v="8003.36"/>
    <n v="4904.6400000000003"/>
    <n v="3098.72"/>
    <x v="0"/>
    <n v="0.38717738549809078"/>
    <x v="1"/>
    <x v="3"/>
    <x v="3"/>
    <s v="Q2"/>
  </r>
  <r>
    <s v="ORD102099"/>
    <x v="447"/>
    <s v="CUST1365"/>
    <s v="Kiran Kumar"/>
    <x v="3"/>
    <s v="West Bengal"/>
    <s v="Kolkata"/>
    <x v="0"/>
    <s v="Accessories"/>
    <x v="5"/>
    <n v="4"/>
    <n v="2486.09"/>
    <n v="0"/>
    <n v="9944.36"/>
    <n v="5466.21"/>
    <n v="4478.1499999999996"/>
    <x v="2"/>
    <n v="0.45032058372786182"/>
    <x v="1"/>
    <x v="3"/>
    <x v="3"/>
    <s v="Q2"/>
  </r>
  <r>
    <s v="ORD102086"/>
    <x v="448"/>
    <s v="CUST1644"/>
    <s v="Aarav Gupta"/>
    <x v="2"/>
    <s v="Telangana"/>
    <s v="Nizamabad"/>
    <x v="0"/>
    <s v="Computers"/>
    <x v="3"/>
    <n v="1"/>
    <n v="15451.73"/>
    <n v="0.1"/>
    <n v="13906.56"/>
    <n v="12016.83"/>
    <n v="1889.73"/>
    <x v="2"/>
    <n v="0.13588766740300981"/>
    <x v="1"/>
    <x v="3"/>
    <x v="3"/>
    <s v="Q2"/>
  </r>
  <r>
    <s v="ORD100581"/>
    <x v="448"/>
    <s v="CUST1508"/>
    <s v="Priya Nair"/>
    <x v="0"/>
    <s v="Maharashtra"/>
    <s v="Nashik"/>
    <x v="3"/>
    <s v="Kitchen"/>
    <x v="7"/>
    <n v="4"/>
    <n v="1827.29"/>
    <n v="0.05"/>
    <n v="6943.7"/>
    <n v="3837.61"/>
    <n v="3106.09"/>
    <x v="1"/>
    <n v="0.44732491323069828"/>
    <x v="1"/>
    <x v="3"/>
    <x v="3"/>
    <s v="Q2"/>
  </r>
  <r>
    <s v="ORD101882"/>
    <x v="448"/>
    <s v="CUST1314"/>
    <s v="Varun Naidu"/>
    <x v="0"/>
    <s v="Maharashtra"/>
    <s v="Nashik"/>
    <x v="2"/>
    <s v="Living Room"/>
    <x v="4"/>
    <n v="1"/>
    <n v="4763.8"/>
    <n v="0.2"/>
    <n v="3811.04"/>
    <n v="2928.71"/>
    <n v="882.33"/>
    <x v="3"/>
    <n v="0.23151948024686181"/>
    <x v="1"/>
    <x v="3"/>
    <x v="3"/>
    <s v="Q2"/>
  </r>
  <r>
    <s v="ORD101272"/>
    <x v="449"/>
    <s v="CUST1609"/>
    <s v="Meera Rao"/>
    <x v="0"/>
    <s v="Maharashtra"/>
    <s v="Pune"/>
    <x v="2"/>
    <s v="Living Room"/>
    <x v="16"/>
    <n v="3"/>
    <n v="3899.72"/>
    <n v="0.05"/>
    <n v="11114.2"/>
    <n v="7210.73"/>
    <n v="3903.47"/>
    <x v="2"/>
    <n v="0.35121466232387388"/>
    <x v="1"/>
    <x v="3"/>
    <x v="3"/>
    <s v="Q2"/>
  </r>
  <r>
    <s v="ORD100177"/>
    <x v="449"/>
    <s v="CUST1459"/>
    <s v="Priya Naidu"/>
    <x v="2"/>
    <s v="Karnataka"/>
    <s v="Hubballi"/>
    <x v="1"/>
    <s v="Storage"/>
    <x v="2"/>
    <n v="2"/>
    <n v="713.42"/>
    <n v="0.1"/>
    <n v="1284.1600000000001"/>
    <n v="695.32"/>
    <n v="588.84"/>
    <x v="4"/>
    <n v="0.45854099177672558"/>
    <x v="1"/>
    <x v="3"/>
    <x v="3"/>
    <s v="Q2"/>
  </r>
  <r>
    <s v="ORD100442"/>
    <x v="449"/>
    <s v="CUST1302"/>
    <s v="Priya Rao"/>
    <x v="3"/>
    <s v="West Bengal"/>
    <s v="Durgapur"/>
    <x v="0"/>
    <s v="Audio"/>
    <x v="8"/>
    <n v="1"/>
    <n v="2981.27"/>
    <n v="0.1"/>
    <n v="2683.14"/>
    <n v="1581.43"/>
    <n v="1101.71"/>
    <x v="0"/>
    <n v="0.4106047392234472"/>
    <x v="1"/>
    <x v="3"/>
    <x v="3"/>
    <s v="Q2"/>
  </r>
  <r>
    <s v="ORD102430"/>
    <x v="450"/>
    <s v="CUST1612"/>
    <s v="Pooja Iyer"/>
    <x v="2"/>
    <s v="Telangana"/>
    <s v="Nizamabad"/>
    <x v="1"/>
    <s v="Storage"/>
    <x v="2"/>
    <n v="2"/>
    <n v="674.02"/>
    <n v="0"/>
    <n v="1348.04"/>
    <n v="626.98"/>
    <n v="721.06"/>
    <x v="2"/>
    <n v="0.53489510697011955"/>
    <x v="1"/>
    <x v="3"/>
    <x v="3"/>
    <s v="Q2"/>
  </r>
  <r>
    <s v="ORD102366"/>
    <x v="450"/>
    <s v="CUST1447"/>
    <s v="Sanjana Sharma"/>
    <x v="3"/>
    <s v="West Bengal"/>
    <s v="Siliguri"/>
    <x v="3"/>
    <s v="Cleaning"/>
    <x v="15"/>
    <n v="3"/>
    <n v="7476.95"/>
    <n v="0.1"/>
    <n v="20187.759999999998"/>
    <n v="14798.61"/>
    <n v="5389.15"/>
    <x v="3"/>
    <n v="0.26695136062643898"/>
    <x v="1"/>
    <x v="3"/>
    <x v="3"/>
    <s v="Q2"/>
  </r>
  <r>
    <s v="ORD100903"/>
    <x v="450"/>
    <s v="CUST1396"/>
    <s v="Rohan Rao"/>
    <x v="2"/>
    <s v="Tamil Nadu"/>
    <s v="Coimbatore"/>
    <x v="2"/>
    <s v="Office"/>
    <x v="10"/>
    <n v="2"/>
    <n v="6725.09"/>
    <n v="0.2"/>
    <n v="10760.14"/>
    <n v="8907.92"/>
    <n v="1852.22"/>
    <x v="2"/>
    <n v="0.1721371655015641"/>
    <x v="1"/>
    <x v="3"/>
    <x v="3"/>
    <s v="Q2"/>
  </r>
  <r>
    <s v="ORD100560"/>
    <x v="450"/>
    <s v="CUST1644"/>
    <s v="Rohan Sharma"/>
    <x v="2"/>
    <s v="Karnataka"/>
    <s v="Bengaluru"/>
    <x v="2"/>
    <s v="Office"/>
    <x v="14"/>
    <n v="2"/>
    <n v="8544.7800000000007"/>
    <n v="0.15"/>
    <n v="14526.13"/>
    <n v="11541.99"/>
    <n v="2984.14"/>
    <x v="3"/>
    <n v="0.20543255498883739"/>
    <x v="1"/>
    <x v="3"/>
    <x v="3"/>
    <s v="Q2"/>
  </r>
  <r>
    <s v="ORD100272"/>
    <x v="450"/>
    <s v="CUST1584"/>
    <s v="Aditya Malhotra"/>
    <x v="2"/>
    <s v="Tamil Nadu"/>
    <s v="Salem"/>
    <x v="2"/>
    <s v="Office"/>
    <x v="10"/>
    <n v="2"/>
    <n v="6941.18"/>
    <n v="0.1"/>
    <n v="12494.12"/>
    <n v="8954.49"/>
    <n v="3539.63"/>
    <x v="0"/>
    <n v="0.28330366604450741"/>
    <x v="1"/>
    <x v="3"/>
    <x v="3"/>
    <s v="Q2"/>
  </r>
  <r>
    <s v="ORD100960"/>
    <x v="450"/>
    <s v="CUST1140"/>
    <s v="Pooja Patel"/>
    <x v="0"/>
    <s v="Maharashtra"/>
    <s v="Nagpur"/>
    <x v="1"/>
    <s v="Stationery"/>
    <x v="17"/>
    <n v="5"/>
    <n v="315.99"/>
    <n v="0.1"/>
    <n v="1421.96"/>
    <n v="683.29"/>
    <n v="738.67"/>
    <x v="0"/>
    <n v="0.51947312160679626"/>
    <x v="1"/>
    <x v="3"/>
    <x v="3"/>
    <s v="Q2"/>
  </r>
  <r>
    <s v="ORD100119"/>
    <x v="450"/>
    <s v="CUST1468"/>
    <s v="Sneha Singh"/>
    <x v="2"/>
    <s v="Tamil Nadu"/>
    <s v="Chennai"/>
    <x v="3"/>
    <s v="Kitchen"/>
    <x v="13"/>
    <n v="2"/>
    <n v="3227.41"/>
    <n v="0.15"/>
    <n v="5486.6"/>
    <n v="3745.82"/>
    <n v="1740.78"/>
    <x v="2"/>
    <n v="0.31727846024860568"/>
    <x v="1"/>
    <x v="3"/>
    <x v="3"/>
    <s v="Q2"/>
  </r>
  <r>
    <s v="ORD100625"/>
    <x v="450"/>
    <s v="CUST1247"/>
    <s v="Rohan Malhotra"/>
    <x v="2"/>
    <s v="Telangana"/>
    <s v="Hyderabad"/>
    <x v="2"/>
    <s v="Office"/>
    <x v="14"/>
    <n v="6"/>
    <n v="8176.65"/>
    <n v="0.05"/>
    <n v="46606.9"/>
    <n v="32778.300000000003"/>
    <n v="13828.6"/>
    <x v="0"/>
    <n v="0.29670713992992448"/>
    <x v="1"/>
    <x v="3"/>
    <x v="3"/>
    <s v="Q2"/>
  </r>
  <r>
    <s v="ORD101148"/>
    <x v="450"/>
    <s v="CUST1285"/>
    <s v="Aisha Mehta"/>
    <x v="3"/>
    <s v="West Bengal"/>
    <s v="Kolkata"/>
    <x v="3"/>
    <s v="Cleaning"/>
    <x v="12"/>
    <n v="5"/>
    <n v="12250.55"/>
    <n v="0.05"/>
    <n v="58190.11"/>
    <n v="44468.82"/>
    <n v="13721.29"/>
    <x v="2"/>
    <n v="0.23580106653862659"/>
    <x v="1"/>
    <x v="3"/>
    <x v="3"/>
    <s v="Q2"/>
  </r>
  <r>
    <s v="ORD102264"/>
    <x v="451"/>
    <s v="CUST1547"/>
    <s v="Arjun Das"/>
    <x v="3"/>
    <s v="West Bengal"/>
    <s v="Durgapur"/>
    <x v="1"/>
    <s v="Storage"/>
    <x v="9"/>
    <n v="1"/>
    <n v="506.37"/>
    <n v="0.05"/>
    <n v="481.05"/>
    <n v="231.74"/>
    <n v="249.31"/>
    <x v="1"/>
    <n v="0.51826213491321071"/>
    <x v="1"/>
    <x v="3"/>
    <x v="3"/>
    <s v="Q2"/>
  </r>
  <r>
    <s v="ORD101649"/>
    <x v="451"/>
    <s v="CUST1464"/>
    <s v="Pooja Naidu"/>
    <x v="3"/>
    <s v="West Bengal"/>
    <s v="Siliguri"/>
    <x v="2"/>
    <s v="Office"/>
    <x v="10"/>
    <n v="5"/>
    <n v="7240.33"/>
    <n v="0.05"/>
    <n v="34391.57"/>
    <n v="24013.03"/>
    <n v="10378.540000000001"/>
    <x v="0"/>
    <n v="0.30177569677685551"/>
    <x v="1"/>
    <x v="3"/>
    <x v="3"/>
    <s v="Q2"/>
  </r>
  <r>
    <s v="ORD102371"/>
    <x v="451"/>
    <s v="CUST1156"/>
    <s v="Priya Singh"/>
    <x v="3"/>
    <s v="West Bengal"/>
    <s v="Siliguri"/>
    <x v="2"/>
    <s v="Office"/>
    <x v="14"/>
    <n v="2"/>
    <n v="8930.99"/>
    <n v="0"/>
    <n v="17861.98"/>
    <n v="12124.23"/>
    <n v="5737.75"/>
    <x v="4"/>
    <n v="0.32122698603402311"/>
    <x v="1"/>
    <x v="3"/>
    <x v="3"/>
    <s v="Q2"/>
  </r>
  <r>
    <s v="ORD100163"/>
    <x v="451"/>
    <s v="CUST1241"/>
    <s v="Aisha Verma"/>
    <x v="3"/>
    <s v="West Bengal"/>
    <s v="Siliguri"/>
    <x v="3"/>
    <s v="Kitchen"/>
    <x v="7"/>
    <n v="2"/>
    <n v="1698.81"/>
    <n v="0.05"/>
    <n v="3227.74"/>
    <n v="1839.79"/>
    <n v="1387.95"/>
    <x v="0"/>
    <n v="0.43000675395168142"/>
    <x v="1"/>
    <x v="3"/>
    <x v="3"/>
    <s v="Q2"/>
  </r>
  <r>
    <s v="ORD102135"/>
    <x v="451"/>
    <s v="CUST1168"/>
    <s v="Kavya Singh"/>
    <x v="2"/>
    <s v="Tamil Nadu"/>
    <s v="Coimbatore"/>
    <x v="2"/>
    <s v="Office"/>
    <x v="10"/>
    <n v="2"/>
    <n v="6648.93"/>
    <n v="0.2"/>
    <n v="10638.29"/>
    <n v="8708.4500000000007"/>
    <n v="1929.84"/>
    <x v="4"/>
    <n v="0.18140509423976969"/>
    <x v="1"/>
    <x v="3"/>
    <x v="3"/>
    <s v="Q2"/>
  </r>
  <r>
    <s v="ORD100044"/>
    <x v="451"/>
    <s v="CUST1176"/>
    <s v="Pooja Rao"/>
    <x v="0"/>
    <s v="Maharashtra"/>
    <s v="Nashik"/>
    <x v="1"/>
    <s v="Storage"/>
    <x v="2"/>
    <n v="3"/>
    <n v="732.41"/>
    <n v="0.05"/>
    <n v="2087.37"/>
    <n v="1054.3900000000001"/>
    <n v="1032.98"/>
    <x v="0"/>
    <n v="0.49487153691008312"/>
    <x v="1"/>
    <x v="3"/>
    <x v="3"/>
    <s v="Q2"/>
  </r>
  <r>
    <s v="ORD101902"/>
    <x v="452"/>
    <s v="CUST1056"/>
    <s v="Sneha Reddy"/>
    <x v="3"/>
    <s v="West Bengal"/>
    <s v="Siliguri"/>
    <x v="3"/>
    <s v="Cleaning"/>
    <x v="12"/>
    <n v="1"/>
    <n v="13192.16"/>
    <n v="0.05"/>
    <n v="12532.55"/>
    <n v="9225.48"/>
    <n v="3307.07"/>
    <x v="2"/>
    <n v="0.26387846048888702"/>
    <x v="1"/>
    <x v="3"/>
    <x v="3"/>
    <s v="Q2"/>
  </r>
  <r>
    <s v="ORD101875"/>
    <x v="452"/>
    <s v="CUST1410"/>
    <s v="Aarav Reddy"/>
    <x v="2"/>
    <s v="Tamil Nadu"/>
    <s v="Chennai"/>
    <x v="0"/>
    <s v="Audio"/>
    <x v="8"/>
    <n v="2"/>
    <n v="3162.95"/>
    <n v="0"/>
    <n v="6325.9"/>
    <n v="3240.63"/>
    <n v="3085.27"/>
    <x v="2"/>
    <n v="0.48772032438072049"/>
    <x v="1"/>
    <x v="3"/>
    <x v="3"/>
    <s v="Q2"/>
  </r>
  <r>
    <s v="ORD100754"/>
    <x v="452"/>
    <s v="CUST1626"/>
    <s v="Ananya Patel"/>
    <x v="1"/>
    <s v="Delhi"/>
    <s v="New Delhi"/>
    <x v="0"/>
    <s v="Audio"/>
    <x v="8"/>
    <n v="1"/>
    <n v="2889.12"/>
    <n v="0.1"/>
    <n v="2600.21"/>
    <n v="1529.29"/>
    <n v="1070.92"/>
    <x v="1"/>
    <n v="0.41185904215428748"/>
    <x v="1"/>
    <x v="3"/>
    <x v="3"/>
    <s v="Q2"/>
  </r>
  <r>
    <s v="ORD101588"/>
    <x v="452"/>
    <s v="CUST1282"/>
    <s v="Kavya Patel"/>
    <x v="0"/>
    <s v="Maharashtra"/>
    <s v="Nashik"/>
    <x v="0"/>
    <s v="Audio"/>
    <x v="8"/>
    <n v="4"/>
    <n v="2963.49"/>
    <n v="0.15"/>
    <n v="10075.870000000001"/>
    <n v="6223.01"/>
    <n v="3852.86"/>
    <x v="2"/>
    <n v="0.38238484617209229"/>
    <x v="1"/>
    <x v="3"/>
    <x v="3"/>
    <s v="Q2"/>
  </r>
  <r>
    <s v="ORD102096"/>
    <x v="453"/>
    <s v="CUST1279"/>
    <s v="Aditya Joshi"/>
    <x v="2"/>
    <s v="Karnataka"/>
    <s v="Bengaluru"/>
    <x v="0"/>
    <s v="Audio"/>
    <x v="8"/>
    <n v="4"/>
    <n v="3134.55"/>
    <n v="0.15"/>
    <n v="10657.47"/>
    <n v="6507.2"/>
    <n v="4150.2700000000004"/>
    <x v="2"/>
    <n v="0.38942356863308092"/>
    <x v="1"/>
    <x v="3"/>
    <x v="3"/>
    <s v="Q2"/>
  </r>
  <r>
    <s v="ORD102175"/>
    <x v="453"/>
    <s v="CUST1006"/>
    <s v="Rahul Sharma"/>
    <x v="2"/>
    <s v="Karnataka"/>
    <s v="Bengaluru"/>
    <x v="2"/>
    <s v="Living Room"/>
    <x v="16"/>
    <n v="2"/>
    <n v="4086.42"/>
    <n v="0.1"/>
    <n v="7355.56"/>
    <n v="5270.95"/>
    <n v="2084.61"/>
    <x v="0"/>
    <n v="0.28340602211116489"/>
    <x v="1"/>
    <x v="3"/>
    <x v="3"/>
    <s v="Q2"/>
  </r>
  <r>
    <s v="ORD101356"/>
    <x v="453"/>
    <s v="CUST1011"/>
    <s v="Vikram Nair"/>
    <x v="3"/>
    <s v="West Bengal"/>
    <s v="Durgapur"/>
    <x v="0"/>
    <s v="Computers"/>
    <x v="0"/>
    <n v="3"/>
    <n v="55848.17"/>
    <n v="0.05"/>
    <n v="159167.28"/>
    <n v="151696.26"/>
    <n v="7471.02"/>
    <x v="1"/>
    <n v="4.6938164678067003E-2"/>
    <x v="1"/>
    <x v="3"/>
    <x v="3"/>
    <s v="Q2"/>
  </r>
  <r>
    <s v="ORD102322"/>
    <x v="454"/>
    <s v="CUST1410"/>
    <s v="Diya Naidu"/>
    <x v="2"/>
    <s v="Karnataka"/>
    <s v="Mysuru"/>
    <x v="1"/>
    <s v="Storage"/>
    <x v="2"/>
    <n v="3"/>
    <n v="683.45"/>
    <n v="0.05"/>
    <n v="1947.83"/>
    <n v="998.9"/>
    <n v="948.93"/>
    <x v="1"/>
    <n v="0.48717290523300288"/>
    <x v="1"/>
    <x v="3"/>
    <x v="3"/>
    <s v="Q2"/>
  </r>
  <r>
    <s v="ORD102101"/>
    <x v="454"/>
    <s v="CUST1107"/>
    <s v="Kiran Patel"/>
    <x v="1"/>
    <s v="Delhi"/>
    <s v="New Delhi"/>
    <x v="0"/>
    <s v="Accessories"/>
    <x v="6"/>
    <n v="1"/>
    <n v="822.88"/>
    <n v="0.05"/>
    <n v="781.74"/>
    <n v="501.69"/>
    <n v="280.05"/>
    <x v="0"/>
    <n v="0.35823931230332329"/>
    <x v="1"/>
    <x v="3"/>
    <x v="3"/>
    <s v="Q2"/>
  </r>
  <r>
    <s v="ORD101029"/>
    <x v="455"/>
    <s v="CUST1558"/>
    <s v="Neha Das"/>
    <x v="2"/>
    <s v="Telangana"/>
    <s v="Karimnagar"/>
    <x v="3"/>
    <s v="Kitchen"/>
    <x v="13"/>
    <n v="1"/>
    <n v="3168.42"/>
    <n v="0.1"/>
    <n v="2851.58"/>
    <n v="1838.43"/>
    <n v="1013.15"/>
    <x v="1"/>
    <n v="0.35529425792017061"/>
    <x v="1"/>
    <x v="3"/>
    <x v="3"/>
    <s v="Q2"/>
  </r>
  <r>
    <s v="ORD101984"/>
    <x v="455"/>
    <s v="CUST1578"/>
    <s v="Aditya Reddy"/>
    <x v="1"/>
    <s v="Delhi"/>
    <s v="New Delhi"/>
    <x v="0"/>
    <s v="Computers"/>
    <x v="0"/>
    <n v="4"/>
    <n v="61233.35"/>
    <n v="0"/>
    <n v="244933.4"/>
    <n v="220787.83"/>
    <n v="24145.57"/>
    <x v="0"/>
    <n v="9.8580144643401021E-2"/>
    <x v="1"/>
    <x v="3"/>
    <x v="3"/>
    <s v="Q2"/>
  </r>
  <r>
    <s v="ORD101246"/>
    <x v="455"/>
    <s v="CUST1091"/>
    <s v="Aisha Naidu"/>
    <x v="2"/>
    <s v="Tamil Nadu"/>
    <s v="Salem"/>
    <x v="2"/>
    <s v="Living Room"/>
    <x v="4"/>
    <n v="2"/>
    <n v="5064.2299999999996"/>
    <n v="0.1"/>
    <n v="9115.61"/>
    <n v="6411.68"/>
    <n v="2703.93"/>
    <x v="0"/>
    <n v="0.29662633658087612"/>
    <x v="1"/>
    <x v="3"/>
    <x v="3"/>
    <s v="Q2"/>
  </r>
  <r>
    <s v="ORD100037"/>
    <x v="455"/>
    <s v="CUST1393"/>
    <s v="Ishaan Rao"/>
    <x v="1"/>
    <s v="Delhi"/>
    <s v="New Delhi"/>
    <x v="1"/>
    <s v="Storage"/>
    <x v="9"/>
    <n v="1"/>
    <n v="497.68"/>
    <n v="0"/>
    <n v="497.68"/>
    <n v="222.47"/>
    <n v="275.20999999999998"/>
    <x v="0"/>
    <n v="0.55298585436425007"/>
    <x v="1"/>
    <x v="3"/>
    <x v="3"/>
    <s v="Q2"/>
  </r>
  <r>
    <s v="ORD100981"/>
    <x v="455"/>
    <s v="CUST1195"/>
    <s v="Nikhil Rao"/>
    <x v="2"/>
    <s v="Karnataka"/>
    <s v="Bengaluru"/>
    <x v="0"/>
    <s v="Accessories"/>
    <x v="5"/>
    <n v="1"/>
    <n v="2412.85"/>
    <n v="0.1"/>
    <n v="2171.5700000000002"/>
    <n v="1346.7"/>
    <n v="824.87"/>
    <x v="2"/>
    <n v="0.37984960190092881"/>
    <x v="1"/>
    <x v="3"/>
    <x v="3"/>
    <s v="Q2"/>
  </r>
  <r>
    <s v="ORD102074"/>
    <x v="455"/>
    <s v="CUST1269"/>
    <s v="Nikhil Nair"/>
    <x v="2"/>
    <s v="Karnataka"/>
    <s v="Mangaluru"/>
    <x v="0"/>
    <s v="Audio"/>
    <x v="8"/>
    <n v="4"/>
    <n v="3168.44"/>
    <n v="0.1"/>
    <n v="11406.38"/>
    <n v="6700.98"/>
    <n v="4705.3999999999996"/>
    <x v="3"/>
    <n v="0.41252351754018363"/>
    <x v="1"/>
    <x v="3"/>
    <x v="3"/>
    <s v="Q2"/>
  </r>
  <r>
    <s v="ORD100735"/>
    <x v="455"/>
    <s v="CUST1329"/>
    <s v="Arjun Patel"/>
    <x v="2"/>
    <s v="Tamil Nadu"/>
    <s v="Madurai"/>
    <x v="3"/>
    <s v="Cleaning"/>
    <x v="12"/>
    <n v="1"/>
    <n v="13454"/>
    <n v="0"/>
    <n v="13454"/>
    <n v="9428.85"/>
    <n v="4025.15"/>
    <x v="3"/>
    <n v="0.29917868291957778"/>
    <x v="1"/>
    <x v="3"/>
    <x v="3"/>
    <s v="Q2"/>
  </r>
  <r>
    <s v="ORD102220"/>
    <x v="456"/>
    <s v="CUST1445"/>
    <s v="Aarav Reddy"/>
    <x v="1"/>
    <s v="Delhi"/>
    <s v="New Delhi"/>
    <x v="3"/>
    <s v="Cleaning"/>
    <x v="15"/>
    <n v="4"/>
    <n v="7163.14"/>
    <n v="0.15"/>
    <n v="24354.68"/>
    <n v="18087.3"/>
    <n v="6267.38"/>
    <x v="0"/>
    <n v="0.25733780940665202"/>
    <x v="1"/>
    <x v="3"/>
    <x v="3"/>
    <s v="Q2"/>
  </r>
  <r>
    <s v="ORD102177"/>
    <x v="456"/>
    <s v="CUST1458"/>
    <s v="Kiran Kumar"/>
    <x v="2"/>
    <s v="Telangana"/>
    <s v="Hyderabad"/>
    <x v="1"/>
    <s v="Stationery"/>
    <x v="17"/>
    <n v="5"/>
    <n v="294.05"/>
    <n v="0.1"/>
    <n v="1323.23"/>
    <n v="632.01"/>
    <n v="691.22"/>
    <x v="1"/>
    <n v="0.52237328355614676"/>
    <x v="1"/>
    <x v="3"/>
    <x v="3"/>
    <s v="Q2"/>
  </r>
  <r>
    <s v="ORD102390"/>
    <x v="456"/>
    <s v="CUST1313"/>
    <s v="Neha Rao"/>
    <x v="0"/>
    <s v="Maharashtra"/>
    <s v="Nashik"/>
    <x v="0"/>
    <s v="Computers"/>
    <x v="0"/>
    <n v="5"/>
    <n v="55687.78"/>
    <n v="0.05"/>
    <n v="264516.96000000002"/>
    <n v="240443.79"/>
    <n v="24073.17"/>
    <x v="3"/>
    <n v="9.1008039711328897E-2"/>
    <x v="1"/>
    <x v="3"/>
    <x v="3"/>
    <s v="Q2"/>
  </r>
  <r>
    <s v="ORD101959"/>
    <x v="456"/>
    <s v="CUST1648"/>
    <s v="Aisha Mehta"/>
    <x v="2"/>
    <s v="Telangana"/>
    <s v="Nizamabad"/>
    <x v="0"/>
    <s v="Accessories"/>
    <x v="5"/>
    <n v="2"/>
    <n v="2435.87"/>
    <n v="0.1"/>
    <n v="4384.57"/>
    <n v="2751.37"/>
    <n v="1633.2"/>
    <x v="1"/>
    <n v="0.37248806610454388"/>
    <x v="1"/>
    <x v="3"/>
    <x v="3"/>
    <s v="Q2"/>
  </r>
  <r>
    <s v="ORD101873"/>
    <x v="457"/>
    <s v="CUST1567"/>
    <s v="Diya Kumar"/>
    <x v="3"/>
    <s v="West Bengal"/>
    <s v="Kolkata"/>
    <x v="1"/>
    <s v="Stationery"/>
    <x v="17"/>
    <n v="6"/>
    <n v="310.33999999999997"/>
    <n v="0"/>
    <n v="1862.04"/>
    <n v="764.34"/>
    <n v="1097.7"/>
    <x v="0"/>
    <n v="0.58951472578462338"/>
    <x v="1"/>
    <x v="3"/>
    <x v="3"/>
    <s v="Q2"/>
  </r>
  <r>
    <s v="ORD102325"/>
    <x v="457"/>
    <s v="CUST1358"/>
    <s v="Pooja Mehta"/>
    <x v="3"/>
    <s v="West Bengal"/>
    <s v="Durgapur"/>
    <x v="0"/>
    <s v="Audio"/>
    <x v="8"/>
    <n v="1"/>
    <n v="3071.2"/>
    <n v="0.05"/>
    <n v="2917.64"/>
    <n v="1603.46"/>
    <n v="1314.18"/>
    <x v="2"/>
    <n v="0.45042568651375781"/>
    <x v="1"/>
    <x v="3"/>
    <x v="3"/>
    <s v="Q2"/>
  </r>
  <r>
    <s v="ORD101405"/>
    <x v="458"/>
    <s v="CUST1138"/>
    <s v="Vikram Iyer"/>
    <x v="3"/>
    <s v="West Bengal"/>
    <s v="Siliguri"/>
    <x v="2"/>
    <s v="Office"/>
    <x v="14"/>
    <n v="5"/>
    <n v="8355.4"/>
    <n v="0.2"/>
    <n v="33421.599999999999"/>
    <n v="28915.82"/>
    <n v="4505.78"/>
    <x v="0"/>
    <n v="0.13481640615649759"/>
    <x v="1"/>
    <x v="3"/>
    <x v="3"/>
    <s v="Q2"/>
  </r>
  <r>
    <s v="ORD101391"/>
    <x v="458"/>
    <s v="CUST1032"/>
    <s v="Rahul Patel"/>
    <x v="3"/>
    <s v="West Bengal"/>
    <s v="Siliguri"/>
    <x v="0"/>
    <s v="Computers"/>
    <x v="0"/>
    <n v="1"/>
    <n v="58668.76"/>
    <n v="0"/>
    <n v="58668.76"/>
    <n v="52814.75"/>
    <n v="5854.01"/>
    <x v="1"/>
    <n v="9.9780701006804987E-2"/>
    <x v="1"/>
    <x v="3"/>
    <x v="3"/>
    <s v="Q2"/>
  </r>
  <r>
    <s v="ORD100413"/>
    <x v="459"/>
    <s v="CUST1398"/>
    <s v="Meera Gupta"/>
    <x v="2"/>
    <s v="Tamil Nadu"/>
    <s v="Chennai"/>
    <x v="1"/>
    <s v="Stationery"/>
    <x v="17"/>
    <n v="3"/>
    <n v="298.88"/>
    <n v="0.1"/>
    <n v="806.98"/>
    <n v="385.93"/>
    <n v="421.05"/>
    <x v="3"/>
    <n v="0.52176014275446725"/>
    <x v="1"/>
    <x v="3"/>
    <x v="3"/>
    <s v="Q2"/>
  </r>
  <r>
    <s v="ORD100993"/>
    <x v="459"/>
    <s v="CUST1266"/>
    <s v="Varun Kumar"/>
    <x v="2"/>
    <s v="Tamil Nadu"/>
    <s v="Salem"/>
    <x v="2"/>
    <s v="Living Room"/>
    <x v="4"/>
    <n v="4"/>
    <n v="4951.29"/>
    <n v="0.15"/>
    <n v="16834.39"/>
    <n v="12369.75"/>
    <n v="4464.6400000000003"/>
    <x v="1"/>
    <n v="0.26520949081018091"/>
    <x v="1"/>
    <x v="3"/>
    <x v="3"/>
    <s v="Q2"/>
  </r>
  <r>
    <s v="ORD100644"/>
    <x v="459"/>
    <s v="CUST1041"/>
    <s v="Aditya Malhotra"/>
    <x v="2"/>
    <s v="Telangana"/>
    <s v="Hyderabad"/>
    <x v="3"/>
    <s v="Kitchen"/>
    <x v="13"/>
    <n v="1"/>
    <n v="3139.31"/>
    <n v="0.1"/>
    <n v="2825.38"/>
    <n v="1808.38"/>
    <n v="1017"/>
    <x v="0"/>
    <n v="0.35995158173413838"/>
    <x v="1"/>
    <x v="3"/>
    <x v="3"/>
    <s v="Q2"/>
  </r>
  <r>
    <s v="ORD101425"/>
    <x v="459"/>
    <s v="CUST1514"/>
    <s v="Sneha Kumar"/>
    <x v="2"/>
    <s v="Karnataka"/>
    <s v="Mangaluru"/>
    <x v="3"/>
    <s v="Cleaning"/>
    <x v="12"/>
    <n v="3"/>
    <n v="12694.7"/>
    <n v="0"/>
    <n v="38084.1"/>
    <n v="26361.78"/>
    <n v="11722.32"/>
    <x v="1"/>
    <n v="0.30780089328617449"/>
    <x v="1"/>
    <x v="3"/>
    <x v="3"/>
    <s v="Q2"/>
  </r>
  <r>
    <s v="ORD102266"/>
    <x v="460"/>
    <s v="CUST1604"/>
    <s v="Neha Patel"/>
    <x v="2"/>
    <s v="Karnataka"/>
    <s v="Mangaluru"/>
    <x v="2"/>
    <s v="Office"/>
    <x v="10"/>
    <n v="1"/>
    <n v="6849.1"/>
    <n v="0"/>
    <n v="6849.1"/>
    <n v="4389.09"/>
    <n v="2460.0100000000002"/>
    <x v="2"/>
    <n v="0.35917273802397398"/>
    <x v="1"/>
    <x v="3"/>
    <x v="3"/>
    <s v="Q2"/>
  </r>
  <r>
    <s v="ORD101766"/>
    <x v="460"/>
    <s v="CUST1281"/>
    <s v="Rahul Gupta"/>
    <x v="2"/>
    <s v="Telangana"/>
    <s v="Nizamabad"/>
    <x v="3"/>
    <s v="Kitchen"/>
    <x v="13"/>
    <n v="2"/>
    <n v="3224.82"/>
    <n v="0"/>
    <n v="6449.64"/>
    <n v="3809.69"/>
    <n v="2639.95"/>
    <x v="0"/>
    <n v="0.40931741926681181"/>
    <x v="1"/>
    <x v="3"/>
    <x v="3"/>
    <s v="Q2"/>
  </r>
  <r>
    <s v="ORD100859"/>
    <x v="460"/>
    <s v="CUST1260"/>
    <s v="Aditya Patel"/>
    <x v="1"/>
    <s v="Delhi"/>
    <s v="New Delhi"/>
    <x v="2"/>
    <s v="Living Room"/>
    <x v="16"/>
    <n v="6"/>
    <n v="3797.08"/>
    <n v="0.1"/>
    <n v="20504.23"/>
    <n v="14821.27"/>
    <n v="5682.96"/>
    <x v="1"/>
    <n v="0.2771603712989954"/>
    <x v="1"/>
    <x v="3"/>
    <x v="3"/>
    <s v="Q2"/>
  </r>
  <r>
    <s v="ORD100570"/>
    <x v="460"/>
    <s v="CUST1179"/>
    <s v="Meera Gupta"/>
    <x v="1"/>
    <s v="Delhi"/>
    <s v="New Delhi"/>
    <x v="0"/>
    <s v="Accessories"/>
    <x v="6"/>
    <n v="1"/>
    <n v="835.33"/>
    <n v="0"/>
    <n v="835.33"/>
    <n v="514.79999999999995"/>
    <n v="320.52999999999997"/>
    <x v="2"/>
    <n v="0.38371661499048282"/>
    <x v="1"/>
    <x v="3"/>
    <x v="3"/>
    <s v="Q2"/>
  </r>
  <r>
    <s v="ORD100397"/>
    <x v="461"/>
    <s v="CUST1565"/>
    <s v="Sanjana Sharma"/>
    <x v="0"/>
    <s v="Maharashtra"/>
    <s v="Nagpur"/>
    <x v="0"/>
    <s v="Computers"/>
    <x v="3"/>
    <n v="1"/>
    <n v="16752.95"/>
    <n v="0.05"/>
    <n v="15915.3"/>
    <n v="12098.62"/>
    <n v="3816.68"/>
    <x v="2"/>
    <n v="0.2398120048004122"/>
    <x v="1"/>
    <x v="3"/>
    <x v="3"/>
    <s v="Q2"/>
  </r>
  <r>
    <s v="ORD100269"/>
    <x v="461"/>
    <s v="CUST1202"/>
    <s v="Ishaan Das"/>
    <x v="2"/>
    <s v="Telangana"/>
    <s v="Karimnagar"/>
    <x v="1"/>
    <s v="Storage"/>
    <x v="2"/>
    <n v="2"/>
    <n v="685.5"/>
    <n v="0"/>
    <n v="1371"/>
    <n v="654.87"/>
    <n v="716.13"/>
    <x v="4"/>
    <n v="0.52234135667396064"/>
    <x v="1"/>
    <x v="3"/>
    <x v="3"/>
    <s v="Q2"/>
  </r>
  <r>
    <s v="ORD101910"/>
    <x v="461"/>
    <s v="CUST1120"/>
    <s v="Neha Gupta"/>
    <x v="2"/>
    <s v="Tamil Nadu"/>
    <s v="Coimbatore"/>
    <x v="3"/>
    <s v="Cleaning"/>
    <x v="15"/>
    <n v="1"/>
    <n v="7173.21"/>
    <n v="0.15"/>
    <n v="6097.23"/>
    <n v="4794.3999999999996"/>
    <n v="1302.83"/>
    <x v="3"/>
    <n v="0.21367571831799029"/>
    <x v="1"/>
    <x v="3"/>
    <x v="3"/>
    <s v="Q2"/>
  </r>
  <r>
    <s v="ORD100527"/>
    <x v="461"/>
    <s v="CUST1585"/>
    <s v="Ishaan Iyer"/>
    <x v="3"/>
    <s v="West Bengal"/>
    <s v="Kolkata"/>
    <x v="0"/>
    <s v="Accessories"/>
    <x v="6"/>
    <n v="1"/>
    <n v="813.82"/>
    <n v="0.1"/>
    <n v="732.44"/>
    <n v="506.03"/>
    <n v="226.41"/>
    <x v="3"/>
    <n v="0.3091174703729998"/>
    <x v="1"/>
    <x v="3"/>
    <x v="3"/>
    <s v="Q2"/>
  </r>
  <r>
    <s v="ORD101483"/>
    <x v="461"/>
    <s v="CUST1513"/>
    <s v="Diya Sharma"/>
    <x v="3"/>
    <s v="West Bengal"/>
    <s v="Durgapur"/>
    <x v="1"/>
    <s v="Stationery"/>
    <x v="17"/>
    <n v="2"/>
    <n v="313.77999999999997"/>
    <n v="0.1"/>
    <n v="564.79999999999995"/>
    <n v="272.42"/>
    <n v="292.38"/>
    <x v="1"/>
    <n v="0.51766997167138817"/>
    <x v="1"/>
    <x v="3"/>
    <x v="3"/>
    <s v="Q2"/>
  </r>
  <r>
    <s v="ORD100544"/>
    <x v="461"/>
    <s v="CUST1611"/>
    <s v="Pooja Iyer"/>
    <x v="2"/>
    <s v="Karnataka"/>
    <s v="Mangaluru"/>
    <x v="0"/>
    <s v="Audio"/>
    <x v="11"/>
    <n v="2"/>
    <n v="2001.92"/>
    <n v="0.05"/>
    <n v="3803.65"/>
    <n v="2269.35"/>
    <n v="1534.3"/>
    <x v="4"/>
    <n v="0.40337570491501579"/>
    <x v="1"/>
    <x v="3"/>
    <x v="3"/>
    <s v="Q2"/>
  </r>
  <r>
    <s v="ORD102267"/>
    <x v="462"/>
    <s v="CUST1559"/>
    <s v="Rohan Singh"/>
    <x v="3"/>
    <s v="West Bengal"/>
    <s v="Durgapur"/>
    <x v="3"/>
    <s v="Kitchen"/>
    <x v="7"/>
    <n v="2"/>
    <n v="1889.96"/>
    <n v="0"/>
    <n v="3779.92"/>
    <n v="2115.09"/>
    <n v="1664.83"/>
    <x v="0"/>
    <n v="0.44044053842409359"/>
    <x v="1"/>
    <x v="3"/>
    <x v="3"/>
    <s v="Q2"/>
  </r>
  <r>
    <s v="ORD101321"/>
    <x v="462"/>
    <s v="CUST1068"/>
    <s v="Kavya Joshi"/>
    <x v="0"/>
    <s v="Maharashtra"/>
    <s v="Pune"/>
    <x v="2"/>
    <s v="Office"/>
    <x v="14"/>
    <n v="1"/>
    <n v="8087.5"/>
    <n v="0.1"/>
    <n v="7278.75"/>
    <n v="5388.76"/>
    <n v="1889.99"/>
    <x v="1"/>
    <n v="0.25965859522582863"/>
    <x v="1"/>
    <x v="3"/>
    <x v="3"/>
    <s v="Q2"/>
  </r>
  <r>
    <s v="ORD100786"/>
    <x v="462"/>
    <s v="CUST1024"/>
    <s v="Ananya Gupta"/>
    <x v="2"/>
    <s v="Karnataka"/>
    <s v="Mysuru"/>
    <x v="2"/>
    <s v="Office"/>
    <x v="10"/>
    <n v="3"/>
    <n v="6944.99"/>
    <n v="0"/>
    <n v="20834.97"/>
    <n v="13752.23"/>
    <n v="7082.74"/>
    <x v="1"/>
    <n v="0.3399448139354172"/>
    <x v="1"/>
    <x v="3"/>
    <x v="3"/>
    <s v="Q2"/>
  </r>
  <r>
    <s v="ORD100469"/>
    <x v="463"/>
    <s v="CUST1006"/>
    <s v="Priya Patel"/>
    <x v="1"/>
    <s v="Delhi"/>
    <s v="New Delhi"/>
    <x v="3"/>
    <s v="Cleaning"/>
    <x v="12"/>
    <n v="1"/>
    <n v="13125.74"/>
    <n v="0.05"/>
    <n v="12469.45"/>
    <n v="9249.6"/>
    <n v="3219.85"/>
    <x v="0"/>
    <n v="0.2582190874497271"/>
    <x v="1"/>
    <x v="3"/>
    <x v="3"/>
    <s v="Q2"/>
  </r>
  <r>
    <s v="ORD102033"/>
    <x v="463"/>
    <s v="CUST1614"/>
    <s v="Rahul Naidu"/>
    <x v="2"/>
    <s v="Tamil Nadu"/>
    <s v="Coimbatore"/>
    <x v="3"/>
    <s v="Cleaning"/>
    <x v="12"/>
    <n v="1"/>
    <n v="13696.14"/>
    <n v="0.1"/>
    <n v="12326.53"/>
    <n v="9760.0400000000009"/>
    <n v="2566.4899999999998"/>
    <x v="0"/>
    <n v="0.2082086361693031"/>
    <x v="1"/>
    <x v="3"/>
    <x v="3"/>
    <s v="Q2"/>
  </r>
  <r>
    <s v="ORD102136"/>
    <x v="463"/>
    <s v="CUST1222"/>
    <s v="Aisha Verma"/>
    <x v="1"/>
    <s v="Delhi"/>
    <s v="New Delhi"/>
    <x v="3"/>
    <s v="Kitchen"/>
    <x v="7"/>
    <n v="4"/>
    <n v="1721.8"/>
    <n v="0.1"/>
    <n v="6198.48"/>
    <n v="3585.77"/>
    <n v="2612.71"/>
    <x v="0"/>
    <n v="0.42150817619803571"/>
    <x v="1"/>
    <x v="3"/>
    <x v="3"/>
    <s v="Q2"/>
  </r>
  <r>
    <s v="ORD100083"/>
    <x v="464"/>
    <s v="CUST1226"/>
    <s v="Sanjana Sharma"/>
    <x v="2"/>
    <s v="Karnataka"/>
    <s v="Mangaluru"/>
    <x v="1"/>
    <s v="Stationery"/>
    <x v="1"/>
    <n v="2"/>
    <n v="243.7"/>
    <n v="0.05"/>
    <n v="463.03"/>
    <n v="180.11"/>
    <n v="282.92"/>
    <x v="2"/>
    <n v="0.6110187244886941"/>
    <x v="1"/>
    <x v="3"/>
    <x v="3"/>
    <s v="Q2"/>
  </r>
  <r>
    <s v="ORD100351"/>
    <x v="465"/>
    <s v="CUST1540"/>
    <s v="Kavya Mehta"/>
    <x v="2"/>
    <s v="Tamil Nadu"/>
    <s v="Salem"/>
    <x v="0"/>
    <s v="Audio"/>
    <x v="8"/>
    <n v="3"/>
    <n v="3133.99"/>
    <n v="0.1"/>
    <n v="8461.77"/>
    <n v="4933.46"/>
    <n v="3528.31"/>
    <x v="2"/>
    <n v="0.41697068107499963"/>
    <x v="1"/>
    <x v="3"/>
    <x v="3"/>
    <s v="Q2"/>
  </r>
  <r>
    <s v="ORD101736"/>
    <x v="465"/>
    <s v="CUST1572"/>
    <s v="Rahul Nair"/>
    <x v="2"/>
    <s v="Tamil Nadu"/>
    <s v="Coimbatore"/>
    <x v="3"/>
    <s v="Cleaning"/>
    <x v="12"/>
    <n v="5"/>
    <n v="12646.94"/>
    <n v="0"/>
    <n v="63234.7"/>
    <n v="45035.16"/>
    <n v="18199.54"/>
    <x v="1"/>
    <n v="0.2878093831393207"/>
    <x v="1"/>
    <x v="3"/>
    <x v="3"/>
    <s v="Q2"/>
  </r>
  <r>
    <s v="ORD101490"/>
    <x v="465"/>
    <s v="CUST1363"/>
    <s v="Ananya Das"/>
    <x v="2"/>
    <s v="Tamil Nadu"/>
    <s v="Chennai"/>
    <x v="1"/>
    <s v="Storage"/>
    <x v="2"/>
    <n v="5"/>
    <n v="737.01"/>
    <n v="0.05"/>
    <n v="3500.8"/>
    <n v="1707.76"/>
    <n v="1793.04"/>
    <x v="0"/>
    <n v="0.51218007312614255"/>
    <x v="1"/>
    <x v="3"/>
    <x v="3"/>
    <s v="Q2"/>
  </r>
  <r>
    <s v="ORD101921"/>
    <x v="465"/>
    <s v="CUST1066"/>
    <s v="Neha Gupta"/>
    <x v="1"/>
    <s v="Delhi"/>
    <s v="Delhi"/>
    <x v="0"/>
    <s v="Computers"/>
    <x v="0"/>
    <n v="1"/>
    <n v="56458.5"/>
    <n v="0.1"/>
    <n v="50812.65"/>
    <n v="49671.06"/>
    <n v="1141.5899999999999"/>
    <x v="0"/>
    <n v="2.2466649544945989E-2"/>
    <x v="1"/>
    <x v="3"/>
    <x v="3"/>
    <s v="Q2"/>
  </r>
  <r>
    <s v="ORD100303"/>
    <x v="465"/>
    <s v="CUST1310"/>
    <s v="Nikhil Rao"/>
    <x v="1"/>
    <s v="Delhi"/>
    <s v="New Delhi"/>
    <x v="2"/>
    <s v="Living Room"/>
    <x v="4"/>
    <n v="6"/>
    <n v="5033.54"/>
    <n v="0"/>
    <n v="30201.24"/>
    <n v="18792.7"/>
    <n v="11408.54"/>
    <x v="1"/>
    <n v="0.37775071487131001"/>
    <x v="1"/>
    <x v="3"/>
    <x v="3"/>
    <s v="Q2"/>
  </r>
  <r>
    <s v="ORD101435"/>
    <x v="465"/>
    <s v="CUST1184"/>
    <s v="Ananya Naidu"/>
    <x v="2"/>
    <s v="Karnataka"/>
    <s v="Bengaluru"/>
    <x v="2"/>
    <s v="Living Room"/>
    <x v="4"/>
    <n v="1"/>
    <n v="4928.5600000000004"/>
    <n v="0"/>
    <n v="4928.5600000000004"/>
    <n v="2946.06"/>
    <n v="1982.5"/>
    <x v="0"/>
    <n v="0.40224730955897858"/>
    <x v="1"/>
    <x v="3"/>
    <x v="3"/>
    <s v="Q2"/>
  </r>
  <r>
    <s v="ORD100764"/>
    <x v="465"/>
    <s v="CUST1433"/>
    <s v="Rahul Joshi"/>
    <x v="3"/>
    <s v="West Bengal"/>
    <s v="Siliguri"/>
    <x v="0"/>
    <s v="Computers"/>
    <x v="0"/>
    <n v="3"/>
    <n v="62475.98"/>
    <n v="0"/>
    <n v="187427.94"/>
    <n v="161783.07999999999"/>
    <n v="25644.86"/>
    <x v="0"/>
    <n v="0.13682517131650701"/>
    <x v="1"/>
    <x v="3"/>
    <x v="3"/>
    <s v="Q2"/>
  </r>
  <r>
    <s v="ORD100583"/>
    <x v="466"/>
    <s v="CUST1571"/>
    <s v="Aisha Iyer"/>
    <x v="2"/>
    <s v="Tamil Nadu"/>
    <s v="Salem"/>
    <x v="3"/>
    <s v="Kitchen"/>
    <x v="13"/>
    <n v="3"/>
    <n v="3394.73"/>
    <n v="0.05"/>
    <n v="9674.98"/>
    <n v="5683.27"/>
    <n v="3991.71"/>
    <x v="0"/>
    <n v="0.41258069784123591"/>
    <x v="1"/>
    <x v="3"/>
    <x v="3"/>
    <s v="Q2"/>
  </r>
  <r>
    <s v="ORD100969"/>
    <x v="466"/>
    <s v="CUST1596"/>
    <s v="Sanjana Sharma"/>
    <x v="2"/>
    <s v="Telangana"/>
    <s v="Karimnagar"/>
    <x v="2"/>
    <s v="Office"/>
    <x v="10"/>
    <n v="1"/>
    <n v="7355"/>
    <n v="0.05"/>
    <n v="6987.25"/>
    <n v="4747.82"/>
    <n v="2239.4299999999998"/>
    <x v="3"/>
    <n v="0.3205023435543311"/>
    <x v="1"/>
    <x v="3"/>
    <x v="3"/>
    <s v="Q2"/>
  </r>
  <r>
    <s v="ORD100928"/>
    <x v="466"/>
    <s v="CUST1234"/>
    <s v="Pooja Singh"/>
    <x v="3"/>
    <s v="West Bengal"/>
    <s v="Kolkata"/>
    <x v="0"/>
    <s v="Computers"/>
    <x v="0"/>
    <n v="1"/>
    <n v="60475.01"/>
    <n v="0.05"/>
    <n v="57451.26"/>
    <n v="51343.89"/>
    <n v="6107.37"/>
    <x v="0"/>
    <n v="0.10630524030282359"/>
    <x v="1"/>
    <x v="3"/>
    <x v="3"/>
    <s v="Q2"/>
  </r>
  <r>
    <s v="ORD100799"/>
    <x v="466"/>
    <s v="CUST1157"/>
    <s v="Nikhil Rao"/>
    <x v="2"/>
    <s v="Karnataka"/>
    <s v="Bengaluru"/>
    <x v="1"/>
    <s v="Stationery"/>
    <x v="17"/>
    <n v="2"/>
    <n v="306.87"/>
    <n v="0.1"/>
    <n v="552.37"/>
    <n v="263.10000000000002"/>
    <n v="289.27"/>
    <x v="0"/>
    <n v="0.52368883176131942"/>
    <x v="1"/>
    <x v="3"/>
    <x v="3"/>
    <s v="Q2"/>
  </r>
  <r>
    <s v="ORD100580"/>
    <x v="466"/>
    <s v="CUST1316"/>
    <s v="Rahul Das"/>
    <x v="2"/>
    <s v="Tamil Nadu"/>
    <s v="Madurai"/>
    <x v="0"/>
    <s v="Computers"/>
    <x v="0"/>
    <n v="4"/>
    <n v="57875.8"/>
    <n v="0.1"/>
    <n v="208352.88"/>
    <n v="199096.06"/>
    <n v="9256.82"/>
    <x v="0"/>
    <n v="4.4428567534079678E-2"/>
    <x v="1"/>
    <x v="3"/>
    <x v="3"/>
    <s v="Q2"/>
  </r>
  <r>
    <s v="ORD101099"/>
    <x v="467"/>
    <s v="CUST1420"/>
    <s v="Rahul Kumar"/>
    <x v="2"/>
    <s v="Telangana"/>
    <s v="Nizamabad"/>
    <x v="2"/>
    <s v="Office"/>
    <x v="14"/>
    <n v="4"/>
    <n v="8548.2199999999993"/>
    <n v="0.05"/>
    <n v="32483.24"/>
    <n v="23397.29"/>
    <n v="9085.9500000000007"/>
    <x v="0"/>
    <n v="0.27971193760228352"/>
    <x v="1"/>
    <x v="3"/>
    <x v="3"/>
    <s v="Q2"/>
  </r>
  <r>
    <s v="ORD100354"/>
    <x v="467"/>
    <s v="CUST1384"/>
    <s v="Vikram Reddy"/>
    <x v="2"/>
    <s v="Telangana"/>
    <s v="Nizamabad"/>
    <x v="1"/>
    <s v="Stationery"/>
    <x v="17"/>
    <n v="1"/>
    <n v="284.08999999999997"/>
    <n v="0.1"/>
    <n v="255.68"/>
    <n v="121.94"/>
    <n v="133.74"/>
    <x v="0"/>
    <n v="0.52307571964956201"/>
    <x v="1"/>
    <x v="3"/>
    <x v="3"/>
    <s v="Q2"/>
  </r>
  <r>
    <s v="ORD100857"/>
    <x v="467"/>
    <s v="CUST1471"/>
    <s v="Diya Mehta"/>
    <x v="2"/>
    <s v="Telangana"/>
    <s v="Warangal"/>
    <x v="2"/>
    <s v="Office"/>
    <x v="14"/>
    <n v="3"/>
    <n v="8722.01"/>
    <n v="0.1"/>
    <n v="23549.43"/>
    <n v="17203.419999999998"/>
    <n v="6346.01"/>
    <x v="3"/>
    <n v="0.26947616141876901"/>
    <x v="1"/>
    <x v="3"/>
    <x v="3"/>
    <s v="Q2"/>
  </r>
  <r>
    <s v="ORD102453"/>
    <x v="467"/>
    <s v="CUST1049"/>
    <s v="Diya Malhotra"/>
    <x v="0"/>
    <s v="Maharashtra"/>
    <s v="Mumbai"/>
    <x v="0"/>
    <s v="Accessories"/>
    <x v="5"/>
    <n v="2"/>
    <n v="2549"/>
    <n v="0.1"/>
    <n v="4588.2"/>
    <n v="2827.54"/>
    <n v="1760.66"/>
    <x v="0"/>
    <n v="0.38373654156314019"/>
    <x v="1"/>
    <x v="3"/>
    <x v="3"/>
    <s v="Q2"/>
  </r>
  <r>
    <s v="ORD100929"/>
    <x v="468"/>
    <s v="CUST1591"/>
    <s v="Priya Mehta"/>
    <x v="2"/>
    <s v="Karnataka"/>
    <s v="Mangaluru"/>
    <x v="2"/>
    <s v="Living Room"/>
    <x v="4"/>
    <n v="2"/>
    <n v="4760.93"/>
    <n v="0.15"/>
    <n v="8093.58"/>
    <n v="5645.56"/>
    <n v="2448.02"/>
    <x v="2"/>
    <n v="0.3024644224187566"/>
    <x v="1"/>
    <x v="3"/>
    <x v="3"/>
    <s v="Q2"/>
  </r>
  <r>
    <s v="ORD100203"/>
    <x v="468"/>
    <s v="CUST1209"/>
    <s v="Neha Iyer"/>
    <x v="2"/>
    <s v="Karnataka"/>
    <s v="Mangaluru"/>
    <x v="0"/>
    <s v="Computers"/>
    <x v="3"/>
    <n v="4"/>
    <n v="15461.74"/>
    <n v="0"/>
    <n v="61846.96"/>
    <n v="47171.61"/>
    <n v="14675.35"/>
    <x v="0"/>
    <n v="0.23728490454502529"/>
    <x v="1"/>
    <x v="3"/>
    <x v="3"/>
    <s v="Q2"/>
  </r>
  <r>
    <s v="ORD101815"/>
    <x v="469"/>
    <s v="CUST1519"/>
    <s v="Priya Reddy"/>
    <x v="2"/>
    <s v="Telangana"/>
    <s v="Hyderabad"/>
    <x v="3"/>
    <s v="Cleaning"/>
    <x v="12"/>
    <n v="1"/>
    <n v="12242.27"/>
    <n v="0.1"/>
    <n v="11018.04"/>
    <n v="8820.67"/>
    <n v="2197.37"/>
    <x v="1"/>
    <n v="0.19943383759724961"/>
    <x v="1"/>
    <x v="3"/>
    <x v="3"/>
    <s v="Q2"/>
  </r>
  <r>
    <s v="ORD100868"/>
    <x v="469"/>
    <s v="CUST1095"/>
    <s v="Arjun Reddy"/>
    <x v="3"/>
    <s v="West Bengal"/>
    <s v="Durgapur"/>
    <x v="0"/>
    <s v="Computers"/>
    <x v="3"/>
    <n v="4"/>
    <n v="16618.72"/>
    <n v="0.1"/>
    <n v="59827.39"/>
    <n v="50049.06"/>
    <n v="9778.33"/>
    <x v="3"/>
    <n v="0.16344236310492569"/>
    <x v="1"/>
    <x v="3"/>
    <x v="3"/>
    <s v="Q2"/>
  </r>
  <r>
    <s v="ORD100683"/>
    <x v="469"/>
    <s v="CUST1479"/>
    <s v="Neha Iyer"/>
    <x v="0"/>
    <s v="Maharashtra"/>
    <s v="Nashik"/>
    <x v="2"/>
    <s v="Living Room"/>
    <x v="16"/>
    <n v="2"/>
    <n v="4049.5"/>
    <n v="0.05"/>
    <n v="7694.05"/>
    <n v="5208.6099999999997"/>
    <n v="2485.44"/>
    <x v="1"/>
    <n v="0.32303403279157272"/>
    <x v="1"/>
    <x v="3"/>
    <x v="3"/>
    <s v="Q2"/>
  </r>
  <r>
    <s v="ORD100904"/>
    <x v="469"/>
    <s v="CUST1436"/>
    <s v="Neha Gupta"/>
    <x v="2"/>
    <s v="Tamil Nadu"/>
    <s v="Coimbatore"/>
    <x v="0"/>
    <s v="Computers"/>
    <x v="0"/>
    <n v="6"/>
    <n v="62347.11"/>
    <n v="0.15"/>
    <n v="317970.26"/>
    <n v="342279.33"/>
    <n v="-24309.07"/>
    <x v="4"/>
    <n v="-7.6450766181717741E-2"/>
    <x v="1"/>
    <x v="3"/>
    <x v="3"/>
    <s v="Q2"/>
  </r>
  <r>
    <s v="ORD100883"/>
    <x v="470"/>
    <s v="CUST1239"/>
    <s v="Rohan Malhotra"/>
    <x v="1"/>
    <s v="Delhi"/>
    <s v="Delhi"/>
    <x v="2"/>
    <s v="Living Room"/>
    <x v="16"/>
    <n v="1"/>
    <n v="4110.5200000000004"/>
    <n v="0.1"/>
    <n v="3699.47"/>
    <n v="2525.04"/>
    <n v="1174.43"/>
    <x v="1"/>
    <n v="0.3174589873684609"/>
    <x v="1"/>
    <x v="3"/>
    <x v="3"/>
    <s v="Q2"/>
  </r>
  <r>
    <s v="ORD100940"/>
    <x v="470"/>
    <s v="CUST1616"/>
    <s v="Nikhil Iyer"/>
    <x v="2"/>
    <s v="Tamil Nadu"/>
    <s v="Coimbatore"/>
    <x v="3"/>
    <s v="Cleaning"/>
    <x v="15"/>
    <n v="6"/>
    <n v="7230.83"/>
    <n v="0.15"/>
    <n v="36877.230000000003"/>
    <n v="29204.06"/>
    <n v="7673.17"/>
    <x v="4"/>
    <n v="0.2080733829520276"/>
    <x v="1"/>
    <x v="3"/>
    <x v="3"/>
    <s v="Q2"/>
  </r>
  <r>
    <s v="ORD100772"/>
    <x v="470"/>
    <s v="CUST1150"/>
    <s v="Ananya Gupta"/>
    <x v="3"/>
    <s v="West Bengal"/>
    <s v="Siliguri"/>
    <x v="0"/>
    <s v="Audio"/>
    <x v="11"/>
    <n v="2"/>
    <n v="1913.74"/>
    <n v="0.15"/>
    <n v="3253.36"/>
    <n v="2286.61"/>
    <n v="966.75"/>
    <x v="0"/>
    <n v="0.2971543266038803"/>
    <x v="1"/>
    <x v="3"/>
    <x v="3"/>
    <s v="Q2"/>
  </r>
  <r>
    <s v="ORD100634"/>
    <x v="470"/>
    <s v="CUST1056"/>
    <s v="Diya Kumar"/>
    <x v="1"/>
    <s v="Delhi"/>
    <s v="Delhi"/>
    <x v="1"/>
    <s v="Storage"/>
    <x v="9"/>
    <n v="4"/>
    <n v="483.31"/>
    <n v="0"/>
    <n v="1933.24"/>
    <n v="889.38"/>
    <n v="1043.8599999999999"/>
    <x v="2"/>
    <n v="0.53995365293496922"/>
    <x v="1"/>
    <x v="3"/>
    <x v="3"/>
    <s v="Q2"/>
  </r>
  <r>
    <s v="ORD100716"/>
    <x v="470"/>
    <s v="CUST1055"/>
    <s v="Varun Reddy"/>
    <x v="0"/>
    <s v="Maharashtra"/>
    <s v="Nashik"/>
    <x v="0"/>
    <s v="Accessories"/>
    <x v="5"/>
    <n v="4"/>
    <n v="2358.9699999999998"/>
    <n v="0"/>
    <n v="9435.8799999999992"/>
    <n v="5219.92"/>
    <n v="4215.96"/>
    <x v="1"/>
    <n v="0.44680093430607432"/>
    <x v="1"/>
    <x v="3"/>
    <x v="3"/>
    <s v="Q2"/>
  </r>
  <r>
    <s v="ORD100027"/>
    <x v="471"/>
    <s v="CUST1389"/>
    <s v="Neha Kumar"/>
    <x v="2"/>
    <s v="Telangana"/>
    <s v="Warangal"/>
    <x v="2"/>
    <s v="Living Room"/>
    <x v="16"/>
    <n v="6"/>
    <n v="4202.8599999999997"/>
    <n v="0.05"/>
    <n v="23956.3"/>
    <n v="15282.93"/>
    <n v="8673.3700000000008"/>
    <x v="0"/>
    <n v="0.36204964873540568"/>
    <x v="1"/>
    <x v="3"/>
    <x v="3"/>
    <s v="Q2"/>
  </r>
  <r>
    <s v="ORD100801"/>
    <x v="472"/>
    <s v="CUST1496"/>
    <s v="Vikram Reddy"/>
    <x v="2"/>
    <s v="Tamil Nadu"/>
    <s v="Coimbatore"/>
    <x v="0"/>
    <s v="Computers"/>
    <x v="3"/>
    <n v="2"/>
    <n v="16738.099999999999"/>
    <n v="0.05"/>
    <n v="31802.39"/>
    <n v="25655.14"/>
    <n v="6147.25"/>
    <x v="2"/>
    <n v="0.1932952208937756"/>
    <x v="1"/>
    <x v="3"/>
    <x v="3"/>
    <s v="Q2"/>
  </r>
  <r>
    <s v="ORD101892"/>
    <x v="472"/>
    <s v="CUST1041"/>
    <s v="Varun Patel"/>
    <x v="2"/>
    <s v="Tamil Nadu"/>
    <s v="Chennai"/>
    <x v="1"/>
    <s v="Storage"/>
    <x v="9"/>
    <n v="2"/>
    <n v="489.9"/>
    <n v="0"/>
    <n v="979.8"/>
    <n v="426.87"/>
    <n v="552.92999999999995"/>
    <x v="1"/>
    <n v="0.56432945499081444"/>
    <x v="1"/>
    <x v="3"/>
    <x v="3"/>
    <s v="Q2"/>
  </r>
  <r>
    <s v="ORD100894"/>
    <x v="472"/>
    <s v="CUST1195"/>
    <s v="Vikram Das"/>
    <x v="2"/>
    <s v="Tamil Nadu"/>
    <s v="Madurai"/>
    <x v="3"/>
    <s v="Cleaning"/>
    <x v="15"/>
    <n v="4"/>
    <n v="7603.56"/>
    <n v="0.15"/>
    <n v="25852.1"/>
    <n v="20382.830000000002"/>
    <n v="5469.27"/>
    <x v="2"/>
    <n v="0.2115599893238847"/>
    <x v="1"/>
    <x v="3"/>
    <x v="3"/>
    <s v="Q2"/>
  </r>
  <r>
    <s v="ORD101363"/>
    <x v="472"/>
    <s v="CUST1566"/>
    <s v="Priya Malhotra"/>
    <x v="3"/>
    <s v="West Bengal"/>
    <s v="Kolkata"/>
    <x v="0"/>
    <s v="Accessories"/>
    <x v="6"/>
    <n v="2"/>
    <n v="824.27"/>
    <n v="0.1"/>
    <n v="1483.69"/>
    <n v="1008.46"/>
    <n v="475.23"/>
    <x v="3"/>
    <n v="0.32030275866252378"/>
    <x v="1"/>
    <x v="3"/>
    <x v="3"/>
    <s v="Q2"/>
  </r>
  <r>
    <s v="ORD101300"/>
    <x v="473"/>
    <s v="CUST1292"/>
    <s v="Ananya Rao"/>
    <x v="3"/>
    <s v="West Bengal"/>
    <s v="Kolkata"/>
    <x v="1"/>
    <s v="Storage"/>
    <x v="2"/>
    <n v="2"/>
    <n v="724.57"/>
    <n v="0.1"/>
    <n v="1304.23"/>
    <n v="702.15"/>
    <n v="602.08000000000004"/>
    <x v="0"/>
    <n v="0.46163636781855971"/>
    <x v="1"/>
    <x v="4"/>
    <x v="4"/>
    <s v="Q2"/>
  </r>
  <r>
    <s v="ORD102003"/>
    <x v="473"/>
    <s v="CUST1258"/>
    <s v="Pooja Das"/>
    <x v="3"/>
    <s v="West Bengal"/>
    <s v="Durgapur"/>
    <x v="3"/>
    <s v="Cleaning"/>
    <x v="15"/>
    <n v="2"/>
    <n v="7081.11"/>
    <n v="0.1"/>
    <n v="12746"/>
    <n v="8870.7999999999993"/>
    <n v="3875.2"/>
    <x v="0"/>
    <n v="0.30403263769025568"/>
    <x v="1"/>
    <x v="4"/>
    <x v="4"/>
    <s v="Q2"/>
  </r>
  <r>
    <s v="ORD100279"/>
    <x v="473"/>
    <s v="CUST1228"/>
    <s v="Vikram Patel"/>
    <x v="2"/>
    <s v="Telangana"/>
    <s v="Karimnagar"/>
    <x v="0"/>
    <s v="Audio"/>
    <x v="11"/>
    <n v="3"/>
    <n v="1979.47"/>
    <n v="0.05"/>
    <n v="5641.49"/>
    <n v="3407.52"/>
    <n v="2233.9699999999998"/>
    <x v="0"/>
    <n v="0.39598935742153218"/>
    <x v="1"/>
    <x v="4"/>
    <x v="4"/>
    <s v="Q2"/>
  </r>
  <r>
    <s v="ORD101639"/>
    <x v="474"/>
    <s v="CUST1204"/>
    <s v="Neha Naidu"/>
    <x v="1"/>
    <s v="Delhi"/>
    <s v="Delhi"/>
    <x v="1"/>
    <s v="Storage"/>
    <x v="2"/>
    <n v="2"/>
    <n v="684.29"/>
    <n v="0.05"/>
    <n v="1300.1500000000001"/>
    <n v="653.79999999999995"/>
    <n v="646.35"/>
    <x v="2"/>
    <n v="0.49713494596777291"/>
    <x v="1"/>
    <x v="4"/>
    <x v="4"/>
    <s v="Q2"/>
  </r>
  <r>
    <s v="ORD102416"/>
    <x v="474"/>
    <s v="CUST1210"/>
    <s v="Kiran Gupta"/>
    <x v="3"/>
    <s v="West Bengal"/>
    <s v="Durgapur"/>
    <x v="2"/>
    <s v="Office"/>
    <x v="10"/>
    <n v="6"/>
    <n v="6827.83"/>
    <n v="0.1"/>
    <n v="36870.28"/>
    <n v="25986.03"/>
    <n v="10884.25"/>
    <x v="2"/>
    <n v="0.29520388779255269"/>
    <x v="1"/>
    <x v="4"/>
    <x v="4"/>
    <s v="Q2"/>
  </r>
  <r>
    <s v="ORD101420"/>
    <x v="474"/>
    <s v="CUST1627"/>
    <s v="Aarav Reddy"/>
    <x v="2"/>
    <s v="Telangana"/>
    <s v="Hyderabad"/>
    <x v="1"/>
    <s v="Storage"/>
    <x v="9"/>
    <n v="4"/>
    <n v="495.17"/>
    <n v="0.05"/>
    <n v="1881.65"/>
    <n v="867.66"/>
    <n v="1013.99"/>
    <x v="1"/>
    <n v="0.53888342677968804"/>
    <x v="1"/>
    <x v="4"/>
    <x v="4"/>
    <s v="Q2"/>
  </r>
  <r>
    <s v="ORD100720"/>
    <x v="474"/>
    <s v="CUST1086"/>
    <s v="Vikram Joshi"/>
    <x v="2"/>
    <s v="Telangana"/>
    <s v="Warangal"/>
    <x v="0"/>
    <s v="Computers"/>
    <x v="0"/>
    <n v="6"/>
    <n v="60858.68"/>
    <n v="0.05"/>
    <n v="346894.48"/>
    <n v="318421.40000000002"/>
    <n v="28473.08"/>
    <x v="0"/>
    <n v="8.2079945463531173E-2"/>
    <x v="1"/>
    <x v="4"/>
    <x v="4"/>
    <s v="Q2"/>
  </r>
  <r>
    <s v="ORD101307"/>
    <x v="474"/>
    <s v="CUST1157"/>
    <s v="Sneha Mehta"/>
    <x v="0"/>
    <s v="Maharashtra"/>
    <s v="Mumbai"/>
    <x v="3"/>
    <s v="Kitchen"/>
    <x v="7"/>
    <n v="3"/>
    <n v="1728.35"/>
    <n v="0.15"/>
    <n v="4407.29"/>
    <n v="2867.08"/>
    <n v="1540.21"/>
    <x v="0"/>
    <n v="0.34946872114156319"/>
    <x v="1"/>
    <x v="4"/>
    <x v="4"/>
    <s v="Q2"/>
  </r>
  <r>
    <s v="ORD101113"/>
    <x v="474"/>
    <s v="CUST1503"/>
    <s v="Neha Rao"/>
    <x v="0"/>
    <s v="Maharashtra"/>
    <s v="Nashik"/>
    <x v="2"/>
    <s v="Living Room"/>
    <x v="4"/>
    <n v="2"/>
    <n v="4821.78"/>
    <n v="0"/>
    <n v="9643.56"/>
    <n v="5731.5"/>
    <n v="3912.06"/>
    <x v="4"/>
    <n v="0.40566554260045051"/>
    <x v="1"/>
    <x v="4"/>
    <x v="4"/>
    <s v="Q2"/>
  </r>
  <r>
    <s v="ORD101776"/>
    <x v="474"/>
    <s v="CUST1518"/>
    <s v="Neha Naidu"/>
    <x v="2"/>
    <s v="Telangana"/>
    <s v="Hyderabad"/>
    <x v="0"/>
    <s v="Audio"/>
    <x v="8"/>
    <n v="2"/>
    <n v="3048.42"/>
    <n v="0.05"/>
    <n v="5792"/>
    <n v="3097.5"/>
    <n v="2694.5"/>
    <x v="3"/>
    <n v="0.465210635359116"/>
    <x v="1"/>
    <x v="4"/>
    <x v="4"/>
    <s v="Q2"/>
  </r>
  <r>
    <s v="ORD101248"/>
    <x v="474"/>
    <s v="CUST1078"/>
    <s v="Sneha Rao"/>
    <x v="2"/>
    <s v="Telangana"/>
    <s v="Hyderabad"/>
    <x v="1"/>
    <s v="Storage"/>
    <x v="2"/>
    <n v="4"/>
    <n v="723.46"/>
    <n v="0.15"/>
    <n v="2459.7600000000002"/>
    <n v="1352.69"/>
    <n v="1107.07"/>
    <x v="3"/>
    <n v="0.45007236478355611"/>
    <x v="1"/>
    <x v="4"/>
    <x v="4"/>
    <s v="Q2"/>
  </r>
  <r>
    <s v="ORD101309"/>
    <x v="475"/>
    <s v="CUST1103"/>
    <s v="Aisha Verma"/>
    <x v="2"/>
    <s v="Telangana"/>
    <s v="Warangal"/>
    <x v="3"/>
    <s v="Cleaning"/>
    <x v="12"/>
    <n v="5"/>
    <n v="13274.11"/>
    <n v="0.1"/>
    <n v="59733.5"/>
    <n v="46170.42"/>
    <n v="13563.08"/>
    <x v="0"/>
    <n v="0.22705985753387961"/>
    <x v="1"/>
    <x v="4"/>
    <x v="4"/>
    <s v="Q2"/>
  </r>
  <r>
    <s v="ORD100680"/>
    <x v="475"/>
    <s v="CUST1357"/>
    <s v="Priya Das"/>
    <x v="1"/>
    <s v="Delhi"/>
    <s v="Delhi"/>
    <x v="0"/>
    <s v="Computers"/>
    <x v="0"/>
    <n v="2"/>
    <n v="55724.95"/>
    <n v="0.05"/>
    <n v="105877.4"/>
    <n v="99706.52"/>
    <n v="6170.88"/>
    <x v="0"/>
    <n v="5.82832596947035E-2"/>
    <x v="1"/>
    <x v="4"/>
    <x v="4"/>
    <s v="Q2"/>
  </r>
  <r>
    <s v="ORD102195"/>
    <x v="475"/>
    <s v="CUST1390"/>
    <s v="Aditya Das"/>
    <x v="2"/>
    <s v="Telangana"/>
    <s v="Hyderabad"/>
    <x v="0"/>
    <s v="Accessories"/>
    <x v="6"/>
    <n v="4"/>
    <n v="773.22"/>
    <n v="0.15"/>
    <n v="2628.95"/>
    <n v="1976.2"/>
    <n v="652.75"/>
    <x v="0"/>
    <n v="0.24829304475170699"/>
    <x v="1"/>
    <x v="4"/>
    <x v="4"/>
    <s v="Q2"/>
  </r>
  <r>
    <s v="ORD100967"/>
    <x v="475"/>
    <s v="CUST1107"/>
    <s v="Neha Reddy"/>
    <x v="2"/>
    <s v="Telangana"/>
    <s v="Karimnagar"/>
    <x v="1"/>
    <s v="Storage"/>
    <x v="2"/>
    <n v="3"/>
    <n v="662.34"/>
    <n v="0.05"/>
    <n v="1887.67"/>
    <n v="960.19"/>
    <n v="927.48"/>
    <x v="4"/>
    <n v="0.4913358796823597"/>
    <x v="1"/>
    <x v="4"/>
    <x v="4"/>
    <s v="Q2"/>
  </r>
  <r>
    <s v="ORD101266"/>
    <x v="475"/>
    <s v="CUST1605"/>
    <s v="Rahul Nair"/>
    <x v="2"/>
    <s v="Karnataka"/>
    <s v="Mangaluru"/>
    <x v="0"/>
    <s v="Audio"/>
    <x v="8"/>
    <n v="3"/>
    <n v="3121.24"/>
    <n v="0.1"/>
    <n v="8427.35"/>
    <n v="4863.29"/>
    <n v="3564.06"/>
    <x v="0"/>
    <n v="0.42291586323102748"/>
    <x v="1"/>
    <x v="4"/>
    <x v="4"/>
    <s v="Q2"/>
  </r>
  <r>
    <s v="ORD100062"/>
    <x v="475"/>
    <s v="CUST1078"/>
    <s v="Vikram Rao"/>
    <x v="1"/>
    <s v="Delhi"/>
    <s v="New Delhi"/>
    <x v="3"/>
    <s v="Kitchen"/>
    <x v="13"/>
    <n v="4"/>
    <n v="3161.87"/>
    <n v="0.05"/>
    <n v="12015.11"/>
    <n v="7267.22"/>
    <n v="4747.8900000000003"/>
    <x v="3"/>
    <n v="0.39515992779092329"/>
    <x v="1"/>
    <x v="4"/>
    <x v="4"/>
    <s v="Q2"/>
  </r>
  <r>
    <s v="ORD100466"/>
    <x v="475"/>
    <s v="CUST1069"/>
    <s v="Arjun Rao"/>
    <x v="3"/>
    <s v="West Bengal"/>
    <s v="Siliguri"/>
    <x v="1"/>
    <s v="Storage"/>
    <x v="9"/>
    <n v="1"/>
    <n v="528.29"/>
    <n v="0.1"/>
    <n v="475.46"/>
    <n v="246.23"/>
    <n v="229.23"/>
    <x v="0"/>
    <n v="0.4821225760316325"/>
    <x v="1"/>
    <x v="4"/>
    <x v="4"/>
    <s v="Q2"/>
  </r>
  <r>
    <s v="ORD100437"/>
    <x v="476"/>
    <s v="CUST1623"/>
    <s v="Aisha Naidu"/>
    <x v="0"/>
    <s v="Maharashtra"/>
    <s v="Pune"/>
    <x v="0"/>
    <s v="Computers"/>
    <x v="0"/>
    <n v="2"/>
    <n v="61601.55"/>
    <n v="0.1"/>
    <n v="110882.79"/>
    <n v="110659.72"/>
    <n v="223.07"/>
    <x v="4"/>
    <n v="2.0117639536306759E-3"/>
    <x v="1"/>
    <x v="4"/>
    <x v="4"/>
    <s v="Q2"/>
  </r>
  <r>
    <s v="ORD101724"/>
    <x v="476"/>
    <s v="CUST1071"/>
    <s v="Nikhil Gupta"/>
    <x v="2"/>
    <s v="Telangana"/>
    <s v="Hyderabad"/>
    <x v="0"/>
    <s v="Computers"/>
    <x v="3"/>
    <n v="4"/>
    <n v="16289.33"/>
    <n v="0.15"/>
    <n v="55383.72"/>
    <n v="49252.29"/>
    <n v="6131.43"/>
    <x v="1"/>
    <n v="0.1107081647819973"/>
    <x v="1"/>
    <x v="4"/>
    <x v="4"/>
    <s v="Q2"/>
  </r>
  <r>
    <s v="ORD101369"/>
    <x v="477"/>
    <s v="CUST1021"/>
    <s v="Sneha Mehta"/>
    <x v="2"/>
    <s v="Telangana"/>
    <s v="Warangal"/>
    <x v="2"/>
    <s v="Office"/>
    <x v="14"/>
    <n v="3"/>
    <n v="8222.0499999999993"/>
    <n v="0.1"/>
    <n v="22199.53"/>
    <n v="16291.88"/>
    <n v="5907.65"/>
    <x v="1"/>
    <n v="0.26611599434762812"/>
    <x v="1"/>
    <x v="4"/>
    <x v="4"/>
    <s v="Q2"/>
  </r>
  <r>
    <s v="ORD101115"/>
    <x v="477"/>
    <s v="CUST1188"/>
    <s v="Aisha Das"/>
    <x v="0"/>
    <s v="Maharashtra"/>
    <s v="Mumbai"/>
    <x v="1"/>
    <s v="Stationery"/>
    <x v="17"/>
    <n v="1"/>
    <n v="284.02"/>
    <n v="0"/>
    <n v="284.02"/>
    <n v="118"/>
    <n v="166.02"/>
    <x v="1"/>
    <n v="0.58453630026054515"/>
    <x v="1"/>
    <x v="4"/>
    <x v="4"/>
    <s v="Q2"/>
  </r>
  <r>
    <s v="ORD100317"/>
    <x v="477"/>
    <s v="CUST1040"/>
    <s v="Sanjana Patel"/>
    <x v="2"/>
    <s v="Tamil Nadu"/>
    <s v="Chennai"/>
    <x v="1"/>
    <s v="Storage"/>
    <x v="2"/>
    <n v="1"/>
    <n v="736.63"/>
    <n v="0.1"/>
    <n v="662.97"/>
    <n v="342.93"/>
    <n v="320.04000000000002"/>
    <x v="4"/>
    <n v="0.48273677541970228"/>
    <x v="1"/>
    <x v="4"/>
    <x v="4"/>
    <s v="Q2"/>
  </r>
  <r>
    <s v="ORD100038"/>
    <x v="477"/>
    <s v="CUST1596"/>
    <s v="Sanjana Verma"/>
    <x v="2"/>
    <s v="Tamil Nadu"/>
    <s v="Madurai"/>
    <x v="0"/>
    <s v="Computers"/>
    <x v="3"/>
    <n v="2"/>
    <n v="15609.03"/>
    <n v="0.1"/>
    <n v="28096.25"/>
    <n v="24254.29"/>
    <n v="3841.96"/>
    <x v="0"/>
    <n v="0.13674280375494949"/>
    <x v="1"/>
    <x v="4"/>
    <x v="4"/>
    <s v="Q2"/>
  </r>
  <r>
    <s v="ORD102278"/>
    <x v="478"/>
    <s v="CUST1552"/>
    <s v="Kiran Malhotra"/>
    <x v="2"/>
    <s v="Karnataka"/>
    <s v="Bengaluru"/>
    <x v="0"/>
    <s v="Accessories"/>
    <x v="6"/>
    <n v="1"/>
    <n v="826.1"/>
    <n v="0"/>
    <n v="826.1"/>
    <n v="515.41"/>
    <n v="310.69"/>
    <x v="1"/>
    <n v="0.37609248275027229"/>
    <x v="1"/>
    <x v="4"/>
    <x v="4"/>
    <s v="Q2"/>
  </r>
  <r>
    <s v="ORD100476"/>
    <x v="478"/>
    <s v="CUST1602"/>
    <s v="Pooja Verma"/>
    <x v="2"/>
    <s v="Karnataka"/>
    <s v="Mangaluru"/>
    <x v="2"/>
    <s v="Office"/>
    <x v="14"/>
    <n v="4"/>
    <n v="8757.5400000000009"/>
    <n v="0.05"/>
    <n v="33278.65"/>
    <n v="23125.49"/>
    <n v="10153.16"/>
    <x v="0"/>
    <n v="0.30509530885417518"/>
    <x v="1"/>
    <x v="4"/>
    <x v="4"/>
    <s v="Q2"/>
  </r>
  <r>
    <s v="ORD100166"/>
    <x v="479"/>
    <s v="CUST1564"/>
    <s v="Ananya Das"/>
    <x v="2"/>
    <s v="Telangana"/>
    <s v="Warangal"/>
    <x v="0"/>
    <s v="Computers"/>
    <x v="3"/>
    <n v="1"/>
    <n v="16890.54"/>
    <n v="0.05"/>
    <n v="16046.01"/>
    <n v="12256.74"/>
    <n v="3789.27"/>
    <x v="4"/>
    <n v="0.23615029530705761"/>
    <x v="1"/>
    <x v="4"/>
    <x v="4"/>
    <s v="Q2"/>
  </r>
  <r>
    <s v="ORD102085"/>
    <x v="479"/>
    <s v="CUST1445"/>
    <s v="Kiran Kumar"/>
    <x v="2"/>
    <s v="Karnataka"/>
    <s v="Mangaluru"/>
    <x v="2"/>
    <s v="Office"/>
    <x v="14"/>
    <n v="2"/>
    <n v="8216.81"/>
    <n v="0.1"/>
    <n v="14790.26"/>
    <n v="11051.82"/>
    <n v="3738.44"/>
    <x v="1"/>
    <n v="0.25276364310025651"/>
    <x v="1"/>
    <x v="4"/>
    <x v="4"/>
    <s v="Q2"/>
  </r>
  <r>
    <s v="ORD102484"/>
    <x v="479"/>
    <s v="CUST1383"/>
    <s v="Ishaan Rao"/>
    <x v="1"/>
    <s v="Delhi"/>
    <s v="Delhi"/>
    <x v="3"/>
    <s v="Cleaning"/>
    <x v="12"/>
    <n v="2"/>
    <n v="12686.13"/>
    <n v="0.1"/>
    <n v="22835.03"/>
    <n v="17662.43"/>
    <n v="5172.6000000000004"/>
    <x v="1"/>
    <n v="0.2265203943239838"/>
    <x v="1"/>
    <x v="4"/>
    <x v="4"/>
    <s v="Q2"/>
  </r>
  <r>
    <s v="ORD102282"/>
    <x v="479"/>
    <s v="CUST1268"/>
    <s v="Aarav Das"/>
    <x v="2"/>
    <s v="Tamil Nadu"/>
    <s v="Chennai"/>
    <x v="0"/>
    <s v="Computers"/>
    <x v="3"/>
    <n v="2"/>
    <n v="15929.52"/>
    <n v="0"/>
    <n v="31859.040000000001"/>
    <n v="23805.37"/>
    <n v="8053.67"/>
    <x v="2"/>
    <n v="0.25279073066859509"/>
    <x v="1"/>
    <x v="4"/>
    <x v="4"/>
    <s v="Q2"/>
  </r>
  <r>
    <s v="ORD102248"/>
    <x v="480"/>
    <s v="CUST1078"/>
    <s v="Rohan Iyer"/>
    <x v="2"/>
    <s v="Telangana"/>
    <s v="Hyderabad"/>
    <x v="0"/>
    <s v="Accessories"/>
    <x v="6"/>
    <n v="2"/>
    <n v="813.77"/>
    <n v="0.1"/>
    <n v="1464.79"/>
    <n v="973.92"/>
    <n v="490.87"/>
    <x v="2"/>
    <n v="0.33511288307538972"/>
    <x v="1"/>
    <x v="4"/>
    <x v="4"/>
    <s v="Q2"/>
  </r>
  <r>
    <s v="ORD100125"/>
    <x v="480"/>
    <s v="CUST1500"/>
    <s v="Aisha Naidu"/>
    <x v="2"/>
    <s v="Karnataka"/>
    <s v="Mysuru"/>
    <x v="0"/>
    <s v="Computers"/>
    <x v="3"/>
    <n v="5"/>
    <n v="16079.79"/>
    <n v="0.05"/>
    <n v="76379"/>
    <n v="61270.71"/>
    <n v="15108.29"/>
    <x v="0"/>
    <n v="0.19780685790596891"/>
    <x v="1"/>
    <x v="4"/>
    <x v="4"/>
    <s v="Q2"/>
  </r>
  <r>
    <s v="ORD100657"/>
    <x v="481"/>
    <s v="CUST1387"/>
    <s v="Rahul Malhotra"/>
    <x v="2"/>
    <s v="Telangana"/>
    <s v="Karimnagar"/>
    <x v="1"/>
    <s v="Stationery"/>
    <x v="17"/>
    <n v="4"/>
    <n v="306.11"/>
    <n v="0.15"/>
    <n v="1040.77"/>
    <n v="509.52"/>
    <n v="531.25"/>
    <x v="1"/>
    <n v="0.51043938622366136"/>
    <x v="1"/>
    <x v="4"/>
    <x v="4"/>
    <s v="Q2"/>
  </r>
  <r>
    <s v="ORD101705"/>
    <x v="481"/>
    <s v="CUST1640"/>
    <s v="Pooja Sharma"/>
    <x v="2"/>
    <s v="Karnataka"/>
    <s v="Mangaluru"/>
    <x v="2"/>
    <s v="Office"/>
    <x v="14"/>
    <n v="1"/>
    <n v="8306.7199999999993"/>
    <n v="0.15"/>
    <n v="7060.71"/>
    <n v="5464.79"/>
    <n v="1595.92"/>
    <x v="4"/>
    <n v="0.2260282606140176"/>
    <x v="1"/>
    <x v="4"/>
    <x v="4"/>
    <s v="Q2"/>
  </r>
  <r>
    <s v="ORD100411"/>
    <x v="481"/>
    <s v="CUST1646"/>
    <s v="Aarav Malhotra"/>
    <x v="2"/>
    <s v="Karnataka"/>
    <s v="Mangaluru"/>
    <x v="0"/>
    <s v="Audio"/>
    <x v="8"/>
    <n v="3"/>
    <n v="2998.42"/>
    <n v="0.05"/>
    <n v="8545.5"/>
    <n v="4710.57"/>
    <n v="3834.93"/>
    <x v="1"/>
    <n v="0.44876601720203613"/>
    <x v="1"/>
    <x v="4"/>
    <x v="4"/>
    <s v="Q2"/>
  </r>
  <r>
    <s v="ORD101152"/>
    <x v="481"/>
    <s v="CUST1587"/>
    <s v="Aditya Patel"/>
    <x v="0"/>
    <s v="Maharashtra"/>
    <s v="Mumbai"/>
    <x v="2"/>
    <s v="Living Room"/>
    <x v="16"/>
    <n v="3"/>
    <n v="3939.29"/>
    <n v="0.05"/>
    <n v="11226.98"/>
    <n v="7276.3"/>
    <n v="3950.68"/>
    <x v="0"/>
    <n v="0.35189160397542352"/>
    <x v="1"/>
    <x v="4"/>
    <x v="4"/>
    <s v="Q2"/>
  </r>
  <r>
    <s v="ORD100302"/>
    <x v="481"/>
    <s v="CUST1393"/>
    <s v="Rahul Rao"/>
    <x v="2"/>
    <s v="Karnataka"/>
    <s v="Hubballi"/>
    <x v="0"/>
    <s v="Accessories"/>
    <x v="6"/>
    <n v="3"/>
    <n v="822.66"/>
    <n v="0.1"/>
    <n v="2221.1799999999998"/>
    <n v="1532.18"/>
    <n v="689"/>
    <x v="0"/>
    <n v="0.31019548168090838"/>
    <x v="1"/>
    <x v="4"/>
    <x v="4"/>
    <s v="Q2"/>
  </r>
  <r>
    <s v="ORD101245"/>
    <x v="482"/>
    <s v="CUST1146"/>
    <s v="Pooja Nair"/>
    <x v="0"/>
    <s v="Maharashtra"/>
    <s v="Nashik"/>
    <x v="2"/>
    <s v="Living Room"/>
    <x v="16"/>
    <n v="4"/>
    <n v="3884.52"/>
    <n v="0.05"/>
    <n v="14761.18"/>
    <n v="9465.4599999999991"/>
    <n v="5295.72"/>
    <x v="2"/>
    <n v="0.358759936536239"/>
    <x v="1"/>
    <x v="4"/>
    <x v="4"/>
    <s v="Q2"/>
  </r>
  <r>
    <s v="ORD101964"/>
    <x v="482"/>
    <s v="CUST1518"/>
    <s v="Pooja Naidu"/>
    <x v="2"/>
    <s v="Tamil Nadu"/>
    <s v="Salem"/>
    <x v="3"/>
    <s v="Cleaning"/>
    <x v="12"/>
    <n v="1"/>
    <n v="13349.09"/>
    <n v="0.1"/>
    <n v="12014.18"/>
    <n v="9348.7800000000007"/>
    <n v="2665.4"/>
    <x v="0"/>
    <n v="0.22185450858901731"/>
    <x v="1"/>
    <x v="4"/>
    <x v="4"/>
    <s v="Q2"/>
  </r>
  <r>
    <s v="ORD102285"/>
    <x v="483"/>
    <s v="CUST1232"/>
    <s v="Sanjana Iyer"/>
    <x v="2"/>
    <s v="Tamil Nadu"/>
    <s v="Coimbatore"/>
    <x v="1"/>
    <s v="Stationery"/>
    <x v="17"/>
    <n v="2"/>
    <n v="293.14999999999998"/>
    <n v="0.05"/>
    <n v="556.98"/>
    <n v="253.27"/>
    <n v="303.70999999999998"/>
    <x v="3"/>
    <n v="0.54527990233042478"/>
    <x v="1"/>
    <x v="4"/>
    <x v="4"/>
    <s v="Q2"/>
  </r>
  <r>
    <s v="ORD100492"/>
    <x v="483"/>
    <s v="CUST1585"/>
    <s v="Diya Das"/>
    <x v="3"/>
    <s v="West Bengal"/>
    <s v="Siliguri"/>
    <x v="3"/>
    <s v="Kitchen"/>
    <x v="13"/>
    <n v="2"/>
    <n v="3491.34"/>
    <n v="0.1"/>
    <n v="6284.41"/>
    <n v="4029.16"/>
    <n v="2255.25"/>
    <x v="0"/>
    <n v="0.35886423705646198"/>
    <x v="1"/>
    <x v="4"/>
    <x v="4"/>
    <s v="Q2"/>
  </r>
  <r>
    <s v="ORD101843"/>
    <x v="483"/>
    <s v="CUST1160"/>
    <s v="Aditya Kumar"/>
    <x v="2"/>
    <s v="Karnataka"/>
    <s v="Hubballi"/>
    <x v="3"/>
    <s v="Kitchen"/>
    <x v="7"/>
    <n v="4"/>
    <n v="1817.25"/>
    <n v="0.2"/>
    <n v="5815.2"/>
    <n v="4052.22"/>
    <n v="1762.98"/>
    <x v="1"/>
    <n v="0.30316756087494839"/>
    <x v="1"/>
    <x v="4"/>
    <x v="4"/>
    <s v="Q2"/>
  </r>
  <r>
    <s v="ORD100518"/>
    <x v="484"/>
    <s v="CUST1519"/>
    <s v="Pooja Mehta"/>
    <x v="0"/>
    <s v="Maharashtra"/>
    <s v="Nagpur"/>
    <x v="2"/>
    <s v="Office"/>
    <x v="10"/>
    <n v="1"/>
    <n v="6710.93"/>
    <n v="0.15"/>
    <n v="5704.29"/>
    <n v="4390.62"/>
    <n v="1313.67"/>
    <x v="0"/>
    <n v="0.23029509369264189"/>
    <x v="1"/>
    <x v="4"/>
    <x v="4"/>
    <s v="Q2"/>
  </r>
  <r>
    <s v="ORD100766"/>
    <x v="484"/>
    <s v="CUST1383"/>
    <s v="Sanjana Naidu"/>
    <x v="2"/>
    <s v="Karnataka"/>
    <s v="Mangaluru"/>
    <x v="3"/>
    <s v="Kitchen"/>
    <x v="7"/>
    <n v="4"/>
    <n v="1894.59"/>
    <n v="0"/>
    <n v="7578.36"/>
    <n v="3943.89"/>
    <n v="3634.47"/>
    <x v="1"/>
    <n v="0.47958529286019658"/>
    <x v="1"/>
    <x v="4"/>
    <x v="4"/>
    <s v="Q2"/>
  </r>
  <r>
    <s v="ORD100678"/>
    <x v="485"/>
    <s v="CUST1053"/>
    <s v="Ishaan Nair"/>
    <x v="1"/>
    <s v="Delhi"/>
    <s v="New Delhi"/>
    <x v="1"/>
    <s v="Stationery"/>
    <x v="17"/>
    <n v="1"/>
    <n v="289.66000000000003"/>
    <n v="0.1"/>
    <n v="260.69"/>
    <n v="117.31"/>
    <n v="143.38"/>
    <x v="1"/>
    <n v="0.55000191798688092"/>
    <x v="1"/>
    <x v="4"/>
    <x v="4"/>
    <s v="Q2"/>
  </r>
  <r>
    <s v="ORD101742"/>
    <x v="485"/>
    <s v="CUST1395"/>
    <s v="Rahul Das"/>
    <x v="2"/>
    <s v="Telangana"/>
    <s v="Karimnagar"/>
    <x v="1"/>
    <s v="Stationery"/>
    <x v="17"/>
    <n v="1"/>
    <n v="291.22000000000003"/>
    <n v="0.1"/>
    <n v="262.10000000000002"/>
    <n v="118.1"/>
    <n v="144"/>
    <x v="2"/>
    <n v="0.54940862266310564"/>
    <x v="1"/>
    <x v="4"/>
    <x v="4"/>
    <s v="Q2"/>
  </r>
  <r>
    <s v="ORD100368"/>
    <x v="486"/>
    <s v="CUST1126"/>
    <s v="Kavya Naidu"/>
    <x v="2"/>
    <s v="Karnataka"/>
    <s v="Mangaluru"/>
    <x v="0"/>
    <s v="Audio"/>
    <x v="11"/>
    <n v="2"/>
    <n v="1988.01"/>
    <n v="0.05"/>
    <n v="3777.22"/>
    <n v="2248.98"/>
    <n v="1528.24"/>
    <x v="0"/>
    <n v="0.40459385473972931"/>
    <x v="1"/>
    <x v="4"/>
    <x v="4"/>
    <s v="Q2"/>
  </r>
  <r>
    <s v="ORD100924"/>
    <x v="486"/>
    <s v="CUST1546"/>
    <s v="Diya Naidu"/>
    <x v="2"/>
    <s v="Telangana"/>
    <s v="Hyderabad"/>
    <x v="2"/>
    <s v="Living Room"/>
    <x v="16"/>
    <n v="2"/>
    <n v="4096.5"/>
    <n v="0.05"/>
    <n v="7783.35"/>
    <n v="5181"/>
    <n v="2602.35"/>
    <x v="2"/>
    <n v="0.33434832045327523"/>
    <x v="1"/>
    <x v="4"/>
    <x v="4"/>
    <s v="Q2"/>
  </r>
  <r>
    <s v="ORD102103"/>
    <x v="487"/>
    <s v="CUST1408"/>
    <s v="Aditya Kumar"/>
    <x v="2"/>
    <s v="Telangana"/>
    <s v="Hyderabad"/>
    <x v="0"/>
    <s v="Accessories"/>
    <x v="5"/>
    <n v="4"/>
    <n v="2620.67"/>
    <n v="0.15"/>
    <n v="8910.2800000000007"/>
    <n v="5691.34"/>
    <n v="3218.94"/>
    <x v="0"/>
    <n v="0.36126137450226031"/>
    <x v="1"/>
    <x v="4"/>
    <x v="4"/>
    <s v="Q2"/>
  </r>
  <r>
    <s v="ORD100897"/>
    <x v="487"/>
    <s v="CUST1296"/>
    <s v="Ananya Das"/>
    <x v="2"/>
    <s v="Tamil Nadu"/>
    <s v="Coimbatore"/>
    <x v="2"/>
    <s v="Living Room"/>
    <x v="16"/>
    <n v="3"/>
    <n v="3912.57"/>
    <n v="0.15"/>
    <n v="9977.0499999999993"/>
    <n v="7537.85"/>
    <n v="2439.1999999999998"/>
    <x v="2"/>
    <n v="0.24448108408798189"/>
    <x v="1"/>
    <x v="4"/>
    <x v="4"/>
    <s v="Q2"/>
  </r>
  <r>
    <s v="ORD102456"/>
    <x v="487"/>
    <s v="CUST1150"/>
    <s v="Aarav Naidu"/>
    <x v="2"/>
    <s v="Karnataka"/>
    <s v="Bengaluru"/>
    <x v="0"/>
    <s v="Computers"/>
    <x v="0"/>
    <n v="6"/>
    <n v="56954.75"/>
    <n v="0.05"/>
    <n v="324642.08"/>
    <n v="300617.96999999997"/>
    <n v="24024.11"/>
    <x v="2"/>
    <n v="7.4001836114406361E-2"/>
    <x v="1"/>
    <x v="4"/>
    <x v="4"/>
    <s v="Q2"/>
  </r>
  <r>
    <s v="ORD101061"/>
    <x v="487"/>
    <s v="CUST1145"/>
    <s v="Meera Reddy"/>
    <x v="1"/>
    <s v="Delhi"/>
    <s v="New Delhi"/>
    <x v="3"/>
    <s v="Kitchen"/>
    <x v="7"/>
    <n v="5"/>
    <n v="1901.37"/>
    <n v="0.05"/>
    <n v="9031.51"/>
    <n v="5275.2"/>
    <n v="3756.31"/>
    <x v="1"/>
    <n v="0.41591162496636769"/>
    <x v="1"/>
    <x v="4"/>
    <x v="4"/>
    <s v="Q2"/>
  </r>
  <r>
    <s v="ORD100673"/>
    <x v="488"/>
    <s v="CUST1085"/>
    <s v="Arjun Malhotra"/>
    <x v="2"/>
    <s v="Karnataka"/>
    <s v="Hubballi"/>
    <x v="3"/>
    <s v="Cleaning"/>
    <x v="12"/>
    <n v="1"/>
    <n v="13507.9"/>
    <n v="0"/>
    <n v="13507.9"/>
    <n v="10112.19"/>
    <n v="3395.71"/>
    <x v="1"/>
    <n v="0.25138696614573702"/>
    <x v="1"/>
    <x v="4"/>
    <x v="4"/>
    <s v="Q2"/>
  </r>
  <r>
    <s v="ORD102256"/>
    <x v="488"/>
    <s v="CUST1202"/>
    <s v="Varun Nair"/>
    <x v="3"/>
    <s v="West Bengal"/>
    <s v="Kolkata"/>
    <x v="3"/>
    <s v="Kitchen"/>
    <x v="7"/>
    <n v="2"/>
    <n v="1846.65"/>
    <n v="0.15"/>
    <n v="3139.31"/>
    <n v="1957.06"/>
    <n v="1182.25"/>
    <x v="0"/>
    <n v="0.37659549391426778"/>
    <x v="1"/>
    <x v="4"/>
    <x v="4"/>
    <s v="Q2"/>
  </r>
  <r>
    <s v="ORD102223"/>
    <x v="488"/>
    <s v="CUST1228"/>
    <s v="Ananya Reddy"/>
    <x v="0"/>
    <s v="Maharashtra"/>
    <s v="Mumbai"/>
    <x v="0"/>
    <s v="Computers"/>
    <x v="0"/>
    <n v="4"/>
    <n v="59777.51"/>
    <n v="0"/>
    <n v="239110.04"/>
    <n v="215305.74"/>
    <n v="23804.3"/>
    <x v="2"/>
    <n v="9.9553745212873537E-2"/>
    <x v="1"/>
    <x v="4"/>
    <x v="4"/>
    <s v="Q2"/>
  </r>
  <r>
    <s v="ORD100483"/>
    <x v="489"/>
    <s v="CUST1307"/>
    <s v="Rahul Singh"/>
    <x v="2"/>
    <s v="Telangana"/>
    <s v="Nizamabad"/>
    <x v="2"/>
    <s v="Office"/>
    <x v="14"/>
    <n v="5"/>
    <n v="8660.92"/>
    <n v="0.05"/>
    <n v="41139.370000000003"/>
    <n v="29587.82"/>
    <n v="11551.55"/>
    <x v="0"/>
    <n v="0.28079063923438791"/>
    <x v="1"/>
    <x v="4"/>
    <x v="4"/>
    <s v="Q2"/>
  </r>
  <r>
    <s v="ORD101813"/>
    <x v="489"/>
    <s v="CUST1091"/>
    <s v="Priya Singh"/>
    <x v="2"/>
    <s v="Telangana"/>
    <s v="Hyderabad"/>
    <x v="1"/>
    <s v="Stationery"/>
    <x v="17"/>
    <n v="2"/>
    <n v="289.7"/>
    <n v="0.15"/>
    <n v="492.49"/>
    <n v="236.93"/>
    <n v="255.56"/>
    <x v="3"/>
    <n v="0.51891408962618535"/>
    <x v="1"/>
    <x v="4"/>
    <x v="4"/>
    <s v="Q2"/>
  </r>
  <r>
    <s v="ORD101981"/>
    <x v="490"/>
    <s v="CUST1618"/>
    <s v="Vikram Kumar"/>
    <x v="2"/>
    <s v="Tamil Nadu"/>
    <s v="Coimbatore"/>
    <x v="0"/>
    <s v="Computers"/>
    <x v="3"/>
    <n v="1"/>
    <n v="16702.11"/>
    <n v="0.15"/>
    <n v="14196.79"/>
    <n v="12512.03"/>
    <n v="1684.76"/>
    <x v="0"/>
    <n v="0.1186718969569882"/>
    <x v="1"/>
    <x v="4"/>
    <x v="4"/>
    <s v="Q2"/>
  </r>
  <r>
    <s v="ORD101232"/>
    <x v="490"/>
    <s v="CUST1166"/>
    <s v="Pooja Patel"/>
    <x v="2"/>
    <s v="Telangana"/>
    <s v="Nizamabad"/>
    <x v="0"/>
    <s v="Computers"/>
    <x v="0"/>
    <n v="4"/>
    <n v="56872.31"/>
    <n v="0.05"/>
    <n v="216114.78"/>
    <n v="199677.2"/>
    <n v="16437.580000000002"/>
    <x v="2"/>
    <n v="7.6059490239399646E-2"/>
    <x v="1"/>
    <x v="4"/>
    <x v="4"/>
    <s v="Q2"/>
  </r>
  <r>
    <s v="ORD102452"/>
    <x v="491"/>
    <s v="CUST1621"/>
    <s v="Aarav Gupta"/>
    <x v="2"/>
    <s v="Telangana"/>
    <s v="Nizamabad"/>
    <x v="0"/>
    <s v="Accessories"/>
    <x v="5"/>
    <n v="3"/>
    <n v="2513.83"/>
    <n v="0.15"/>
    <n v="6410.27"/>
    <n v="4278.34"/>
    <n v="2131.9299999999998"/>
    <x v="0"/>
    <n v="0.33258037492960513"/>
    <x v="1"/>
    <x v="4"/>
    <x v="4"/>
    <s v="Q2"/>
  </r>
  <r>
    <s v="ORD100193"/>
    <x v="491"/>
    <s v="CUST1047"/>
    <s v="Ishaan Malhotra"/>
    <x v="0"/>
    <s v="Maharashtra"/>
    <s v="Nagpur"/>
    <x v="1"/>
    <s v="Storage"/>
    <x v="2"/>
    <n v="6"/>
    <n v="690.89"/>
    <n v="0.05"/>
    <n v="3938.07"/>
    <n v="2014.29"/>
    <n v="1923.78"/>
    <x v="1"/>
    <n v="0.48850833022267248"/>
    <x v="1"/>
    <x v="4"/>
    <x v="4"/>
    <s v="Q2"/>
  </r>
  <r>
    <s v="ORD101541"/>
    <x v="491"/>
    <s v="CUST1092"/>
    <s v="Arjun Iyer"/>
    <x v="0"/>
    <s v="Maharashtra"/>
    <s v="Pune"/>
    <x v="2"/>
    <s v="Living Room"/>
    <x v="4"/>
    <n v="2"/>
    <n v="4933.09"/>
    <n v="0.15"/>
    <n v="8386.25"/>
    <n v="6035.53"/>
    <n v="2350.7199999999998"/>
    <x v="1"/>
    <n v="0.28030645401699211"/>
    <x v="1"/>
    <x v="4"/>
    <x v="4"/>
    <s v="Q2"/>
  </r>
  <r>
    <s v="ORD100874"/>
    <x v="492"/>
    <s v="CUST1646"/>
    <s v="Vikram Kumar"/>
    <x v="2"/>
    <s v="Telangana"/>
    <s v="Nizamabad"/>
    <x v="0"/>
    <s v="Audio"/>
    <x v="8"/>
    <n v="2"/>
    <n v="3088.52"/>
    <n v="0.1"/>
    <n v="5559.34"/>
    <n v="3131.56"/>
    <n v="2427.7800000000002"/>
    <x v="2"/>
    <n v="0.43670291797227728"/>
    <x v="1"/>
    <x v="4"/>
    <x v="4"/>
    <s v="Q2"/>
  </r>
  <r>
    <s v="ORD101345"/>
    <x v="493"/>
    <s v="CUST1392"/>
    <s v="Ananya Kumar"/>
    <x v="1"/>
    <s v="Delhi"/>
    <s v="New Delhi"/>
    <x v="2"/>
    <s v="Office"/>
    <x v="14"/>
    <n v="4"/>
    <n v="8064.68"/>
    <n v="0"/>
    <n v="32258.720000000001"/>
    <n v="22614.23"/>
    <n v="9644.49"/>
    <x v="1"/>
    <n v="0.2989731148663059"/>
    <x v="1"/>
    <x v="4"/>
    <x v="4"/>
    <s v="Q2"/>
  </r>
  <r>
    <s v="ORD102387"/>
    <x v="493"/>
    <s v="CUST1498"/>
    <s v="Pooja Malhotra"/>
    <x v="2"/>
    <s v="Telangana"/>
    <s v="Nizamabad"/>
    <x v="1"/>
    <s v="Storage"/>
    <x v="9"/>
    <n v="1"/>
    <n v="489.06"/>
    <n v="0.1"/>
    <n v="440.15"/>
    <n v="225.95"/>
    <n v="214.2"/>
    <x v="2"/>
    <n v="0.48665227763262531"/>
    <x v="1"/>
    <x v="4"/>
    <x v="4"/>
    <s v="Q2"/>
  </r>
  <r>
    <s v="ORD101679"/>
    <x v="493"/>
    <s v="CUST1131"/>
    <s v="Vikram Das"/>
    <x v="1"/>
    <s v="Delhi"/>
    <s v="New Delhi"/>
    <x v="2"/>
    <s v="Office"/>
    <x v="10"/>
    <n v="3"/>
    <n v="7288.49"/>
    <n v="0.15"/>
    <n v="18585.650000000001"/>
    <n v="14140.6"/>
    <n v="4445.05"/>
    <x v="1"/>
    <n v="0.2391657004194096"/>
    <x v="1"/>
    <x v="4"/>
    <x v="4"/>
    <s v="Q2"/>
  </r>
  <r>
    <s v="ORD102007"/>
    <x v="493"/>
    <s v="CUST1269"/>
    <s v="Varun Das"/>
    <x v="3"/>
    <s v="West Bengal"/>
    <s v="Kolkata"/>
    <x v="1"/>
    <s v="Storage"/>
    <x v="2"/>
    <n v="2"/>
    <n v="673.88"/>
    <n v="0.1"/>
    <n v="1212.98"/>
    <n v="650.07000000000005"/>
    <n v="562.91"/>
    <x v="2"/>
    <n v="0.46407195501986842"/>
    <x v="1"/>
    <x v="4"/>
    <x v="4"/>
    <s v="Q2"/>
  </r>
  <r>
    <s v="ORD100213"/>
    <x v="493"/>
    <s v="CUST1034"/>
    <s v="Rohan Gupta"/>
    <x v="3"/>
    <s v="West Bengal"/>
    <s v="Kolkata"/>
    <x v="0"/>
    <s v="Computers"/>
    <x v="3"/>
    <n v="3"/>
    <n v="15181.27"/>
    <n v="0.1"/>
    <n v="40989.43"/>
    <n v="34012.589999999997"/>
    <n v="6976.84"/>
    <x v="0"/>
    <n v="0.17021071041973501"/>
    <x v="1"/>
    <x v="4"/>
    <x v="4"/>
    <s v="Q2"/>
  </r>
  <r>
    <s v="ORD101895"/>
    <x v="494"/>
    <s v="CUST1231"/>
    <s v="Kavya Das"/>
    <x v="2"/>
    <s v="Karnataka"/>
    <s v="Hubballi"/>
    <x v="3"/>
    <s v="Cleaning"/>
    <x v="15"/>
    <n v="2"/>
    <n v="7378.46"/>
    <n v="0.05"/>
    <n v="14019.07"/>
    <n v="9677.35"/>
    <n v="4341.72"/>
    <x v="1"/>
    <n v="0.30970100013766971"/>
    <x v="1"/>
    <x v="4"/>
    <x v="4"/>
    <s v="Q2"/>
  </r>
  <r>
    <s v="ORD101074"/>
    <x v="494"/>
    <s v="CUST1168"/>
    <s v="Priya Iyer"/>
    <x v="3"/>
    <s v="West Bengal"/>
    <s v="Kolkata"/>
    <x v="3"/>
    <s v="Cleaning"/>
    <x v="12"/>
    <n v="4"/>
    <n v="13560.41"/>
    <n v="0.05"/>
    <n v="51529.56"/>
    <n v="40486.410000000003"/>
    <n v="11043.15"/>
    <x v="0"/>
    <n v="0.21430708897960701"/>
    <x v="1"/>
    <x v="4"/>
    <x v="4"/>
    <s v="Q2"/>
  </r>
  <r>
    <s v="ORD100467"/>
    <x v="494"/>
    <s v="CUST1432"/>
    <s v="Diya Kumar"/>
    <x v="0"/>
    <s v="Maharashtra"/>
    <s v="Mumbai"/>
    <x v="0"/>
    <s v="Audio"/>
    <x v="11"/>
    <n v="1"/>
    <n v="1900.74"/>
    <n v="0.05"/>
    <n v="1805.7"/>
    <n v="1102.25"/>
    <n v="703.45"/>
    <x v="0"/>
    <n v="0.3895719111701833"/>
    <x v="1"/>
    <x v="4"/>
    <x v="4"/>
    <s v="Q2"/>
  </r>
  <r>
    <s v="ORD101918"/>
    <x v="495"/>
    <s v="CUST1124"/>
    <s v="Rohan Das"/>
    <x v="0"/>
    <s v="Maharashtra"/>
    <s v="Nashik"/>
    <x v="2"/>
    <s v="Office"/>
    <x v="10"/>
    <n v="1"/>
    <n v="6767.13"/>
    <n v="0.2"/>
    <n v="5413.7"/>
    <n v="4298.43"/>
    <n v="1115.27"/>
    <x v="2"/>
    <n v="0.2060088294512071"/>
    <x v="1"/>
    <x v="4"/>
    <x v="4"/>
    <s v="Q2"/>
  </r>
  <r>
    <s v="ORD102211"/>
    <x v="495"/>
    <s v="CUST1375"/>
    <s v="Varun Das"/>
    <x v="1"/>
    <s v="Delhi"/>
    <s v="New Delhi"/>
    <x v="2"/>
    <s v="Office"/>
    <x v="10"/>
    <n v="1"/>
    <n v="7297.72"/>
    <n v="0.2"/>
    <n v="5838.18"/>
    <n v="4667.05"/>
    <n v="1171.1300000000001"/>
    <x v="3"/>
    <n v="0.20059847418202251"/>
    <x v="1"/>
    <x v="4"/>
    <x v="4"/>
    <s v="Q2"/>
  </r>
  <r>
    <s v="ORD102201"/>
    <x v="495"/>
    <s v="CUST1080"/>
    <s v="Vikram Das"/>
    <x v="2"/>
    <s v="Tamil Nadu"/>
    <s v="Madurai"/>
    <x v="0"/>
    <s v="Audio"/>
    <x v="8"/>
    <n v="5"/>
    <n v="2856.4"/>
    <n v="0.05"/>
    <n v="13567.9"/>
    <n v="7384.33"/>
    <n v="6183.57"/>
    <x v="4"/>
    <n v="0.45574996867606632"/>
    <x v="1"/>
    <x v="4"/>
    <x v="4"/>
    <s v="Q2"/>
  </r>
  <r>
    <s v="ORD101684"/>
    <x v="496"/>
    <s v="CUST1116"/>
    <s v="Ishaan Joshi"/>
    <x v="3"/>
    <s v="West Bengal"/>
    <s v="Siliguri"/>
    <x v="0"/>
    <s v="Computers"/>
    <x v="0"/>
    <n v="6"/>
    <n v="58089.23"/>
    <n v="0.05"/>
    <n v="331108.61"/>
    <n v="295300.53000000003"/>
    <n v="35808.080000000002"/>
    <x v="2"/>
    <n v="0.1081460249553764"/>
    <x v="1"/>
    <x v="4"/>
    <x v="4"/>
    <s v="Q2"/>
  </r>
  <r>
    <s v="ORD102062"/>
    <x v="496"/>
    <s v="CUST1564"/>
    <s v="Meera Gupta"/>
    <x v="2"/>
    <s v="Telangana"/>
    <s v="Karimnagar"/>
    <x v="3"/>
    <s v="Kitchen"/>
    <x v="13"/>
    <n v="2"/>
    <n v="3347.13"/>
    <n v="0.1"/>
    <n v="6024.83"/>
    <n v="3795.65"/>
    <n v="2229.1799999999998"/>
    <x v="3"/>
    <n v="0.36999882154351238"/>
    <x v="1"/>
    <x v="4"/>
    <x v="4"/>
    <s v="Q2"/>
  </r>
  <r>
    <s v="ORD101156"/>
    <x v="496"/>
    <s v="CUST1292"/>
    <s v="Diya Rao"/>
    <x v="2"/>
    <s v="Telangana"/>
    <s v="Nizamabad"/>
    <x v="2"/>
    <s v="Office"/>
    <x v="10"/>
    <n v="5"/>
    <n v="7345.07"/>
    <n v="0.15"/>
    <n v="31216.55"/>
    <n v="23567.75"/>
    <n v="7648.8"/>
    <x v="0"/>
    <n v="0.24502387355425251"/>
    <x v="1"/>
    <x v="4"/>
    <x v="4"/>
    <s v="Q2"/>
  </r>
  <r>
    <s v="ORD101340"/>
    <x v="497"/>
    <s v="CUST1459"/>
    <s v="Meera Kumar"/>
    <x v="0"/>
    <s v="Maharashtra"/>
    <s v="Pune"/>
    <x v="2"/>
    <s v="Living Room"/>
    <x v="4"/>
    <n v="2"/>
    <n v="4850.05"/>
    <n v="0.05"/>
    <n v="9215.09"/>
    <n v="5746.75"/>
    <n v="3468.34"/>
    <x v="0"/>
    <n v="0.37637613957107308"/>
    <x v="1"/>
    <x v="4"/>
    <x v="4"/>
    <s v="Q2"/>
  </r>
  <r>
    <s v="ORD100957"/>
    <x v="497"/>
    <s v="CUST1011"/>
    <s v="Nikhil Kumar"/>
    <x v="2"/>
    <s v="Tamil Nadu"/>
    <s v="Coimbatore"/>
    <x v="3"/>
    <s v="Kitchen"/>
    <x v="13"/>
    <n v="3"/>
    <n v="3358.28"/>
    <n v="0.05"/>
    <n v="9571.1"/>
    <n v="5927.72"/>
    <n v="3643.38"/>
    <x v="0"/>
    <n v="0.38066470938554609"/>
    <x v="1"/>
    <x v="4"/>
    <x v="4"/>
    <s v="Q2"/>
  </r>
  <r>
    <s v="ORD102066"/>
    <x v="497"/>
    <s v="CUST1002"/>
    <s v="Ishaan Iyer"/>
    <x v="2"/>
    <s v="Telangana"/>
    <s v="Karimnagar"/>
    <x v="2"/>
    <s v="Office"/>
    <x v="10"/>
    <n v="1"/>
    <n v="7319.5"/>
    <n v="0"/>
    <n v="7319.5"/>
    <n v="4829.75"/>
    <n v="2489.75"/>
    <x v="0"/>
    <n v="0.34015301591638769"/>
    <x v="1"/>
    <x v="4"/>
    <x v="4"/>
    <s v="Q2"/>
  </r>
  <r>
    <s v="ORD100140"/>
    <x v="498"/>
    <s v="CUST1644"/>
    <s v="Sanjana Kumar"/>
    <x v="1"/>
    <s v="Delhi"/>
    <s v="Delhi"/>
    <x v="0"/>
    <s v="Accessories"/>
    <x v="5"/>
    <n v="1"/>
    <n v="2595.89"/>
    <n v="0"/>
    <n v="2595.89"/>
    <n v="1416.15"/>
    <n v="1179.74"/>
    <x v="1"/>
    <n v="0.45446455743502229"/>
    <x v="1"/>
    <x v="4"/>
    <x v="4"/>
    <s v="Q2"/>
  </r>
  <r>
    <s v="ORD101440"/>
    <x v="498"/>
    <s v="CUST1160"/>
    <s v="Varun Malhotra"/>
    <x v="0"/>
    <s v="Maharashtra"/>
    <s v="Nagpur"/>
    <x v="0"/>
    <s v="Audio"/>
    <x v="8"/>
    <n v="1"/>
    <n v="3143.95"/>
    <n v="0.15"/>
    <n v="2672.36"/>
    <n v="1658.78"/>
    <n v="1013.58"/>
    <x v="1"/>
    <n v="0.37928273136852819"/>
    <x v="1"/>
    <x v="4"/>
    <x v="4"/>
    <s v="Q2"/>
  </r>
  <r>
    <s v="ORD100584"/>
    <x v="499"/>
    <s v="CUST1104"/>
    <s v="Arjun Verma"/>
    <x v="2"/>
    <s v="Karnataka"/>
    <s v="Mysuru"/>
    <x v="3"/>
    <s v="Kitchen"/>
    <x v="7"/>
    <n v="1"/>
    <n v="1845.34"/>
    <n v="0.05"/>
    <n v="1753.07"/>
    <n v="969.28"/>
    <n v="783.79"/>
    <x v="0"/>
    <n v="0.44709566645941118"/>
    <x v="1"/>
    <x v="4"/>
    <x v="4"/>
    <s v="Q2"/>
  </r>
  <r>
    <s v="ORD101400"/>
    <x v="499"/>
    <s v="CUST1167"/>
    <s v="Sanjana Rao"/>
    <x v="2"/>
    <s v="Tamil Nadu"/>
    <s v="Coimbatore"/>
    <x v="1"/>
    <s v="Stationery"/>
    <x v="17"/>
    <n v="4"/>
    <n v="286.94"/>
    <n v="0"/>
    <n v="1147.76"/>
    <n v="475.99"/>
    <n v="671.77"/>
    <x v="3"/>
    <n v="0.58528786505889729"/>
    <x v="1"/>
    <x v="4"/>
    <x v="4"/>
    <s v="Q2"/>
  </r>
  <r>
    <s v="ORD100884"/>
    <x v="499"/>
    <s v="CUST1355"/>
    <s v="Rahul Sharma"/>
    <x v="0"/>
    <s v="Maharashtra"/>
    <s v="Pune"/>
    <x v="3"/>
    <s v="Cleaning"/>
    <x v="12"/>
    <n v="4"/>
    <n v="13129.47"/>
    <n v="0.1"/>
    <n v="47266.09"/>
    <n v="38125.019999999997"/>
    <n v="9141.07"/>
    <x v="1"/>
    <n v="0.19339594199562521"/>
    <x v="1"/>
    <x v="4"/>
    <x v="4"/>
    <s v="Q2"/>
  </r>
  <r>
    <s v="ORD101273"/>
    <x v="500"/>
    <s v="CUST1079"/>
    <s v="Kavya Das"/>
    <x v="1"/>
    <s v="Delhi"/>
    <s v="New Delhi"/>
    <x v="0"/>
    <s v="Accessories"/>
    <x v="6"/>
    <n v="1"/>
    <n v="822.42"/>
    <n v="0"/>
    <n v="822.42"/>
    <n v="519.15"/>
    <n v="303.27"/>
    <x v="3"/>
    <n v="0.36875319179981031"/>
    <x v="1"/>
    <x v="4"/>
    <x v="4"/>
    <s v="Q2"/>
  </r>
  <r>
    <s v="ORD100984"/>
    <x v="500"/>
    <s v="CUST1586"/>
    <s v="Sneha Verma"/>
    <x v="0"/>
    <s v="Maharashtra"/>
    <s v="Mumbai"/>
    <x v="1"/>
    <s v="Storage"/>
    <x v="9"/>
    <n v="1"/>
    <n v="478.68"/>
    <n v="0.15"/>
    <n v="406.88"/>
    <n v="209.75"/>
    <n v="197.13"/>
    <x v="0"/>
    <n v="0.48449174203696421"/>
    <x v="1"/>
    <x v="4"/>
    <x v="4"/>
    <s v="Q2"/>
  </r>
  <r>
    <s v="ORD100071"/>
    <x v="500"/>
    <s v="CUST1641"/>
    <s v="Pooja Iyer"/>
    <x v="2"/>
    <s v="Tamil Nadu"/>
    <s v="Coimbatore"/>
    <x v="0"/>
    <s v="Audio"/>
    <x v="8"/>
    <n v="3"/>
    <n v="3042.31"/>
    <n v="0.2"/>
    <n v="7301.54"/>
    <n v="4737.46"/>
    <n v="2564.08"/>
    <x v="1"/>
    <n v="0.35116975323014049"/>
    <x v="1"/>
    <x v="4"/>
    <x v="4"/>
    <s v="Q2"/>
  </r>
  <r>
    <s v="ORD102053"/>
    <x v="500"/>
    <s v="CUST1202"/>
    <s v="Neha Singh"/>
    <x v="0"/>
    <s v="Maharashtra"/>
    <s v="Nagpur"/>
    <x v="3"/>
    <s v="Kitchen"/>
    <x v="7"/>
    <n v="4"/>
    <n v="1765.91"/>
    <n v="0.05"/>
    <n v="6710.46"/>
    <n v="3749.84"/>
    <n v="2960.62"/>
    <x v="0"/>
    <n v="0.44119479141519358"/>
    <x v="1"/>
    <x v="4"/>
    <x v="4"/>
    <s v="Q2"/>
  </r>
  <r>
    <s v="ORD101473"/>
    <x v="500"/>
    <s v="CUST1323"/>
    <s v="Ananya Patel"/>
    <x v="2"/>
    <s v="Tamil Nadu"/>
    <s v="Coimbatore"/>
    <x v="0"/>
    <s v="Audio"/>
    <x v="11"/>
    <n v="2"/>
    <n v="2002.09"/>
    <n v="0.1"/>
    <n v="3603.76"/>
    <n v="2290.35"/>
    <n v="1313.41"/>
    <x v="2"/>
    <n v="0.36445545763313869"/>
    <x v="1"/>
    <x v="4"/>
    <x v="4"/>
    <s v="Q2"/>
  </r>
  <r>
    <s v="ORD101082"/>
    <x v="501"/>
    <s v="CUST1317"/>
    <s v="Ishaan Kumar"/>
    <x v="0"/>
    <s v="Maharashtra"/>
    <s v="Pune"/>
    <x v="1"/>
    <s v="Stationery"/>
    <x v="1"/>
    <n v="2"/>
    <n v="249.6"/>
    <n v="0.05"/>
    <n v="474.24"/>
    <n v="186.03"/>
    <n v="288.20999999999998"/>
    <x v="2"/>
    <n v="0.60773026315789469"/>
    <x v="1"/>
    <x v="4"/>
    <x v="4"/>
    <s v="Q2"/>
  </r>
  <r>
    <s v="ORD101738"/>
    <x v="502"/>
    <s v="CUST1181"/>
    <s v="Varun Das"/>
    <x v="2"/>
    <s v="Karnataka"/>
    <s v="Hubballi"/>
    <x v="3"/>
    <s v="Kitchen"/>
    <x v="13"/>
    <n v="1"/>
    <n v="3176.93"/>
    <n v="0.1"/>
    <n v="2859.24"/>
    <n v="1784.71"/>
    <n v="1074.53"/>
    <x v="2"/>
    <n v="0.37580965571270691"/>
    <x v="1"/>
    <x v="4"/>
    <x v="4"/>
    <s v="Q2"/>
  </r>
  <r>
    <s v="ORD100323"/>
    <x v="502"/>
    <s v="CUST1139"/>
    <s v="Pooja Joshi"/>
    <x v="2"/>
    <s v="Telangana"/>
    <s v="Nizamabad"/>
    <x v="0"/>
    <s v="Computers"/>
    <x v="0"/>
    <n v="3"/>
    <n v="61437.37"/>
    <n v="0"/>
    <n v="184312.11"/>
    <n v="157977.31"/>
    <n v="26334.799999999999"/>
    <x v="1"/>
    <n v="0.1428815502139279"/>
    <x v="1"/>
    <x v="4"/>
    <x v="4"/>
    <s v="Q2"/>
  </r>
  <r>
    <s v="ORD102448"/>
    <x v="502"/>
    <s v="CUST1643"/>
    <s v="Varun Iyer"/>
    <x v="0"/>
    <s v="Maharashtra"/>
    <s v="Mumbai"/>
    <x v="0"/>
    <s v="Accessories"/>
    <x v="5"/>
    <n v="6"/>
    <n v="2573.23"/>
    <n v="0.15"/>
    <n v="13123.47"/>
    <n v="8288.56"/>
    <n v="4834.91"/>
    <x v="3"/>
    <n v="0.36841704213900739"/>
    <x v="1"/>
    <x v="4"/>
    <x v="4"/>
    <s v="Q2"/>
  </r>
  <r>
    <s v="ORD101589"/>
    <x v="502"/>
    <s v="CUST1017"/>
    <s v="Ananya Kumar"/>
    <x v="2"/>
    <s v="Tamil Nadu"/>
    <s v="Chennai"/>
    <x v="3"/>
    <s v="Kitchen"/>
    <x v="7"/>
    <n v="4"/>
    <n v="1813.35"/>
    <n v="0.05"/>
    <n v="6890.73"/>
    <n v="3832.91"/>
    <n v="3057.82"/>
    <x v="0"/>
    <n v="0.44375849873670858"/>
    <x v="1"/>
    <x v="4"/>
    <x v="4"/>
    <s v="Q2"/>
  </r>
  <r>
    <s v="ORD102142"/>
    <x v="502"/>
    <s v="CUST1009"/>
    <s v="Varun Rao"/>
    <x v="2"/>
    <s v="Telangana"/>
    <s v="Karimnagar"/>
    <x v="0"/>
    <s v="Accessories"/>
    <x v="5"/>
    <n v="4"/>
    <n v="2441.79"/>
    <n v="0.05"/>
    <n v="9278.7999999999993"/>
    <n v="5200.3599999999997"/>
    <n v="4078.44"/>
    <x v="4"/>
    <n v="0.43954390653963882"/>
    <x v="1"/>
    <x v="4"/>
    <x v="4"/>
    <s v="Q2"/>
  </r>
  <r>
    <s v="ORD101123"/>
    <x v="503"/>
    <s v="CUST1320"/>
    <s v="Vikram Sharma"/>
    <x v="2"/>
    <s v="Karnataka"/>
    <s v="Bengaluru"/>
    <x v="0"/>
    <s v="Computers"/>
    <x v="0"/>
    <n v="1"/>
    <n v="62212.82"/>
    <n v="0.2"/>
    <n v="49770.26"/>
    <n v="54494.19"/>
    <n v="-4723.93"/>
    <x v="0"/>
    <n v="-9.4914714128477531E-2"/>
    <x v="1"/>
    <x v="5"/>
    <x v="5"/>
    <s v="Q2"/>
  </r>
  <r>
    <s v="ORD101704"/>
    <x v="503"/>
    <s v="CUST1439"/>
    <s v="Ishaan Joshi"/>
    <x v="2"/>
    <s v="Tamil Nadu"/>
    <s v="Madurai"/>
    <x v="2"/>
    <s v="Living Room"/>
    <x v="4"/>
    <n v="4"/>
    <n v="4980.84"/>
    <n v="0"/>
    <n v="19923.36"/>
    <n v="12432.36"/>
    <n v="7491"/>
    <x v="0"/>
    <n v="0.37599079673308122"/>
    <x v="1"/>
    <x v="5"/>
    <x v="5"/>
    <s v="Q2"/>
  </r>
  <r>
    <s v="ORD102311"/>
    <x v="503"/>
    <s v="CUST1282"/>
    <s v="Rohan Sharma"/>
    <x v="2"/>
    <s v="Karnataka"/>
    <s v="Hubballi"/>
    <x v="1"/>
    <s v="Stationery"/>
    <x v="17"/>
    <n v="4"/>
    <n v="305.83"/>
    <n v="0.05"/>
    <n v="1162.1500000000001"/>
    <n v="504.09"/>
    <n v="658.06"/>
    <x v="0"/>
    <n v="0.56624360022372322"/>
    <x v="1"/>
    <x v="5"/>
    <x v="5"/>
    <s v="Q2"/>
  </r>
  <r>
    <s v="ORD102244"/>
    <x v="504"/>
    <s v="CUST1613"/>
    <s v="Aarav Malhotra"/>
    <x v="2"/>
    <s v="Tamil Nadu"/>
    <s v="Coimbatore"/>
    <x v="2"/>
    <s v="Living Room"/>
    <x v="16"/>
    <n v="4"/>
    <n v="4004.61"/>
    <n v="0.15"/>
    <n v="13615.67"/>
    <n v="10087.16"/>
    <n v="3528.51"/>
    <x v="3"/>
    <n v="0.25915066977974638"/>
    <x v="1"/>
    <x v="5"/>
    <x v="5"/>
    <s v="Q2"/>
  </r>
  <r>
    <s v="ORD102351"/>
    <x v="504"/>
    <s v="CUST1620"/>
    <s v="Vikram Das"/>
    <x v="1"/>
    <s v="Delhi"/>
    <s v="New Delhi"/>
    <x v="0"/>
    <s v="Audio"/>
    <x v="11"/>
    <n v="2"/>
    <n v="1959.7"/>
    <n v="0.1"/>
    <n v="3527.46"/>
    <n v="2214.64"/>
    <n v="1312.82"/>
    <x v="2"/>
    <n v="0.37217147749372059"/>
    <x v="1"/>
    <x v="5"/>
    <x v="5"/>
    <s v="Q2"/>
  </r>
  <r>
    <s v="ORD100807"/>
    <x v="504"/>
    <s v="CUST1117"/>
    <s v="Rahul Naidu"/>
    <x v="3"/>
    <s v="West Bengal"/>
    <s v="Durgapur"/>
    <x v="1"/>
    <s v="Stationery"/>
    <x v="17"/>
    <n v="2"/>
    <n v="293.14999999999998"/>
    <n v="0"/>
    <n v="586.29999999999995"/>
    <n v="240.99"/>
    <n v="345.31"/>
    <x v="0"/>
    <n v="0.58896469384274264"/>
    <x v="1"/>
    <x v="5"/>
    <x v="5"/>
    <s v="Q2"/>
  </r>
  <r>
    <s v="ORD100319"/>
    <x v="504"/>
    <s v="CUST1363"/>
    <s v="Aditya Joshi"/>
    <x v="1"/>
    <s v="Delhi"/>
    <s v="Delhi"/>
    <x v="1"/>
    <s v="Stationery"/>
    <x v="17"/>
    <n v="2"/>
    <n v="289.31"/>
    <n v="0.15"/>
    <n v="491.83"/>
    <n v="236.61"/>
    <n v="255.22"/>
    <x v="0"/>
    <n v="0.51891913872679585"/>
    <x v="1"/>
    <x v="5"/>
    <x v="5"/>
    <s v="Q2"/>
  </r>
  <r>
    <s v="ORD100661"/>
    <x v="505"/>
    <s v="CUST1098"/>
    <s v="Rohan Reddy"/>
    <x v="0"/>
    <s v="Maharashtra"/>
    <s v="Mumbai"/>
    <x v="2"/>
    <s v="Living Room"/>
    <x v="4"/>
    <n v="2"/>
    <n v="5075.26"/>
    <n v="0.1"/>
    <n v="9135.4699999999993"/>
    <n v="6056.51"/>
    <n v="3078.96"/>
    <x v="2"/>
    <n v="0.33703356258627087"/>
    <x v="1"/>
    <x v="5"/>
    <x v="5"/>
    <s v="Q2"/>
  </r>
  <r>
    <s v="ORD100367"/>
    <x v="505"/>
    <s v="CUST1496"/>
    <s v="Meera Joshi"/>
    <x v="1"/>
    <s v="Delhi"/>
    <s v="New Delhi"/>
    <x v="2"/>
    <s v="Office"/>
    <x v="14"/>
    <n v="3"/>
    <n v="8634.08"/>
    <n v="0.1"/>
    <n v="23312.02"/>
    <n v="17133.72"/>
    <n v="6178.3"/>
    <x v="0"/>
    <n v="0.26502636837133797"/>
    <x v="1"/>
    <x v="5"/>
    <x v="5"/>
    <s v="Q2"/>
  </r>
  <r>
    <s v="ORD101609"/>
    <x v="505"/>
    <s v="CUST1197"/>
    <s v="Neha Nair"/>
    <x v="2"/>
    <s v="Tamil Nadu"/>
    <s v="Madurai"/>
    <x v="0"/>
    <s v="Accessories"/>
    <x v="6"/>
    <n v="4"/>
    <n v="771.03"/>
    <n v="0.15"/>
    <n v="2621.5"/>
    <n v="1865.63"/>
    <n v="755.87"/>
    <x v="2"/>
    <n v="0.2883349227541484"/>
    <x v="1"/>
    <x v="5"/>
    <x v="5"/>
    <s v="Q2"/>
  </r>
  <r>
    <s v="ORD102309"/>
    <x v="505"/>
    <s v="CUST1318"/>
    <s v="Aarav Sharma"/>
    <x v="2"/>
    <s v="Karnataka"/>
    <s v="Bengaluru"/>
    <x v="3"/>
    <s v="Cleaning"/>
    <x v="12"/>
    <n v="3"/>
    <n v="13501.21"/>
    <n v="0.1"/>
    <n v="36453.269999999997"/>
    <n v="28232.29"/>
    <n v="8220.98"/>
    <x v="1"/>
    <n v="0.22552105750732379"/>
    <x v="1"/>
    <x v="5"/>
    <x v="5"/>
    <s v="Q2"/>
  </r>
  <r>
    <s v="ORD101932"/>
    <x v="506"/>
    <s v="CUST1090"/>
    <s v="Rohan Malhotra"/>
    <x v="0"/>
    <s v="Maharashtra"/>
    <s v="Pune"/>
    <x v="2"/>
    <s v="Living Room"/>
    <x v="16"/>
    <n v="3"/>
    <n v="4085.75"/>
    <n v="0.1"/>
    <n v="11031.52"/>
    <n v="7682.6"/>
    <n v="3348.92"/>
    <x v="1"/>
    <n v="0.30357738552801428"/>
    <x v="1"/>
    <x v="5"/>
    <x v="5"/>
    <s v="Q2"/>
  </r>
  <r>
    <s v="ORD100841"/>
    <x v="507"/>
    <s v="CUST1096"/>
    <s v="Rahul Rao"/>
    <x v="0"/>
    <s v="Maharashtra"/>
    <s v="Pune"/>
    <x v="2"/>
    <s v="Office"/>
    <x v="14"/>
    <n v="4"/>
    <n v="8857.99"/>
    <n v="0"/>
    <n v="35431.96"/>
    <n v="24525.439999999999"/>
    <n v="10906.52"/>
    <x v="1"/>
    <n v="0.30781588148101319"/>
    <x v="1"/>
    <x v="5"/>
    <x v="5"/>
    <s v="Q2"/>
  </r>
  <r>
    <s v="ORD102490"/>
    <x v="507"/>
    <s v="CUST1290"/>
    <s v="Meera Reddy"/>
    <x v="2"/>
    <s v="Karnataka"/>
    <s v="Mysuru"/>
    <x v="3"/>
    <s v="Cleaning"/>
    <x v="15"/>
    <n v="6"/>
    <n v="7239.9"/>
    <n v="0.05"/>
    <n v="41267.43"/>
    <n v="27973.27"/>
    <n v="13294.16"/>
    <x v="0"/>
    <n v="0.32214654510833363"/>
    <x v="1"/>
    <x v="5"/>
    <x v="5"/>
    <s v="Q2"/>
  </r>
  <r>
    <s v="ORD101754"/>
    <x v="507"/>
    <s v="CUST1424"/>
    <s v="Rahul Reddy"/>
    <x v="0"/>
    <s v="Maharashtra"/>
    <s v="Nashik"/>
    <x v="2"/>
    <s v="Office"/>
    <x v="10"/>
    <n v="1"/>
    <n v="6871.38"/>
    <n v="0.05"/>
    <n v="6527.81"/>
    <n v="4448.16"/>
    <n v="2079.65"/>
    <x v="2"/>
    <n v="0.31858310827061448"/>
    <x v="1"/>
    <x v="5"/>
    <x v="5"/>
    <s v="Q2"/>
  </r>
  <r>
    <s v="ORD101488"/>
    <x v="508"/>
    <s v="CUST1582"/>
    <s v="Aditya Kumar"/>
    <x v="0"/>
    <s v="Maharashtra"/>
    <s v="Nagpur"/>
    <x v="1"/>
    <s v="Stationery"/>
    <x v="17"/>
    <n v="2"/>
    <n v="291.16000000000003"/>
    <n v="0.05"/>
    <n v="553.20000000000005"/>
    <n v="242.92"/>
    <n v="310.27999999999997"/>
    <x v="0"/>
    <n v="0.56088214027476491"/>
    <x v="1"/>
    <x v="5"/>
    <x v="5"/>
    <s v="Q2"/>
  </r>
  <r>
    <s v="ORD101048"/>
    <x v="508"/>
    <s v="CUST1156"/>
    <s v="Varun Gupta"/>
    <x v="2"/>
    <s v="Karnataka"/>
    <s v="Bengaluru"/>
    <x v="0"/>
    <s v="Audio"/>
    <x v="8"/>
    <n v="5"/>
    <n v="2943.03"/>
    <n v="0.15"/>
    <n v="12507.88"/>
    <n v="7925.9"/>
    <n v="4581.9799999999996"/>
    <x v="4"/>
    <n v="0.36632746716469938"/>
    <x v="1"/>
    <x v="5"/>
    <x v="5"/>
    <s v="Q2"/>
  </r>
  <r>
    <s v="ORD101162"/>
    <x v="508"/>
    <s v="CUST1132"/>
    <s v="Priya Rao"/>
    <x v="1"/>
    <s v="Delhi"/>
    <s v="New Delhi"/>
    <x v="3"/>
    <s v="Cleaning"/>
    <x v="15"/>
    <n v="1"/>
    <n v="7639.96"/>
    <n v="0.15"/>
    <n v="6493.97"/>
    <n v="4866.55"/>
    <n v="1627.42"/>
    <x v="4"/>
    <n v="0.25060479182995921"/>
    <x v="1"/>
    <x v="5"/>
    <x v="5"/>
    <s v="Q2"/>
  </r>
  <r>
    <s v="ORD100373"/>
    <x v="508"/>
    <s v="CUST1352"/>
    <s v="Arjun Joshi"/>
    <x v="3"/>
    <s v="West Bengal"/>
    <s v="Kolkata"/>
    <x v="0"/>
    <s v="Accessories"/>
    <x v="6"/>
    <n v="3"/>
    <n v="760.28"/>
    <n v="0.1"/>
    <n v="2052.7600000000002"/>
    <n v="1378.89"/>
    <n v="673.87"/>
    <x v="3"/>
    <n v="0.32827510278844091"/>
    <x v="1"/>
    <x v="5"/>
    <x v="5"/>
    <s v="Q2"/>
  </r>
  <r>
    <s v="ORD100785"/>
    <x v="509"/>
    <s v="CUST1008"/>
    <s v="Priya Patel"/>
    <x v="3"/>
    <s v="West Bengal"/>
    <s v="Kolkata"/>
    <x v="1"/>
    <s v="Storage"/>
    <x v="9"/>
    <n v="4"/>
    <n v="480.57"/>
    <n v="0.1"/>
    <n v="1730.05"/>
    <n v="888.88"/>
    <n v="841.17"/>
    <x v="2"/>
    <n v="0.48621138117395452"/>
    <x v="1"/>
    <x v="5"/>
    <x v="5"/>
    <s v="Q2"/>
  </r>
  <r>
    <s v="ORD100886"/>
    <x v="509"/>
    <s v="CUST1249"/>
    <s v="Varun Kumar"/>
    <x v="2"/>
    <s v="Tamil Nadu"/>
    <s v="Salem"/>
    <x v="0"/>
    <s v="Audio"/>
    <x v="8"/>
    <n v="1"/>
    <n v="3099.95"/>
    <n v="0.05"/>
    <n v="2944.95"/>
    <n v="1646.96"/>
    <n v="1297.99"/>
    <x v="0"/>
    <n v="0.44075111631776431"/>
    <x v="1"/>
    <x v="5"/>
    <x v="5"/>
    <s v="Q2"/>
  </r>
  <r>
    <s v="ORD100784"/>
    <x v="509"/>
    <s v="CUST1575"/>
    <s v="Rahul Kumar"/>
    <x v="0"/>
    <s v="Maharashtra"/>
    <s v="Mumbai"/>
    <x v="1"/>
    <s v="Stationery"/>
    <x v="17"/>
    <n v="6"/>
    <n v="296.27999999999997"/>
    <n v="0.15"/>
    <n v="1511.03"/>
    <n v="736.62"/>
    <n v="774.41"/>
    <x v="4"/>
    <n v="0.51250471532663144"/>
    <x v="1"/>
    <x v="5"/>
    <x v="5"/>
    <s v="Q2"/>
  </r>
  <r>
    <s v="ORD101426"/>
    <x v="509"/>
    <s v="CUST1047"/>
    <s v="Neha Rao"/>
    <x v="2"/>
    <s v="Tamil Nadu"/>
    <s v="Coimbatore"/>
    <x v="0"/>
    <s v="Audio"/>
    <x v="8"/>
    <n v="3"/>
    <n v="2956.5"/>
    <n v="0.05"/>
    <n v="8426.02"/>
    <n v="4693.05"/>
    <n v="3732.97"/>
    <x v="2"/>
    <n v="0.44302885585365331"/>
    <x v="1"/>
    <x v="5"/>
    <x v="5"/>
    <s v="Q2"/>
  </r>
  <r>
    <s v="ORD102021"/>
    <x v="510"/>
    <s v="CUST1342"/>
    <s v="Aditya Verma"/>
    <x v="0"/>
    <s v="Maharashtra"/>
    <s v="Nagpur"/>
    <x v="2"/>
    <s v="Living Room"/>
    <x v="4"/>
    <n v="2"/>
    <n v="4922.84"/>
    <n v="0.05"/>
    <n v="9353.4"/>
    <n v="5938.21"/>
    <n v="3415.19"/>
    <x v="4"/>
    <n v="0.3651281886800522"/>
    <x v="1"/>
    <x v="5"/>
    <x v="5"/>
    <s v="Q2"/>
  </r>
  <r>
    <s v="ORD100819"/>
    <x v="510"/>
    <s v="CUST1158"/>
    <s v="Varun Singh"/>
    <x v="3"/>
    <s v="West Bengal"/>
    <s v="Durgapur"/>
    <x v="2"/>
    <s v="Office"/>
    <x v="10"/>
    <n v="2"/>
    <n v="7041.03"/>
    <n v="0.05"/>
    <n v="13377.96"/>
    <n v="8915"/>
    <n v="4462.96"/>
    <x v="0"/>
    <n v="0.33360542265038923"/>
    <x v="1"/>
    <x v="5"/>
    <x v="5"/>
    <s v="Q2"/>
  </r>
  <r>
    <s v="ORD101386"/>
    <x v="511"/>
    <s v="CUST1236"/>
    <s v="Aarav Malhotra"/>
    <x v="0"/>
    <s v="Maharashtra"/>
    <s v="Nashik"/>
    <x v="1"/>
    <s v="Stationery"/>
    <x v="1"/>
    <n v="1"/>
    <n v="234.11"/>
    <n v="0"/>
    <n v="234.11"/>
    <n v="87.86"/>
    <n v="146.25"/>
    <x v="0"/>
    <n v="0.62470633462902048"/>
    <x v="1"/>
    <x v="5"/>
    <x v="5"/>
    <s v="Q2"/>
  </r>
  <r>
    <s v="ORD100708"/>
    <x v="511"/>
    <s v="CUST1039"/>
    <s v="Aisha Kumar"/>
    <x v="1"/>
    <s v="Delhi"/>
    <s v="New Delhi"/>
    <x v="1"/>
    <s v="Storage"/>
    <x v="2"/>
    <n v="3"/>
    <n v="709.58"/>
    <n v="0"/>
    <n v="2128.7399999999998"/>
    <n v="970.13"/>
    <n v="1158.6099999999999"/>
    <x v="4"/>
    <n v="0.54427031953174176"/>
    <x v="1"/>
    <x v="5"/>
    <x v="5"/>
    <s v="Q2"/>
  </r>
  <r>
    <s v="ORD101863"/>
    <x v="511"/>
    <s v="CUST1646"/>
    <s v="Aditya Sharma"/>
    <x v="3"/>
    <s v="West Bengal"/>
    <s v="Siliguri"/>
    <x v="2"/>
    <s v="Office"/>
    <x v="14"/>
    <n v="1"/>
    <n v="8333.2800000000007"/>
    <n v="0.15"/>
    <n v="7083.29"/>
    <n v="5864.09"/>
    <n v="1219.2"/>
    <x v="1"/>
    <n v="0.1721234059314245"/>
    <x v="1"/>
    <x v="5"/>
    <x v="5"/>
    <s v="Q2"/>
  </r>
  <r>
    <s v="ORD101624"/>
    <x v="511"/>
    <s v="CUST1502"/>
    <s v="Priya Reddy"/>
    <x v="2"/>
    <s v="Karnataka"/>
    <s v="Mysuru"/>
    <x v="0"/>
    <s v="Accessories"/>
    <x v="6"/>
    <n v="2"/>
    <n v="809.16"/>
    <n v="0"/>
    <n v="1618.32"/>
    <n v="988.65"/>
    <n v="629.66999999999996"/>
    <x v="2"/>
    <n v="0.38908868456176782"/>
    <x v="1"/>
    <x v="5"/>
    <x v="5"/>
    <s v="Q2"/>
  </r>
  <r>
    <s v="ORD100470"/>
    <x v="512"/>
    <s v="CUST1053"/>
    <s v="Nikhil Singh"/>
    <x v="2"/>
    <s v="Telangana"/>
    <s v="Hyderabad"/>
    <x v="2"/>
    <s v="Living Room"/>
    <x v="4"/>
    <n v="6"/>
    <n v="5286.72"/>
    <n v="0.2"/>
    <n v="25376.26"/>
    <n v="19230.34"/>
    <n v="6145.92"/>
    <x v="0"/>
    <n v="0.24219171777086149"/>
    <x v="1"/>
    <x v="5"/>
    <x v="5"/>
    <s v="Q2"/>
  </r>
  <r>
    <s v="ORD102083"/>
    <x v="513"/>
    <s v="CUST1426"/>
    <s v="Aarav Sharma"/>
    <x v="2"/>
    <s v="Telangana"/>
    <s v="Karimnagar"/>
    <x v="3"/>
    <s v="Kitchen"/>
    <x v="13"/>
    <n v="2"/>
    <n v="3483.39"/>
    <n v="0.15"/>
    <n v="5921.76"/>
    <n v="3875.95"/>
    <n v="2045.81"/>
    <x v="2"/>
    <n v="0.34547330523357922"/>
    <x v="1"/>
    <x v="5"/>
    <x v="5"/>
    <s v="Q2"/>
  </r>
  <r>
    <s v="ORD102461"/>
    <x v="513"/>
    <s v="CUST1447"/>
    <s v="Nikhil Iyer"/>
    <x v="2"/>
    <s v="Karnataka"/>
    <s v="Bengaluru"/>
    <x v="1"/>
    <s v="Storage"/>
    <x v="2"/>
    <n v="2"/>
    <n v="690.03"/>
    <n v="0.15"/>
    <n v="1173.05"/>
    <n v="640.9"/>
    <n v="532.15"/>
    <x v="0"/>
    <n v="0.45364647713226203"/>
    <x v="1"/>
    <x v="5"/>
    <x v="5"/>
    <s v="Q2"/>
  </r>
  <r>
    <s v="ORD102428"/>
    <x v="514"/>
    <s v="CUST1451"/>
    <s v="Ananya Kumar"/>
    <x v="1"/>
    <s v="Delhi"/>
    <s v="Delhi"/>
    <x v="2"/>
    <s v="Office"/>
    <x v="14"/>
    <n v="2"/>
    <n v="8916.06"/>
    <n v="0.05"/>
    <n v="16940.509999999998"/>
    <n v="11919.93"/>
    <n v="5020.58"/>
    <x v="0"/>
    <n v="0.29636533965034112"/>
    <x v="1"/>
    <x v="5"/>
    <x v="5"/>
    <s v="Q2"/>
  </r>
  <r>
    <s v="ORD100232"/>
    <x v="514"/>
    <s v="CUST1332"/>
    <s v="Vikram Singh"/>
    <x v="0"/>
    <s v="Maharashtra"/>
    <s v="Nagpur"/>
    <x v="1"/>
    <s v="Storage"/>
    <x v="2"/>
    <n v="1"/>
    <n v="728.27"/>
    <n v="0.1"/>
    <n v="655.44"/>
    <n v="341.53"/>
    <n v="313.91000000000003"/>
    <x v="3"/>
    <n v="0.47893018430367379"/>
    <x v="1"/>
    <x v="5"/>
    <x v="5"/>
    <s v="Q2"/>
  </r>
  <r>
    <s v="ORD100011"/>
    <x v="514"/>
    <s v="CUST1324"/>
    <s v="Meera Verma"/>
    <x v="2"/>
    <s v="Telangana"/>
    <s v="Hyderabad"/>
    <x v="1"/>
    <s v="Storage"/>
    <x v="2"/>
    <n v="2"/>
    <n v="699.09"/>
    <n v="0"/>
    <n v="1398.18"/>
    <n v="638.87"/>
    <n v="759.31"/>
    <x v="2"/>
    <n v="0.54307027707448252"/>
    <x v="1"/>
    <x v="5"/>
    <x v="5"/>
    <s v="Q2"/>
  </r>
  <r>
    <s v="ORD101816"/>
    <x v="514"/>
    <s v="CUST1523"/>
    <s v="Aditya Patel"/>
    <x v="3"/>
    <s v="West Bengal"/>
    <s v="Kolkata"/>
    <x v="0"/>
    <s v="Accessories"/>
    <x v="6"/>
    <n v="4"/>
    <n v="814.67"/>
    <n v="0.15"/>
    <n v="2769.88"/>
    <n v="2089.77"/>
    <n v="680.11"/>
    <x v="2"/>
    <n v="0.24553771282510431"/>
    <x v="1"/>
    <x v="5"/>
    <x v="5"/>
    <s v="Q2"/>
  </r>
  <r>
    <s v="ORD102137"/>
    <x v="514"/>
    <s v="CUST1320"/>
    <s v="Aisha Iyer"/>
    <x v="2"/>
    <s v="Telangana"/>
    <s v="Nizamabad"/>
    <x v="0"/>
    <s v="Audio"/>
    <x v="8"/>
    <n v="6"/>
    <n v="3101.83"/>
    <n v="0.05"/>
    <n v="17680.43"/>
    <n v="9864.4500000000007"/>
    <n v="7815.98"/>
    <x v="0"/>
    <n v="0.44206956505017131"/>
    <x v="1"/>
    <x v="5"/>
    <x v="5"/>
    <s v="Q2"/>
  </r>
  <r>
    <s v="ORD101357"/>
    <x v="514"/>
    <s v="CUST1137"/>
    <s v="Arjun Mehta"/>
    <x v="3"/>
    <s v="West Bengal"/>
    <s v="Kolkata"/>
    <x v="0"/>
    <s v="Computers"/>
    <x v="0"/>
    <n v="4"/>
    <n v="59548.9"/>
    <n v="0.1"/>
    <n v="214376.04"/>
    <n v="202060.84"/>
    <n v="12315.2"/>
    <x v="0"/>
    <n v="5.7446718392596477E-2"/>
    <x v="1"/>
    <x v="5"/>
    <x v="5"/>
    <s v="Q2"/>
  </r>
  <r>
    <s v="ORD100537"/>
    <x v="515"/>
    <s v="CUST1007"/>
    <s v="Kavya Nair"/>
    <x v="3"/>
    <s v="West Bengal"/>
    <s v="Siliguri"/>
    <x v="2"/>
    <s v="Living Room"/>
    <x v="16"/>
    <n v="1"/>
    <n v="4234.21"/>
    <n v="0.1"/>
    <n v="3810.79"/>
    <n v="2612.63"/>
    <n v="1198.1600000000001"/>
    <x v="0"/>
    <n v="0.31441249714626102"/>
    <x v="1"/>
    <x v="5"/>
    <x v="5"/>
    <s v="Q2"/>
  </r>
  <r>
    <s v="ORD102408"/>
    <x v="515"/>
    <s v="CUST1459"/>
    <s v="Neha Das"/>
    <x v="1"/>
    <s v="Delhi"/>
    <s v="New Delhi"/>
    <x v="1"/>
    <s v="Storage"/>
    <x v="2"/>
    <n v="3"/>
    <n v="691.95"/>
    <n v="0.1"/>
    <n v="1868.27"/>
    <n v="942.15"/>
    <n v="926.12"/>
    <x v="0"/>
    <n v="0.49570993485952253"/>
    <x v="1"/>
    <x v="5"/>
    <x v="5"/>
    <s v="Q2"/>
  </r>
  <r>
    <s v="ORD101135"/>
    <x v="515"/>
    <s v="CUST1499"/>
    <s v="Sneha Verma"/>
    <x v="1"/>
    <s v="Delhi"/>
    <s v="New Delhi"/>
    <x v="3"/>
    <s v="Kitchen"/>
    <x v="13"/>
    <n v="1"/>
    <n v="3141.01"/>
    <n v="0.15"/>
    <n v="2669.86"/>
    <n v="1842.44"/>
    <n v="827.42"/>
    <x v="2"/>
    <n v="0.30991138112110739"/>
    <x v="1"/>
    <x v="5"/>
    <x v="5"/>
    <s v="Q2"/>
  </r>
  <r>
    <s v="ORD102481"/>
    <x v="515"/>
    <s v="CUST1608"/>
    <s v="Vikram Joshi"/>
    <x v="3"/>
    <s v="West Bengal"/>
    <s v="Durgapur"/>
    <x v="3"/>
    <s v="Kitchen"/>
    <x v="13"/>
    <n v="2"/>
    <n v="3359.95"/>
    <n v="0.15"/>
    <n v="5711.91"/>
    <n v="3783.31"/>
    <n v="1928.6"/>
    <x v="3"/>
    <n v="0.33764537606509898"/>
    <x v="1"/>
    <x v="5"/>
    <x v="5"/>
    <s v="Q2"/>
  </r>
  <r>
    <s v="ORD101287"/>
    <x v="515"/>
    <s v="CUST1408"/>
    <s v="Aditya Malhotra"/>
    <x v="0"/>
    <s v="Maharashtra"/>
    <s v="Nashik"/>
    <x v="1"/>
    <s v="Stationery"/>
    <x v="1"/>
    <n v="2"/>
    <n v="237.76"/>
    <n v="0.05"/>
    <n v="451.74"/>
    <n v="184.82"/>
    <n v="266.92"/>
    <x v="3"/>
    <n v="0.5908708549165449"/>
    <x v="1"/>
    <x v="5"/>
    <x v="5"/>
    <s v="Q2"/>
  </r>
  <r>
    <s v="ORD100099"/>
    <x v="516"/>
    <s v="CUST1601"/>
    <s v="Vikram Malhotra"/>
    <x v="1"/>
    <s v="Delhi"/>
    <s v="Delhi"/>
    <x v="2"/>
    <s v="Living Room"/>
    <x v="16"/>
    <n v="3"/>
    <n v="4230.9799999999996"/>
    <n v="0.15"/>
    <n v="10789"/>
    <n v="7944.91"/>
    <n v="2844.09"/>
    <x v="1"/>
    <n v="0.26361015849476321"/>
    <x v="1"/>
    <x v="5"/>
    <x v="5"/>
    <s v="Q2"/>
  </r>
  <r>
    <s v="ORD102184"/>
    <x v="516"/>
    <s v="CUST1477"/>
    <s v="Varun Singh"/>
    <x v="3"/>
    <s v="West Bengal"/>
    <s v="Durgapur"/>
    <x v="1"/>
    <s v="Stationery"/>
    <x v="1"/>
    <n v="1"/>
    <n v="256.61"/>
    <n v="0.05"/>
    <n v="243.78"/>
    <n v="96.82"/>
    <n v="146.96"/>
    <x v="0"/>
    <n v="0.60283862498974483"/>
    <x v="1"/>
    <x v="5"/>
    <x v="5"/>
    <s v="Q2"/>
  </r>
  <r>
    <s v="ORD101140"/>
    <x v="516"/>
    <s v="CUST1562"/>
    <s v="Sneha Reddy"/>
    <x v="0"/>
    <s v="Maharashtra"/>
    <s v="Nashik"/>
    <x v="3"/>
    <s v="Cleaning"/>
    <x v="12"/>
    <n v="2"/>
    <n v="12227.62"/>
    <n v="0"/>
    <n v="24455.24"/>
    <n v="18110.5"/>
    <n v="6344.74"/>
    <x v="0"/>
    <n v="0.25944296600646732"/>
    <x v="1"/>
    <x v="5"/>
    <x v="5"/>
    <s v="Q2"/>
  </r>
  <r>
    <s v="ORD100802"/>
    <x v="517"/>
    <s v="CUST1327"/>
    <s v="Priya Kumar"/>
    <x v="3"/>
    <s v="West Bengal"/>
    <s v="Siliguri"/>
    <x v="3"/>
    <s v="Kitchen"/>
    <x v="13"/>
    <n v="1"/>
    <n v="3234.9"/>
    <n v="0.05"/>
    <n v="3073.15"/>
    <n v="1785.75"/>
    <n v="1287.4000000000001"/>
    <x v="1"/>
    <n v="0.41891869905471579"/>
    <x v="1"/>
    <x v="5"/>
    <x v="5"/>
    <s v="Q2"/>
  </r>
  <r>
    <s v="ORD101555"/>
    <x v="517"/>
    <s v="CUST1141"/>
    <s v="Diya Nair"/>
    <x v="1"/>
    <s v="Delhi"/>
    <s v="Delhi"/>
    <x v="0"/>
    <s v="Accessories"/>
    <x v="5"/>
    <n v="2"/>
    <n v="2465.9699999999998"/>
    <n v="0.1"/>
    <n v="4438.75"/>
    <n v="2783.87"/>
    <n v="1654.88"/>
    <x v="2"/>
    <n v="0.37282568290622359"/>
    <x v="1"/>
    <x v="5"/>
    <x v="5"/>
    <s v="Q2"/>
  </r>
  <r>
    <s v="ORD101890"/>
    <x v="518"/>
    <s v="CUST1388"/>
    <s v="Sneha Rao"/>
    <x v="3"/>
    <s v="West Bengal"/>
    <s v="Durgapur"/>
    <x v="1"/>
    <s v="Storage"/>
    <x v="2"/>
    <n v="4"/>
    <n v="699.62"/>
    <n v="0.05"/>
    <n v="2658.56"/>
    <n v="1282.83"/>
    <n v="1375.73"/>
    <x v="0"/>
    <n v="0.51747186446798266"/>
    <x v="1"/>
    <x v="5"/>
    <x v="5"/>
    <s v="Q2"/>
  </r>
  <r>
    <s v="ORD100271"/>
    <x v="518"/>
    <s v="CUST1204"/>
    <s v="Pooja Patel"/>
    <x v="1"/>
    <s v="Delhi"/>
    <s v="New Delhi"/>
    <x v="0"/>
    <s v="Accessories"/>
    <x v="5"/>
    <n v="1"/>
    <n v="2567.8200000000002"/>
    <n v="0"/>
    <n v="2567.8200000000002"/>
    <n v="1463.02"/>
    <n v="1104.8"/>
    <x v="2"/>
    <n v="0.43024822612176861"/>
    <x v="1"/>
    <x v="5"/>
    <x v="5"/>
    <s v="Q2"/>
  </r>
  <r>
    <s v="ORD101027"/>
    <x v="518"/>
    <s v="CUST1439"/>
    <s v="Priya Reddy"/>
    <x v="2"/>
    <s v="Karnataka"/>
    <s v="Mysuru"/>
    <x v="3"/>
    <s v="Kitchen"/>
    <x v="7"/>
    <n v="3"/>
    <n v="1890.83"/>
    <n v="0.1"/>
    <n v="5105.24"/>
    <n v="3183.28"/>
    <n v="1921.96"/>
    <x v="0"/>
    <n v="0.37646809944292531"/>
    <x v="1"/>
    <x v="5"/>
    <x v="5"/>
    <s v="Q2"/>
  </r>
  <r>
    <s v="ORD102275"/>
    <x v="518"/>
    <s v="CUST1377"/>
    <s v="Diya Gupta"/>
    <x v="2"/>
    <s v="Telangana"/>
    <s v="Karimnagar"/>
    <x v="0"/>
    <s v="Accessories"/>
    <x v="5"/>
    <n v="3"/>
    <n v="2471.5"/>
    <n v="0.1"/>
    <n v="6673.05"/>
    <n v="4170.7"/>
    <n v="2502.35"/>
    <x v="3"/>
    <n v="0.37499344377758292"/>
    <x v="1"/>
    <x v="5"/>
    <x v="5"/>
    <s v="Q2"/>
  </r>
  <r>
    <s v="ORD102226"/>
    <x v="518"/>
    <s v="CUST1015"/>
    <s v="Aisha Gupta"/>
    <x v="2"/>
    <s v="Tamil Nadu"/>
    <s v="Chennai"/>
    <x v="3"/>
    <s v="Kitchen"/>
    <x v="13"/>
    <n v="4"/>
    <n v="3245.38"/>
    <n v="0"/>
    <n v="12981.52"/>
    <n v="7506.37"/>
    <n v="5475.15"/>
    <x v="3"/>
    <n v="0.421764939698895"/>
    <x v="1"/>
    <x v="5"/>
    <x v="5"/>
    <s v="Q2"/>
  </r>
  <r>
    <s v="ORD101710"/>
    <x v="518"/>
    <s v="CUST1379"/>
    <s v="Ishaan Singh"/>
    <x v="0"/>
    <s v="Maharashtra"/>
    <s v="Nagpur"/>
    <x v="3"/>
    <s v="Kitchen"/>
    <x v="7"/>
    <n v="1"/>
    <n v="1736.74"/>
    <n v="0"/>
    <n v="1736.74"/>
    <n v="907.54"/>
    <n v="829.2"/>
    <x v="3"/>
    <n v="0.47744624987044693"/>
    <x v="1"/>
    <x v="5"/>
    <x v="5"/>
    <s v="Q2"/>
  </r>
  <r>
    <s v="ORD102049"/>
    <x v="519"/>
    <s v="CUST1348"/>
    <s v="Meera Sharma"/>
    <x v="0"/>
    <s v="Maharashtra"/>
    <s v="Nashik"/>
    <x v="3"/>
    <s v="Cleaning"/>
    <x v="15"/>
    <n v="3"/>
    <n v="7054.27"/>
    <n v="0.2"/>
    <n v="16930.25"/>
    <n v="13474.64"/>
    <n v="3455.61"/>
    <x v="0"/>
    <n v="0.2041086221408426"/>
    <x v="1"/>
    <x v="5"/>
    <x v="5"/>
    <s v="Q2"/>
  </r>
  <r>
    <s v="ORD102045"/>
    <x v="519"/>
    <s v="CUST1625"/>
    <s v="Varun Patel"/>
    <x v="1"/>
    <s v="Delhi"/>
    <s v="New Delhi"/>
    <x v="1"/>
    <s v="Stationery"/>
    <x v="1"/>
    <n v="5"/>
    <n v="256.07"/>
    <n v="0.15"/>
    <n v="1088.3"/>
    <n v="486.06"/>
    <n v="602.24"/>
    <x v="3"/>
    <n v="0.55337682624276396"/>
    <x v="1"/>
    <x v="5"/>
    <x v="5"/>
    <s v="Q2"/>
  </r>
  <r>
    <s v="ORD100400"/>
    <x v="519"/>
    <s v="CUST1072"/>
    <s v="Arjun Das"/>
    <x v="2"/>
    <s v="Telangana"/>
    <s v="Hyderabad"/>
    <x v="3"/>
    <s v="Cleaning"/>
    <x v="12"/>
    <n v="1"/>
    <n v="13664.96"/>
    <n v="0.1"/>
    <n v="12298.46"/>
    <n v="9504.08"/>
    <n v="2794.38"/>
    <x v="1"/>
    <n v="0.2272138137620483"/>
    <x v="1"/>
    <x v="5"/>
    <x v="5"/>
    <s v="Q2"/>
  </r>
  <r>
    <s v="ORD101780"/>
    <x v="519"/>
    <s v="CUST1121"/>
    <s v="Nikhil Kumar"/>
    <x v="2"/>
    <s v="Karnataka"/>
    <s v="Bengaluru"/>
    <x v="0"/>
    <s v="Audio"/>
    <x v="11"/>
    <n v="4"/>
    <n v="2014.94"/>
    <n v="0.1"/>
    <n v="7253.78"/>
    <n v="4802.1099999999997"/>
    <n v="2451.67"/>
    <x v="2"/>
    <n v="0.33798516084027919"/>
    <x v="1"/>
    <x v="5"/>
    <x v="5"/>
    <s v="Q2"/>
  </r>
  <r>
    <s v="ORD101090"/>
    <x v="519"/>
    <s v="CUST1459"/>
    <s v="Ishaan Joshi"/>
    <x v="2"/>
    <s v="Karnataka"/>
    <s v="Bengaluru"/>
    <x v="3"/>
    <s v="Cleaning"/>
    <x v="15"/>
    <n v="2"/>
    <n v="7935.28"/>
    <n v="0.05"/>
    <n v="15077.03"/>
    <n v="9996.5300000000007"/>
    <n v="5080.5"/>
    <x v="0"/>
    <n v="0.33696954904248377"/>
    <x v="1"/>
    <x v="5"/>
    <x v="5"/>
    <s v="Q2"/>
  </r>
  <r>
    <s v="ORD101552"/>
    <x v="520"/>
    <s v="CUST1490"/>
    <s v="Pooja Singh"/>
    <x v="2"/>
    <s v="Telangana"/>
    <s v="Hyderabad"/>
    <x v="1"/>
    <s v="Stationery"/>
    <x v="17"/>
    <n v="1"/>
    <n v="284.45999999999998"/>
    <n v="0"/>
    <n v="284.45999999999998"/>
    <n v="115.42"/>
    <n v="169.04"/>
    <x v="3"/>
    <n v="0.59424875202137384"/>
    <x v="1"/>
    <x v="5"/>
    <x v="5"/>
    <s v="Q2"/>
  </r>
  <r>
    <s v="ORD101497"/>
    <x v="521"/>
    <s v="CUST1451"/>
    <s v="Aarav Joshi"/>
    <x v="2"/>
    <s v="Telangana"/>
    <s v="Nizamabad"/>
    <x v="3"/>
    <s v="Kitchen"/>
    <x v="7"/>
    <n v="2"/>
    <n v="1754.76"/>
    <n v="0.05"/>
    <n v="3334.04"/>
    <n v="1833.76"/>
    <n v="1500.28"/>
    <x v="0"/>
    <n v="0.44998860241628769"/>
    <x v="1"/>
    <x v="5"/>
    <x v="5"/>
    <s v="Q2"/>
  </r>
  <r>
    <s v="ORD101258"/>
    <x v="522"/>
    <s v="CUST1569"/>
    <s v="Neha Verma"/>
    <x v="3"/>
    <s v="West Bengal"/>
    <s v="Durgapur"/>
    <x v="2"/>
    <s v="Living Room"/>
    <x v="16"/>
    <n v="4"/>
    <n v="3989.63"/>
    <n v="0.15"/>
    <n v="13564.74"/>
    <n v="10444.49"/>
    <n v="3120.25"/>
    <x v="0"/>
    <n v="0.23002652465141241"/>
    <x v="1"/>
    <x v="5"/>
    <x v="5"/>
    <s v="Q2"/>
  </r>
  <r>
    <s v="ORD100252"/>
    <x v="522"/>
    <s v="CUST1549"/>
    <s v="Sneha Nair"/>
    <x v="3"/>
    <s v="West Bengal"/>
    <s v="Kolkata"/>
    <x v="2"/>
    <s v="Living Room"/>
    <x v="16"/>
    <n v="2"/>
    <n v="4130.46"/>
    <n v="0.05"/>
    <n v="7847.87"/>
    <n v="5314.61"/>
    <n v="2533.2600000000002"/>
    <x v="2"/>
    <n v="0.32279586690401352"/>
    <x v="1"/>
    <x v="5"/>
    <x v="5"/>
    <s v="Q2"/>
  </r>
  <r>
    <s v="ORD100876"/>
    <x v="522"/>
    <s v="CUST1101"/>
    <s v="Kiran Sharma"/>
    <x v="2"/>
    <s v="Telangana"/>
    <s v="Hyderabad"/>
    <x v="0"/>
    <s v="Computers"/>
    <x v="0"/>
    <n v="5"/>
    <n v="61257.08"/>
    <n v="0.15"/>
    <n v="260342.59"/>
    <n v="274144.32"/>
    <n v="-13801.73"/>
    <x v="1"/>
    <n v="-5.301372318682087E-2"/>
    <x v="1"/>
    <x v="5"/>
    <x v="5"/>
    <s v="Q2"/>
  </r>
  <r>
    <s v="ORD102159"/>
    <x v="522"/>
    <s v="CUST1109"/>
    <s v="Rahul Sharma"/>
    <x v="1"/>
    <s v="Delhi"/>
    <s v="Delhi"/>
    <x v="2"/>
    <s v="Office"/>
    <x v="10"/>
    <n v="1"/>
    <n v="7196.56"/>
    <n v="0.1"/>
    <n v="6476.9"/>
    <n v="4464.83"/>
    <n v="2012.07"/>
    <x v="1"/>
    <n v="0.31065324460775989"/>
    <x v="1"/>
    <x v="5"/>
    <x v="5"/>
    <s v="Q2"/>
  </r>
  <r>
    <s v="ORD100371"/>
    <x v="523"/>
    <s v="CUST1108"/>
    <s v="Neha Singh"/>
    <x v="2"/>
    <s v="Tamil Nadu"/>
    <s v="Madurai"/>
    <x v="0"/>
    <s v="Accessories"/>
    <x v="6"/>
    <n v="3"/>
    <n v="768.68"/>
    <n v="0.15"/>
    <n v="1960.13"/>
    <n v="1372.65"/>
    <n v="587.48"/>
    <x v="0"/>
    <n v="0.29971481483370999"/>
    <x v="1"/>
    <x v="5"/>
    <x v="5"/>
    <s v="Q2"/>
  </r>
  <r>
    <s v="ORD102112"/>
    <x v="523"/>
    <s v="CUST1573"/>
    <s v="Vikram Malhotra"/>
    <x v="2"/>
    <s v="Telangana"/>
    <s v="Hyderabad"/>
    <x v="1"/>
    <s v="Storage"/>
    <x v="2"/>
    <n v="4"/>
    <n v="702.01"/>
    <n v="0.05"/>
    <n v="2667.64"/>
    <n v="1292.33"/>
    <n v="1375.31"/>
    <x v="1"/>
    <n v="0.51555307312830823"/>
    <x v="1"/>
    <x v="5"/>
    <x v="5"/>
    <s v="Q2"/>
  </r>
  <r>
    <s v="ORD100782"/>
    <x v="523"/>
    <s v="CUST1409"/>
    <s v="Arjun Reddy"/>
    <x v="1"/>
    <s v="Delhi"/>
    <s v="New Delhi"/>
    <x v="2"/>
    <s v="Office"/>
    <x v="14"/>
    <n v="1"/>
    <n v="8199.25"/>
    <n v="0.15"/>
    <n v="6969.36"/>
    <n v="5503.69"/>
    <n v="1465.67"/>
    <x v="0"/>
    <n v="0.21030195025081211"/>
    <x v="1"/>
    <x v="5"/>
    <x v="5"/>
    <s v="Q2"/>
  </r>
  <r>
    <s v="ORD100636"/>
    <x v="524"/>
    <s v="CUST1096"/>
    <s v="Ananya Naidu"/>
    <x v="2"/>
    <s v="Karnataka"/>
    <s v="Mysuru"/>
    <x v="1"/>
    <s v="Storage"/>
    <x v="9"/>
    <n v="1"/>
    <n v="481.11"/>
    <n v="0.1"/>
    <n v="433"/>
    <n v="214.49"/>
    <n v="218.51"/>
    <x v="1"/>
    <n v="0.50464203233256344"/>
    <x v="1"/>
    <x v="5"/>
    <x v="5"/>
    <s v="Q2"/>
  </r>
  <r>
    <s v="ORD100095"/>
    <x v="525"/>
    <s v="CUST1505"/>
    <s v="Ananya Das"/>
    <x v="3"/>
    <s v="West Bengal"/>
    <s v="Siliguri"/>
    <x v="0"/>
    <s v="Computers"/>
    <x v="3"/>
    <n v="2"/>
    <n v="16179.14"/>
    <n v="0.15"/>
    <n v="27504.54"/>
    <n v="23542.639999999999"/>
    <n v="3961.9"/>
    <x v="0"/>
    <n v="0.14404531033785689"/>
    <x v="1"/>
    <x v="5"/>
    <x v="5"/>
    <s v="Q2"/>
  </r>
  <r>
    <s v="ORD102149"/>
    <x v="525"/>
    <s v="CUST1173"/>
    <s v="Rohan Iyer"/>
    <x v="3"/>
    <s v="West Bengal"/>
    <s v="Kolkata"/>
    <x v="0"/>
    <s v="Audio"/>
    <x v="8"/>
    <n v="3"/>
    <n v="3037.12"/>
    <n v="0.15"/>
    <n v="7744.66"/>
    <n v="4722.8100000000004"/>
    <n v="3021.85"/>
    <x v="0"/>
    <n v="0.39018497906944921"/>
    <x v="1"/>
    <x v="5"/>
    <x v="5"/>
    <s v="Q2"/>
  </r>
  <r>
    <s v="ORD100028"/>
    <x v="525"/>
    <s v="CUST1523"/>
    <s v="Rohan Verma"/>
    <x v="0"/>
    <s v="Maharashtra"/>
    <s v="Nagpur"/>
    <x v="0"/>
    <s v="Audio"/>
    <x v="11"/>
    <n v="2"/>
    <n v="2022.04"/>
    <n v="0.2"/>
    <n v="3235.26"/>
    <n v="2426.8200000000002"/>
    <n v="808.44"/>
    <x v="1"/>
    <n v="0.24988408968676401"/>
    <x v="1"/>
    <x v="5"/>
    <x v="5"/>
    <s v="Q2"/>
  </r>
  <r>
    <s v="ORD100391"/>
    <x v="525"/>
    <s v="CUST1633"/>
    <s v="Rohan Mehta"/>
    <x v="2"/>
    <s v="Tamil Nadu"/>
    <s v="Chennai"/>
    <x v="0"/>
    <s v="Audio"/>
    <x v="8"/>
    <n v="1"/>
    <n v="2931.06"/>
    <n v="0"/>
    <n v="2931.06"/>
    <n v="1464.71"/>
    <n v="1466.35"/>
    <x v="1"/>
    <n v="0.50027976227030491"/>
    <x v="1"/>
    <x v="5"/>
    <x v="5"/>
    <s v="Q2"/>
  </r>
  <r>
    <s v="ORD100911"/>
    <x v="525"/>
    <s v="CUST1509"/>
    <s v="Sneha Naidu"/>
    <x v="0"/>
    <s v="Maharashtra"/>
    <s v="Pune"/>
    <x v="2"/>
    <s v="Living Room"/>
    <x v="16"/>
    <n v="2"/>
    <n v="3970.45"/>
    <n v="0"/>
    <n v="7940.9"/>
    <n v="5005.84"/>
    <n v="2935.06"/>
    <x v="3"/>
    <n v="0.36961301615685882"/>
    <x v="1"/>
    <x v="5"/>
    <x v="5"/>
    <s v="Q2"/>
  </r>
  <r>
    <s v="ORD100791"/>
    <x v="526"/>
    <s v="CUST1014"/>
    <s v="Priya Rao"/>
    <x v="2"/>
    <s v="Tamil Nadu"/>
    <s v="Salem"/>
    <x v="1"/>
    <s v="Stationery"/>
    <x v="1"/>
    <n v="4"/>
    <n v="247.49"/>
    <n v="0.1"/>
    <n v="890.96"/>
    <n v="372.98"/>
    <n v="517.98"/>
    <x v="0"/>
    <n v="0.58137290114034301"/>
    <x v="1"/>
    <x v="5"/>
    <x v="5"/>
    <s v="Q2"/>
  </r>
  <r>
    <s v="ORD101323"/>
    <x v="526"/>
    <s v="CUST1228"/>
    <s v="Aditya Nair"/>
    <x v="2"/>
    <s v="Telangana"/>
    <s v="Karimnagar"/>
    <x v="1"/>
    <s v="Storage"/>
    <x v="2"/>
    <n v="1"/>
    <n v="663.65"/>
    <n v="0.15"/>
    <n v="564.1"/>
    <n v="311.93"/>
    <n v="252.17"/>
    <x v="2"/>
    <n v="0.44703066832121963"/>
    <x v="1"/>
    <x v="5"/>
    <x v="5"/>
    <s v="Q2"/>
  </r>
  <r>
    <s v="ORD100761"/>
    <x v="526"/>
    <s v="CUST1233"/>
    <s v="Ishaan Joshi"/>
    <x v="3"/>
    <s v="West Bengal"/>
    <s v="Kolkata"/>
    <x v="0"/>
    <s v="Audio"/>
    <x v="11"/>
    <n v="3"/>
    <n v="2012.43"/>
    <n v="0.05"/>
    <n v="5735.43"/>
    <n v="3601.16"/>
    <n v="2134.27"/>
    <x v="3"/>
    <n v="0.37212031181620209"/>
    <x v="1"/>
    <x v="5"/>
    <x v="5"/>
    <s v="Q2"/>
  </r>
  <r>
    <s v="ORD100923"/>
    <x v="527"/>
    <s v="CUST1297"/>
    <s v="Neha Das"/>
    <x v="2"/>
    <s v="Karnataka"/>
    <s v="Mangaluru"/>
    <x v="2"/>
    <s v="Office"/>
    <x v="14"/>
    <n v="2"/>
    <n v="8263.23"/>
    <n v="0.15"/>
    <n v="14047.49"/>
    <n v="10851.28"/>
    <n v="3196.21"/>
    <x v="0"/>
    <n v="0.22752890374009879"/>
    <x v="1"/>
    <x v="5"/>
    <x v="5"/>
    <s v="Q2"/>
  </r>
  <r>
    <s v="ORD101697"/>
    <x v="527"/>
    <s v="CUST1452"/>
    <s v="Rohan Patel"/>
    <x v="1"/>
    <s v="Delhi"/>
    <s v="Delhi"/>
    <x v="0"/>
    <s v="Computers"/>
    <x v="0"/>
    <n v="2"/>
    <n v="61990.51"/>
    <n v="0.05"/>
    <n v="117781.97"/>
    <n v="109682.85"/>
    <n v="8099.12"/>
    <x v="0"/>
    <n v="6.8763665610279745E-2"/>
    <x v="1"/>
    <x v="5"/>
    <x v="5"/>
    <s v="Q2"/>
  </r>
  <r>
    <s v="ORD101512"/>
    <x v="527"/>
    <s v="CUST1402"/>
    <s v="Meera Das"/>
    <x v="3"/>
    <s v="West Bengal"/>
    <s v="Durgapur"/>
    <x v="0"/>
    <s v="Audio"/>
    <x v="8"/>
    <n v="2"/>
    <n v="3105.88"/>
    <n v="0.05"/>
    <n v="5901.17"/>
    <n v="3111.77"/>
    <n v="2789.4"/>
    <x v="3"/>
    <n v="0.47268592499453499"/>
    <x v="1"/>
    <x v="5"/>
    <x v="5"/>
    <s v="Q2"/>
  </r>
  <r>
    <s v="ORD100652"/>
    <x v="528"/>
    <s v="CUST1001"/>
    <s v="Arjun Malhotra"/>
    <x v="0"/>
    <s v="Maharashtra"/>
    <s v="Pune"/>
    <x v="3"/>
    <s v="Kitchen"/>
    <x v="7"/>
    <n v="3"/>
    <n v="1822.03"/>
    <n v="0.05"/>
    <n v="5192.79"/>
    <n v="2920.85"/>
    <n v="2271.94"/>
    <x v="2"/>
    <n v="0.4375181742377412"/>
    <x v="1"/>
    <x v="5"/>
    <x v="5"/>
    <s v="Q2"/>
  </r>
  <r>
    <s v="ORD101133"/>
    <x v="528"/>
    <s v="CUST1176"/>
    <s v="Varun Gupta"/>
    <x v="2"/>
    <s v="Tamil Nadu"/>
    <s v="Salem"/>
    <x v="3"/>
    <s v="Kitchen"/>
    <x v="7"/>
    <n v="4"/>
    <n v="1739.58"/>
    <n v="0.1"/>
    <n v="6262.49"/>
    <n v="3715.68"/>
    <n v="2546.81"/>
    <x v="1"/>
    <n v="0.40667689688925651"/>
    <x v="1"/>
    <x v="5"/>
    <x v="5"/>
    <s v="Q2"/>
  </r>
  <r>
    <s v="ORD102174"/>
    <x v="528"/>
    <s v="CUST1608"/>
    <s v="Aarav Naidu"/>
    <x v="2"/>
    <s v="Tamil Nadu"/>
    <s v="Coimbatore"/>
    <x v="1"/>
    <s v="Storage"/>
    <x v="2"/>
    <n v="4"/>
    <n v="710.1"/>
    <n v="0.1"/>
    <n v="2556.36"/>
    <n v="1307.1300000000001"/>
    <n v="1249.23"/>
    <x v="1"/>
    <n v="0.48867530394780079"/>
    <x v="1"/>
    <x v="5"/>
    <x v="5"/>
    <s v="Q2"/>
  </r>
  <r>
    <s v="ORD101085"/>
    <x v="528"/>
    <s v="CUST1089"/>
    <s v="Aisha Nair"/>
    <x v="2"/>
    <s v="Telangana"/>
    <s v="Hyderabad"/>
    <x v="3"/>
    <s v="Kitchen"/>
    <x v="13"/>
    <n v="6"/>
    <n v="3411.51"/>
    <n v="0.2"/>
    <n v="16375.25"/>
    <n v="11352.05"/>
    <n v="5023.2"/>
    <x v="0"/>
    <n v="0.3067556220515717"/>
    <x v="1"/>
    <x v="5"/>
    <x v="5"/>
    <s v="Q2"/>
  </r>
  <r>
    <s v="ORD101876"/>
    <x v="529"/>
    <s v="CUST1456"/>
    <s v="Kiran Patel"/>
    <x v="3"/>
    <s v="West Bengal"/>
    <s v="Siliguri"/>
    <x v="1"/>
    <s v="Storage"/>
    <x v="2"/>
    <n v="1"/>
    <n v="711.17"/>
    <n v="0.05"/>
    <n v="675.61"/>
    <n v="327.58999999999997"/>
    <n v="348.02"/>
    <x v="0"/>
    <n v="0.51511966963188816"/>
    <x v="1"/>
    <x v="5"/>
    <x v="5"/>
    <s v="Q2"/>
  </r>
  <r>
    <s v="ORD100313"/>
    <x v="529"/>
    <s v="CUST1350"/>
    <s v="Ananya Mehta"/>
    <x v="2"/>
    <s v="Karnataka"/>
    <s v="Hubballi"/>
    <x v="2"/>
    <s v="Office"/>
    <x v="10"/>
    <n v="2"/>
    <n v="6910.33"/>
    <n v="0.15"/>
    <n v="11747.56"/>
    <n v="8891.5499999999993"/>
    <n v="2856.01"/>
    <x v="4"/>
    <n v="0.2431151660429911"/>
    <x v="1"/>
    <x v="5"/>
    <x v="5"/>
    <s v="Q2"/>
  </r>
  <r>
    <s v="ORD100976"/>
    <x v="529"/>
    <s v="CUST1006"/>
    <s v="Sneha Das"/>
    <x v="2"/>
    <s v="Tamil Nadu"/>
    <s v="Chennai"/>
    <x v="2"/>
    <s v="Office"/>
    <x v="14"/>
    <n v="1"/>
    <n v="8957.06"/>
    <n v="0.1"/>
    <n v="8061.35"/>
    <n v="6070.88"/>
    <n v="1990.47"/>
    <x v="2"/>
    <n v="0.246915218914946"/>
    <x v="1"/>
    <x v="5"/>
    <x v="5"/>
    <s v="Q2"/>
  </r>
  <r>
    <s v="ORD102078"/>
    <x v="529"/>
    <s v="CUST1230"/>
    <s v="Vikram Patel"/>
    <x v="3"/>
    <s v="West Bengal"/>
    <s v="Durgapur"/>
    <x v="1"/>
    <s v="Storage"/>
    <x v="2"/>
    <n v="3"/>
    <n v="679.5"/>
    <n v="0.05"/>
    <n v="1936.57"/>
    <n v="924.18"/>
    <n v="1012.39"/>
    <x v="0"/>
    <n v="0.52277480287312106"/>
    <x v="1"/>
    <x v="5"/>
    <x v="5"/>
    <s v="Q2"/>
  </r>
  <r>
    <s v="ORD100498"/>
    <x v="529"/>
    <s v="CUST1635"/>
    <s v="Meera Sharma"/>
    <x v="2"/>
    <s v="Telangana"/>
    <s v="Nizamabad"/>
    <x v="3"/>
    <s v="Kitchen"/>
    <x v="7"/>
    <n v="3"/>
    <n v="1811.23"/>
    <n v="0"/>
    <n v="5433.69"/>
    <n v="2876.87"/>
    <n v="2556.8200000000002"/>
    <x v="1"/>
    <n v="0.47054947926731189"/>
    <x v="1"/>
    <x v="5"/>
    <x v="5"/>
    <s v="Q2"/>
  </r>
  <r>
    <s v="ORD100205"/>
    <x v="530"/>
    <s v="CUST1520"/>
    <s v="Ishaan Mehta"/>
    <x v="0"/>
    <s v="Maharashtra"/>
    <s v="Nashik"/>
    <x v="0"/>
    <s v="Computers"/>
    <x v="0"/>
    <n v="5"/>
    <n v="59220.55"/>
    <n v="0.05"/>
    <n v="281297.61"/>
    <n v="266391.98"/>
    <n v="14905.63"/>
    <x v="0"/>
    <n v="5.2988825607156773E-2"/>
    <x v="1"/>
    <x v="5"/>
    <x v="5"/>
    <s v="Q2"/>
  </r>
  <r>
    <s v="ORD100023"/>
    <x v="530"/>
    <s v="CUST1044"/>
    <s v="Nikhil Nair"/>
    <x v="3"/>
    <s v="West Bengal"/>
    <s v="Kolkata"/>
    <x v="1"/>
    <s v="Storage"/>
    <x v="2"/>
    <n v="1"/>
    <n v="677.27"/>
    <n v="0.2"/>
    <n v="541.82000000000005"/>
    <n v="308.70999999999998"/>
    <n v="233.11"/>
    <x v="0"/>
    <n v="0.43023513343914949"/>
    <x v="1"/>
    <x v="5"/>
    <x v="5"/>
    <s v="Q2"/>
  </r>
  <r>
    <s v="ORD100522"/>
    <x v="530"/>
    <s v="CUST1375"/>
    <s v="Aarav Naidu"/>
    <x v="2"/>
    <s v="Telangana"/>
    <s v="Warangal"/>
    <x v="0"/>
    <s v="Accessories"/>
    <x v="6"/>
    <n v="2"/>
    <n v="830.77"/>
    <n v="0.15"/>
    <n v="1412.31"/>
    <n v="1019.61"/>
    <n v="392.7"/>
    <x v="4"/>
    <n v="0.27805510121715488"/>
    <x v="1"/>
    <x v="5"/>
    <x v="5"/>
    <s v="Q2"/>
  </r>
  <r>
    <s v="ORD101868"/>
    <x v="530"/>
    <s v="CUST1426"/>
    <s v="Priya Nair"/>
    <x v="2"/>
    <s v="Tamil Nadu"/>
    <s v="Coimbatore"/>
    <x v="0"/>
    <s v="Computers"/>
    <x v="0"/>
    <n v="6"/>
    <n v="60165.85"/>
    <n v="0"/>
    <n v="360995.1"/>
    <n v="329510.65000000002"/>
    <n v="31484.45"/>
    <x v="3"/>
    <n v="8.7215726750861727E-2"/>
    <x v="1"/>
    <x v="5"/>
    <x v="5"/>
    <s v="Q2"/>
  </r>
  <r>
    <s v="ORD102263"/>
    <x v="531"/>
    <s v="CUST1542"/>
    <s v="Sanjana Malhotra"/>
    <x v="2"/>
    <s v="Tamil Nadu"/>
    <s v="Coimbatore"/>
    <x v="1"/>
    <s v="Stationery"/>
    <x v="17"/>
    <n v="1"/>
    <n v="308.45"/>
    <n v="0.1"/>
    <n v="277.61"/>
    <n v="130.26"/>
    <n v="147.35"/>
    <x v="0"/>
    <n v="0.53078059147725221"/>
    <x v="1"/>
    <x v="5"/>
    <x v="5"/>
    <s v="Q2"/>
  </r>
  <r>
    <s v="ORD102224"/>
    <x v="531"/>
    <s v="CUST1164"/>
    <s v="Sanjana Singh"/>
    <x v="3"/>
    <s v="West Bengal"/>
    <s v="Kolkata"/>
    <x v="1"/>
    <s v="Storage"/>
    <x v="2"/>
    <n v="5"/>
    <n v="706.04"/>
    <n v="0.2"/>
    <n v="2824.16"/>
    <n v="1686.31"/>
    <n v="1137.8499999999999"/>
    <x v="4"/>
    <n v="0.402898560988046"/>
    <x v="1"/>
    <x v="5"/>
    <x v="5"/>
    <s v="Q2"/>
  </r>
  <r>
    <s v="ORD100176"/>
    <x v="531"/>
    <s v="CUST1509"/>
    <s v="Varun Gupta"/>
    <x v="3"/>
    <s v="West Bengal"/>
    <s v="Durgapur"/>
    <x v="3"/>
    <s v="Cleaning"/>
    <x v="15"/>
    <n v="2"/>
    <n v="7788.95"/>
    <n v="0"/>
    <n v="15577.9"/>
    <n v="10245.67"/>
    <n v="5332.23"/>
    <x v="1"/>
    <n v="0.34229453263918752"/>
    <x v="1"/>
    <x v="5"/>
    <x v="5"/>
    <s v="Q2"/>
  </r>
  <r>
    <s v="ORD100112"/>
    <x v="531"/>
    <s v="CUST1221"/>
    <s v="Vikram Verma"/>
    <x v="2"/>
    <s v="Karnataka"/>
    <s v="Bengaluru"/>
    <x v="2"/>
    <s v="Living Room"/>
    <x v="4"/>
    <n v="1"/>
    <n v="5209.76"/>
    <n v="0.1"/>
    <n v="4688.78"/>
    <n v="3273.18"/>
    <n v="1415.6"/>
    <x v="0"/>
    <n v="0.30191222450189598"/>
    <x v="1"/>
    <x v="5"/>
    <x v="5"/>
    <s v="Q2"/>
  </r>
  <r>
    <s v="ORD100758"/>
    <x v="531"/>
    <s v="CUST1322"/>
    <s v="Meera Nair"/>
    <x v="3"/>
    <s v="West Bengal"/>
    <s v="Durgapur"/>
    <x v="2"/>
    <s v="Office"/>
    <x v="14"/>
    <n v="2"/>
    <n v="8860.3799999999992"/>
    <n v="0.05"/>
    <n v="16834.72"/>
    <n v="12122.43"/>
    <n v="4712.29"/>
    <x v="4"/>
    <n v="0.27991496146060052"/>
    <x v="1"/>
    <x v="5"/>
    <x v="5"/>
    <s v="Q2"/>
  </r>
  <r>
    <s v="ORD101051"/>
    <x v="532"/>
    <s v="CUST1543"/>
    <s v="Kavya Sharma"/>
    <x v="0"/>
    <s v="Maharashtra"/>
    <s v="Pune"/>
    <x v="0"/>
    <s v="Computers"/>
    <x v="0"/>
    <n v="6"/>
    <n v="57941.26"/>
    <n v="0.05"/>
    <n v="330265.18"/>
    <n v="308634.65000000002"/>
    <n v="21630.53"/>
    <x v="3"/>
    <n v="6.5494430869157932E-2"/>
    <x v="1"/>
    <x v="6"/>
    <x v="6"/>
    <s v="Q3"/>
  </r>
  <r>
    <s v="ORD101883"/>
    <x v="532"/>
    <s v="CUST1610"/>
    <s v="Arjun Mehta"/>
    <x v="3"/>
    <s v="West Bengal"/>
    <s v="Durgapur"/>
    <x v="0"/>
    <s v="Computers"/>
    <x v="3"/>
    <n v="2"/>
    <n v="15741.08"/>
    <n v="0.1"/>
    <n v="28333.94"/>
    <n v="23096.17"/>
    <n v="5237.7700000000004"/>
    <x v="3"/>
    <n v="0.18485851244126311"/>
    <x v="1"/>
    <x v="6"/>
    <x v="6"/>
    <s v="Q3"/>
  </r>
  <r>
    <s v="ORD102410"/>
    <x v="532"/>
    <s v="CUST1054"/>
    <s v="Sanjana Rao"/>
    <x v="1"/>
    <s v="Delhi"/>
    <s v="New Delhi"/>
    <x v="1"/>
    <s v="Stationery"/>
    <x v="1"/>
    <n v="2"/>
    <n v="246.37"/>
    <n v="0.1"/>
    <n v="443.47"/>
    <n v="184.62"/>
    <n v="258.85000000000002"/>
    <x v="1"/>
    <n v="0.58369224524770558"/>
    <x v="1"/>
    <x v="6"/>
    <x v="6"/>
    <s v="Q3"/>
  </r>
  <r>
    <s v="ORD100121"/>
    <x v="532"/>
    <s v="CUST1235"/>
    <s v="Varun Das"/>
    <x v="2"/>
    <s v="Karnataka"/>
    <s v="Hubballi"/>
    <x v="1"/>
    <s v="Storage"/>
    <x v="2"/>
    <n v="6"/>
    <n v="712.42"/>
    <n v="0.1"/>
    <n v="3847.07"/>
    <n v="1977.28"/>
    <n v="1869.79"/>
    <x v="1"/>
    <n v="0.48602962774267172"/>
    <x v="1"/>
    <x v="6"/>
    <x v="6"/>
    <s v="Q3"/>
  </r>
  <r>
    <s v="ORD100359"/>
    <x v="532"/>
    <s v="CUST1513"/>
    <s v="Ishaan Patel"/>
    <x v="2"/>
    <s v="Tamil Nadu"/>
    <s v="Coimbatore"/>
    <x v="2"/>
    <s v="Office"/>
    <x v="10"/>
    <n v="6"/>
    <n v="7118.7"/>
    <n v="0.1"/>
    <n v="38440.980000000003"/>
    <n v="28251.37"/>
    <n v="10189.61"/>
    <x v="0"/>
    <n v="0.26507154604279082"/>
    <x v="1"/>
    <x v="6"/>
    <x v="6"/>
    <s v="Q3"/>
  </r>
  <r>
    <s v="ORD101313"/>
    <x v="533"/>
    <s v="CUST1345"/>
    <s v="Diya Singh"/>
    <x v="2"/>
    <s v="Tamil Nadu"/>
    <s v="Chennai"/>
    <x v="1"/>
    <s v="Storage"/>
    <x v="2"/>
    <n v="1"/>
    <n v="733.04"/>
    <n v="0"/>
    <n v="733.04"/>
    <n v="354.9"/>
    <n v="378.14"/>
    <x v="0"/>
    <n v="0.51585179526355995"/>
    <x v="1"/>
    <x v="6"/>
    <x v="6"/>
    <s v="Q3"/>
  </r>
  <r>
    <s v="ORD100338"/>
    <x v="533"/>
    <s v="CUST1404"/>
    <s v="Sanjana Gupta"/>
    <x v="2"/>
    <s v="Telangana"/>
    <s v="Karimnagar"/>
    <x v="0"/>
    <s v="Audio"/>
    <x v="11"/>
    <n v="2"/>
    <n v="2102.3200000000002"/>
    <n v="0.1"/>
    <n v="3784.18"/>
    <n v="2348.21"/>
    <n v="1435.97"/>
    <x v="0"/>
    <n v="0.37946662156662742"/>
    <x v="1"/>
    <x v="6"/>
    <x v="6"/>
    <s v="Q3"/>
  </r>
  <r>
    <s v="ORD102337"/>
    <x v="533"/>
    <s v="CUST1429"/>
    <s v="Sanjana Naidu"/>
    <x v="0"/>
    <s v="Maharashtra"/>
    <s v="Nagpur"/>
    <x v="1"/>
    <s v="Storage"/>
    <x v="9"/>
    <n v="5"/>
    <n v="472.42"/>
    <n v="0.05"/>
    <n v="2243.9899999999998"/>
    <n v="1063.58"/>
    <n v="1180.4100000000001"/>
    <x v="4"/>
    <n v="0.52603175593474139"/>
    <x v="1"/>
    <x v="6"/>
    <x v="6"/>
    <s v="Q3"/>
  </r>
  <r>
    <s v="ORD101257"/>
    <x v="533"/>
    <s v="CUST1338"/>
    <s v="Nikhil Nair"/>
    <x v="2"/>
    <s v="Telangana"/>
    <s v="Warangal"/>
    <x v="0"/>
    <s v="Accessories"/>
    <x v="6"/>
    <n v="1"/>
    <n v="798.89"/>
    <n v="0.05"/>
    <n v="758.95"/>
    <n v="508.43"/>
    <n v="250.52"/>
    <x v="1"/>
    <n v="0.33008762105540551"/>
    <x v="1"/>
    <x v="6"/>
    <x v="6"/>
    <s v="Q3"/>
  </r>
  <r>
    <s v="ORD101643"/>
    <x v="534"/>
    <s v="CUST1243"/>
    <s v="Sneha Iyer"/>
    <x v="2"/>
    <s v="Karnataka"/>
    <s v="Mysuru"/>
    <x v="2"/>
    <s v="Office"/>
    <x v="14"/>
    <n v="1"/>
    <n v="8198.42"/>
    <n v="0.15"/>
    <n v="6968.66"/>
    <n v="5742.61"/>
    <n v="1226.05"/>
    <x v="3"/>
    <n v="0.17593769820883781"/>
    <x v="1"/>
    <x v="6"/>
    <x v="6"/>
    <s v="Q3"/>
  </r>
  <r>
    <s v="ORD100619"/>
    <x v="534"/>
    <s v="CUST1338"/>
    <s v="Diya Malhotra"/>
    <x v="2"/>
    <s v="Telangana"/>
    <s v="Karimnagar"/>
    <x v="2"/>
    <s v="Living Room"/>
    <x v="4"/>
    <n v="4"/>
    <n v="4952.75"/>
    <n v="0.1"/>
    <n v="17829.900000000001"/>
    <n v="12013.78"/>
    <n v="5816.12"/>
    <x v="2"/>
    <n v="0.32620037128643448"/>
    <x v="1"/>
    <x v="6"/>
    <x v="6"/>
    <s v="Q3"/>
  </r>
  <r>
    <s v="ORD101181"/>
    <x v="534"/>
    <s v="CUST1227"/>
    <s v="Sanjana Malhotra"/>
    <x v="0"/>
    <s v="Maharashtra"/>
    <s v="Nagpur"/>
    <x v="0"/>
    <s v="Computers"/>
    <x v="3"/>
    <n v="3"/>
    <n v="16957.91"/>
    <n v="0"/>
    <n v="50873.73"/>
    <n v="39504.129999999997"/>
    <n v="11369.6"/>
    <x v="2"/>
    <n v="0.22348666001097231"/>
    <x v="1"/>
    <x v="6"/>
    <x v="6"/>
    <s v="Q3"/>
  </r>
  <r>
    <s v="ORD100815"/>
    <x v="534"/>
    <s v="CUST1145"/>
    <s v="Diya Rao"/>
    <x v="1"/>
    <s v="Delhi"/>
    <s v="Delhi"/>
    <x v="1"/>
    <s v="Stationery"/>
    <x v="17"/>
    <n v="4"/>
    <n v="299.31"/>
    <n v="0.05"/>
    <n v="1137.3800000000001"/>
    <n v="496.16"/>
    <n v="641.22"/>
    <x v="3"/>
    <n v="0.56376936468022998"/>
    <x v="1"/>
    <x v="6"/>
    <x v="6"/>
    <s v="Q3"/>
  </r>
  <r>
    <s v="ORD101047"/>
    <x v="534"/>
    <s v="CUST1366"/>
    <s v="Rahul Malhotra"/>
    <x v="2"/>
    <s v="Telangana"/>
    <s v="Nizamabad"/>
    <x v="1"/>
    <s v="Storage"/>
    <x v="9"/>
    <n v="1"/>
    <n v="476.23"/>
    <n v="0.05"/>
    <n v="452.42"/>
    <n v="209.83"/>
    <n v="242.59"/>
    <x v="0"/>
    <n v="0.5362052959639273"/>
    <x v="1"/>
    <x v="6"/>
    <x v="6"/>
    <s v="Q3"/>
  </r>
  <r>
    <s v="ORD101833"/>
    <x v="534"/>
    <s v="CUST1037"/>
    <s v="Neha Singh"/>
    <x v="3"/>
    <s v="West Bengal"/>
    <s v="Kolkata"/>
    <x v="1"/>
    <s v="Stationery"/>
    <x v="1"/>
    <n v="2"/>
    <n v="263.67"/>
    <n v="0.05"/>
    <n v="500.97"/>
    <n v="193.13"/>
    <n v="307.83999999999997"/>
    <x v="0"/>
    <n v="0.61448789348663579"/>
    <x v="1"/>
    <x v="6"/>
    <x v="6"/>
    <s v="Q3"/>
  </r>
  <r>
    <s v="ORD102005"/>
    <x v="535"/>
    <s v="CUST1280"/>
    <s v="Sneha Malhotra"/>
    <x v="2"/>
    <s v="Tamil Nadu"/>
    <s v="Coimbatore"/>
    <x v="2"/>
    <s v="Living Room"/>
    <x v="4"/>
    <n v="6"/>
    <n v="4786.18"/>
    <n v="0"/>
    <n v="28717.08"/>
    <n v="17846.38"/>
    <n v="10870.7"/>
    <x v="0"/>
    <n v="0.37854475455025371"/>
    <x v="1"/>
    <x v="6"/>
    <x v="6"/>
    <s v="Q3"/>
  </r>
  <r>
    <s v="ORD101976"/>
    <x v="535"/>
    <s v="CUST1384"/>
    <s v="Nikhil Das"/>
    <x v="2"/>
    <s v="Tamil Nadu"/>
    <s v="Madurai"/>
    <x v="1"/>
    <s v="Storage"/>
    <x v="2"/>
    <n v="1"/>
    <n v="703.96"/>
    <n v="0.1"/>
    <n v="633.55999999999995"/>
    <n v="329.03"/>
    <n v="304.52999999999997"/>
    <x v="2"/>
    <n v="0.48066481469789762"/>
    <x v="1"/>
    <x v="6"/>
    <x v="6"/>
    <s v="Q3"/>
  </r>
  <r>
    <s v="ORD102341"/>
    <x v="535"/>
    <s v="CUST1089"/>
    <s v="Meera Malhotra"/>
    <x v="2"/>
    <s v="Karnataka"/>
    <s v="Mangaluru"/>
    <x v="1"/>
    <s v="Stationery"/>
    <x v="1"/>
    <n v="4"/>
    <n v="255.31"/>
    <n v="0.1"/>
    <n v="919.12"/>
    <n v="398.42"/>
    <n v="520.70000000000005"/>
    <x v="0"/>
    <n v="0.5665201497084168"/>
    <x v="1"/>
    <x v="6"/>
    <x v="6"/>
    <s v="Q3"/>
  </r>
  <r>
    <s v="ORD101033"/>
    <x v="535"/>
    <s v="CUST1197"/>
    <s v="Sanjana Sharma"/>
    <x v="0"/>
    <s v="Maharashtra"/>
    <s v="Nagpur"/>
    <x v="2"/>
    <s v="Living Room"/>
    <x v="4"/>
    <n v="3"/>
    <n v="4968.0200000000004"/>
    <n v="0"/>
    <n v="14904.06"/>
    <n v="9308.2800000000007"/>
    <n v="5595.78"/>
    <x v="2"/>
    <n v="0.37545339994605498"/>
    <x v="1"/>
    <x v="6"/>
    <x v="6"/>
    <s v="Q3"/>
  </r>
  <r>
    <s v="ORD102172"/>
    <x v="535"/>
    <s v="CUST1339"/>
    <s v="Arjun Singh"/>
    <x v="0"/>
    <s v="Maharashtra"/>
    <s v="Nashik"/>
    <x v="3"/>
    <s v="Cleaning"/>
    <x v="15"/>
    <n v="5"/>
    <n v="7325.28"/>
    <n v="0.1"/>
    <n v="32963.760000000002"/>
    <n v="24433.64"/>
    <n v="8530.1200000000008"/>
    <x v="2"/>
    <n v="0.25877266428344342"/>
    <x v="1"/>
    <x v="6"/>
    <x v="6"/>
    <s v="Q3"/>
  </r>
  <r>
    <s v="ORD101164"/>
    <x v="535"/>
    <s v="CUST1328"/>
    <s v="Aarav Sharma"/>
    <x v="2"/>
    <s v="Karnataka"/>
    <s v="Bengaluru"/>
    <x v="1"/>
    <s v="Storage"/>
    <x v="2"/>
    <n v="4"/>
    <n v="733.82"/>
    <n v="0"/>
    <n v="2935.28"/>
    <n v="1387.83"/>
    <n v="1547.45"/>
    <x v="4"/>
    <n v="0.52718991033223406"/>
    <x v="1"/>
    <x v="6"/>
    <x v="6"/>
    <s v="Q3"/>
  </r>
  <r>
    <s v="ORD102379"/>
    <x v="535"/>
    <s v="CUST1429"/>
    <s v="Varun Iyer"/>
    <x v="1"/>
    <s v="Delhi"/>
    <s v="Delhi"/>
    <x v="0"/>
    <s v="Audio"/>
    <x v="11"/>
    <n v="2"/>
    <n v="2052.1799999999998"/>
    <n v="0.2"/>
    <n v="3283.49"/>
    <n v="2442.5100000000002"/>
    <n v="840.98"/>
    <x v="1"/>
    <n v="0.2561238194725734"/>
    <x v="1"/>
    <x v="6"/>
    <x v="6"/>
    <s v="Q3"/>
  </r>
  <r>
    <s v="ORD101795"/>
    <x v="536"/>
    <s v="CUST1128"/>
    <s v="Arjun Verma"/>
    <x v="1"/>
    <s v="Delhi"/>
    <s v="New Delhi"/>
    <x v="0"/>
    <s v="Computers"/>
    <x v="0"/>
    <n v="1"/>
    <n v="57162.17"/>
    <n v="0.15"/>
    <n v="48587.839999999997"/>
    <n v="48936.13"/>
    <n v="-348.29"/>
    <x v="0"/>
    <n v="-7.1682544439102469E-3"/>
    <x v="1"/>
    <x v="6"/>
    <x v="6"/>
    <s v="Q3"/>
  </r>
  <r>
    <s v="ORD101760"/>
    <x v="537"/>
    <s v="CUST1209"/>
    <s v="Sneha Nair"/>
    <x v="1"/>
    <s v="Delhi"/>
    <s v="New Delhi"/>
    <x v="2"/>
    <s v="Living Room"/>
    <x v="4"/>
    <n v="2"/>
    <n v="4920.37"/>
    <n v="0.1"/>
    <n v="8856.67"/>
    <n v="5844.42"/>
    <n v="3012.25"/>
    <x v="0"/>
    <n v="0.34011089946898782"/>
    <x v="1"/>
    <x v="6"/>
    <x v="6"/>
    <s v="Q3"/>
  </r>
  <r>
    <s v="ORD102373"/>
    <x v="537"/>
    <s v="CUST1387"/>
    <s v="Neha Verma"/>
    <x v="2"/>
    <s v="Telangana"/>
    <s v="Warangal"/>
    <x v="0"/>
    <s v="Accessories"/>
    <x v="6"/>
    <n v="2"/>
    <n v="754.44"/>
    <n v="0.15"/>
    <n v="1282.55"/>
    <n v="911.34"/>
    <n v="371.21"/>
    <x v="1"/>
    <n v="0.28943121125882032"/>
    <x v="1"/>
    <x v="6"/>
    <x v="6"/>
    <s v="Q3"/>
  </r>
  <r>
    <s v="ORD101014"/>
    <x v="538"/>
    <s v="CUST1372"/>
    <s v="Priya Das"/>
    <x v="2"/>
    <s v="Telangana"/>
    <s v="Hyderabad"/>
    <x v="1"/>
    <s v="Storage"/>
    <x v="2"/>
    <n v="3"/>
    <n v="666.71"/>
    <n v="0"/>
    <n v="2000.13"/>
    <n v="950.13"/>
    <n v="1050"/>
    <x v="0"/>
    <n v="0.52496587721798083"/>
    <x v="1"/>
    <x v="6"/>
    <x v="6"/>
    <s v="Q3"/>
  </r>
  <r>
    <s v="ORD100908"/>
    <x v="538"/>
    <s v="CUST1030"/>
    <s v="Aarav Naidu"/>
    <x v="2"/>
    <s v="Tamil Nadu"/>
    <s v="Chennai"/>
    <x v="2"/>
    <s v="Office"/>
    <x v="10"/>
    <n v="4"/>
    <n v="6777.08"/>
    <n v="0.05"/>
    <n v="25752.9"/>
    <n v="17035.22"/>
    <n v="8717.68"/>
    <x v="4"/>
    <n v="0.33851255586749451"/>
    <x v="1"/>
    <x v="6"/>
    <x v="6"/>
    <s v="Q3"/>
  </r>
  <r>
    <s v="ORD102340"/>
    <x v="538"/>
    <s v="CUST1421"/>
    <s v="Pooja Singh"/>
    <x v="2"/>
    <s v="Telangana"/>
    <s v="Warangal"/>
    <x v="0"/>
    <s v="Accessories"/>
    <x v="6"/>
    <n v="2"/>
    <n v="760.41"/>
    <n v="0.05"/>
    <n v="1444.78"/>
    <n v="928.5"/>
    <n v="516.28"/>
    <x v="0"/>
    <n v="0.35734160218164701"/>
    <x v="1"/>
    <x v="6"/>
    <x v="6"/>
    <s v="Q3"/>
  </r>
  <r>
    <s v="ORD101275"/>
    <x v="538"/>
    <s v="CUST1056"/>
    <s v="Arjun Malhotra"/>
    <x v="3"/>
    <s v="West Bengal"/>
    <s v="Durgapur"/>
    <x v="0"/>
    <s v="Accessories"/>
    <x v="6"/>
    <n v="1"/>
    <n v="816.68"/>
    <n v="0.05"/>
    <n v="775.85"/>
    <n v="499.44"/>
    <n v="276.41000000000003"/>
    <x v="1"/>
    <n v="0.35626731971386222"/>
    <x v="1"/>
    <x v="6"/>
    <x v="6"/>
    <s v="Q3"/>
  </r>
  <r>
    <s v="ORD101110"/>
    <x v="539"/>
    <s v="CUST1381"/>
    <s v="Aditya Gupta"/>
    <x v="1"/>
    <s v="Delhi"/>
    <s v="New Delhi"/>
    <x v="2"/>
    <s v="Office"/>
    <x v="10"/>
    <n v="3"/>
    <n v="6995.93"/>
    <n v="0.15"/>
    <n v="17839.62"/>
    <n v="13116.43"/>
    <n v="4723.1899999999996"/>
    <x v="1"/>
    <n v="0.26475844216412681"/>
    <x v="1"/>
    <x v="6"/>
    <x v="6"/>
    <s v="Q3"/>
  </r>
  <r>
    <s v="ORD100954"/>
    <x v="539"/>
    <s v="CUST1169"/>
    <s v="Aisha Joshi"/>
    <x v="3"/>
    <s v="West Bengal"/>
    <s v="Siliguri"/>
    <x v="0"/>
    <s v="Audio"/>
    <x v="8"/>
    <n v="3"/>
    <n v="3070.68"/>
    <n v="0.1"/>
    <n v="8290.84"/>
    <n v="4608.66"/>
    <n v="3682.18"/>
    <x v="2"/>
    <n v="0.44412628877170462"/>
    <x v="1"/>
    <x v="6"/>
    <x v="6"/>
    <s v="Q3"/>
  </r>
  <r>
    <s v="ORD100328"/>
    <x v="539"/>
    <s v="CUST1450"/>
    <s v="Ishaan Das"/>
    <x v="2"/>
    <s v="Karnataka"/>
    <s v="Mysuru"/>
    <x v="0"/>
    <s v="Audio"/>
    <x v="11"/>
    <n v="1"/>
    <n v="1963.36"/>
    <n v="0.1"/>
    <n v="1767.02"/>
    <n v="1112.93"/>
    <n v="654.09"/>
    <x v="2"/>
    <n v="0.37016558952360468"/>
    <x v="1"/>
    <x v="6"/>
    <x v="6"/>
    <s v="Q3"/>
  </r>
  <r>
    <s v="ORD100164"/>
    <x v="539"/>
    <s v="CUST1545"/>
    <s v="Varun Reddy"/>
    <x v="3"/>
    <s v="West Bengal"/>
    <s v="Kolkata"/>
    <x v="1"/>
    <s v="Storage"/>
    <x v="9"/>
    <n v="2"/>
    <n v="471.76"/>
    <n v="0.15"/>
    <n v="801.99"/>
    <n v="439.39"/>
    <n v="362.6"/>
    <x v="0"/>
    <n v="0.45212533822117479"/>
    <x v="1"/>
    <x v="6"/>
    <x v="6"/>
    <s v="Q3"/>
  </r>
  <r>
    <s v="ORD101260"/>
    <x v="539"/>
    <s v="CUST1358"/>
    <s v="Neha Iyer"/>
    <x v="1"/>
    <s v="Delhi"/>
    <s v="New Delhi"/>
    <x v="0"/>
    <s v="Audio"/>
    <x v="11"/>
    <n v="3"/>
    <n v="2013.71"/>
    <n v="0"/>
    <n v="6041.13"/>
    <n v="3638.59"/>
    <n v="2402.54"/>
    <x v="1"/>
    <n v="0.39769711957862192"/>
    <x v="1"/>
    <x v="6"/>
    <x v="6"/>
    <s v="Q3"/>
  </r>
  <r>
    <s v="ORD101523"/>
    <x v="540"/>
    <s v="CUST1051"/>
    <s v="Nikhil Singh"/>
    <x v="2"/>
    <s v="Tamil Nadu"/>
    <s v="Coimbatore"/>
    <x v="2"/>
    <s v="Office"/>
    <x v="10"/>
    <n v="2"/>
    <n v="6953.55"/>
    <n v="0.1"/>
    <n v="12516.39"/>
    <n v="8977.31"/>
    <n v="3539.08"/>
    <x v="2"/>
    <n v="0.28275565079068332"/>
    <x v="1"/>
    <x v="6"/>
    <x v="6"/>
    <s v="Q3"/>
  </r>
  <r>
    <s v="ORD100838"/>
    <x v="541"/>
    <s v="CUST1260"/>
    <s v="Aditya Sharma"/>
    <x v="0"/>
    <s v="Maharashtra"/>
    <s v="Nagpur"/>
    <x v="3"/>
    <s v="Cleaning"/>
    <x v="15"/>
    <n v="2"/>
    <n v="7255.93"/>
    <n v="0.1"/>
    <n v="13060.67"/>
    <n v="9547.2999999999993"/>
    <n v="3513.37"/>
    <x v="3"/>
    <n v="0.26900381067740009"/>
    <x v="1"/>
    <x v="6"/>
    <x v="6"/>
    <s v="Q3"/>
  </r>
  <r>
    <s v="ORD102342"/>
    <x v="541"/>
    <s v="CUST1353"/>
    <s v="Sneha Malhotra"/>
    <x v="0"/>
    <s v="Maharashtra"/>
    <s v="Nagpur"/>
    <x v="0"/>
    <s v="Computers"/>
    <x v="3"/>
    <n v="2"/>
    <n v="16864.66"/>
    <n v="0.05"/>
    <n v="32042.85"/>
    <n v="24707.82"/>
    <n v="7335.03"/>
    <x v="1"/>
    <n v="0.22891315847373131"/>
    <x v="1"/>
    <x v="6"/>
    <x v="6"/>
    <s v="Q3"/>
  </r>
  <r>
    <s v="ORD101674"/>
    <x v="541"/>
    <s v="CUST1010"/>
    <s v="Kiran Singh"/>
    <x v="2"/>
    <s v="Telangana"/>
    <s v="Nizamabad"/>
    <x v="0"/>
    <s v="Computers"/>
    <x v="3"/>
    <n v="4"/>
    <n v="15851.82"/>
    <n v="0.2"/>
    <n v="50725.82"/>
    <n v="49355.19"/>
    <n v="1370.63"/>
    <x v="1"/>
    <n v="2.7020361622542531E-2"/>
    <x v="1"/>
    <x v="6"/>
    <x v="6"/>
    <s v="Q3"/>
  </r>
  <r>
    <s v="ORD101886"/>
    <x v="541"/>
    <s v="CUST1407"/>
    <s v="Arjun Verma"/>
    <x v="1"/>
    <s v="Delhi"/>
    <s v="New Delhi"/>
    <x v="1"/>
    <s v="Stationery"/>
    <x v="1"/>
    <n v="6"/>
    <n v="258.01"/>
    <n v="0.2"/>
    <n v="1238.45"/>
    <n v="611.76"/>
    <n v="626.69000000000005"/>
    <x v="3"/>
    <n v="0.50602769591021035"/>
    <x v="1"/>
    <x v="6"/>
    <x v="6"/>
    <s v="Q3"/>
  </r>
  <r>
    <s v="ORD101732"/>
    <x v="541"/>
    <s v="CUST1217"/>
    <s v="Neha Nair"/>
    <x v="3"/>
    <s v="West Bengal"/>
    <s v="Kolkata"/>
    <x v="1"/>
    <s v="Stationery"/>
    <x v="1"/>
    <n v="1"/>
    <n v="256.22000000000003"/>
    <n v="0.1"/>
    <n v="230.6"/>
    <n v="93.73"/>
    <n v="136.87"/>
    <x v="0"/>
    <n v="0.59353859496964445"/>
    <x v="1"/>
    <x v="6"/>
    <x v="6"/>
    <s v="Q3"/>
  </r>
  <r>
    <s v="ORD101946"/>
    <x v="541"/>
    <s v="CUST1260"/>
    <s v="Rahul Reddy"/>
    <x v="2"/>
    <s v="Telangana"/>
    <s v="Warangal"/>
    <x v="3"/>
    <s v="Cleaning"/>
    <x v="15"/>
    <n v="2"/>
    <n v="7417.66"/>
    <n v="0"/>
    <n v="14835.32"/>
    <n v="9937.32"/>
    <n v="4898"/>
    <x v="3"/>
    <n v="0.33015802827306723"/>
    <x v="1"/>
    <x v="6"/>
    <x v="6"/>
    <s v="Q3"/>
  </r>
  <r>
    <s v="ORD101103"/>
    <x v="542"/>
    <s v="CUST1094"/>
    <s v="Aisha Naidu"/>
    <x v="2"/>
    <s v="Tamil Nadu"/>
    <s v="Salem"/>
    <x v="3"/>
    <s v="Cleaning"/>
    <x v="15"/>
    <n v="4"/>
    <n v="7124.81"/>
    <n v="0.15"/>
    <n v="24224.35"/>
    <n v="18816.740000000002"/>
    <n v="5407.61"/>
    <x v="0"/>
    <n v="0.22323034467385089"/>
    <x v="1"/>
    <x v="6"/>
    <x v="6"/>
    <s v="Q3"/>
  </r>
  <r>
    <s v="ORD101053"/>
    <x v="542"/>
    <s v="CUST1252"/>
    <s v="Rohan Gupta"/>
    <x v="2"/>
    <s v="Karnataka"/>
    <s v="Bengaluru"/>
    <x v="0"/>
    <s v="Computers"/>
    <x v="0"/>
    <n v="4"/>
    <n v="55836.36"/>
    <n v="0.1"/>
    <n v="201010.9"/>
    <n v="200054.87"/>
    <n v="956.03"/>
    <x v="0"/>
    <n v="4.7561102407879374E-3"/>
    <x v="1"/>
    <x v="6"/>
    <x v="6"/>
    <s v="Q3"/>
  </r>
  <r>
    <s v="ORD102222"/>
    <x v="542"/>
    <s v="CUST1228"/>
    <s v="Varun Das"/>
    <x v="2"/>
    <s v="Telangana"/>
    <s v="Nizamabad"/>
    <x v="2"/>
    <s v="Living Room"/>
    <x v="4"/>
    <n v="2"/>
    <n v="4931.43"/>
    <n v="0.1"/>
    <n v="8876.57"/>
    <n v="6058.2"/>
    <n v="2818.37"/>
    <x v="2"/>
    <n v="0.31750664952791452"/>
    <x v="1"/>
    <x v="6"/>
    <x v="6"/>
    <s v="Q3"/>
  </r>
  <r>
    <s v="ORD101429"/>
    <x v="542"/>
    <s v="CUST1616"/>
    <s v="Priya Naidu"/>
    <x v="2"/>
    <s v="Telangana"/>
    <s v="Karimnagar"/>
    <x v="1"/>
    <s v="Storage"/>
    <x v="9"/>
    <n v="2"/>
    <n v="520.4"/>
    <n v="0.1"/>
    <n v="936.72"/>
    <n v="455.31"/>
    <n v="481.41"/>
    <x v="2"/>
    <n v="0.51393159108378172"/>
    <x v="1"/>
    <x v="6"/>
    <x v="6"/>
    <s v="Q3"/>
  </r>
  <r>
    <s v="ORD101194"/>
    <x v="542"/>
    <s v="CUST1006"/>
    <s v="Arjun Sharma"/>
    <x v="2"/>
    <s v="Telangana"/>
    <s v="Warangal"/>
    <x v="3"/>
    <s v="Kitchen"/>
    <x v="13"/>
    <n v="2"/>
    <n v="3306.34"/>
    <n v="0"/>
    <n v="6612.68"/>
    <n v="3896.12"/>
    <n v="2716.56"/>
    <x v="2"/>
    <n v="0.41081074541638191"/>
    <x v="1"/>
    <x v="6"/>
    <x v="6"/>
    <s v="Q3"/>
  </r>
  <r>
    <s v="ORD101745"/>
    <x v="542"/>
    <s v="CUST1584"/>
    <s v="Rohan Mehta"/>
    <x v="2"/>
    <s v="Karnataka"/>
    <s v="Mysuru"/>
    <x v="2"/>
    <s v="Office"/>
    <x v="14"/>
    <n v="4"/>
    <n v="8438.67"/>
    <n v="0"/>
    <n v="33754.68"/>
    <n v="23676.15"/>
    <n v="10078.530000000001"/>
    <x v="4"/>
    <n v="0.29858170778096549"/>
    <x v="1"/>
    <x v="6"/>
    <x v="6"/>
    <s v="Q3"/>
  </r>
  <r>
    <s v="ORD102020"/>
    <x v="542"/>
    <s v="CUST1150"/>
    <s v="Ananya Das"/>
    <x v="1"/>
    <s v="Delhi"/>
    <s v="New Delhi"/>
    <x v="2"/>
    <s v="Office"/>
    <x v="10"/>
    <n v="1"/>
    <n v="7167.2"/>
    <n v="0.1"/>
    <n v="6450.48"/>
    <n v="4446.3500000000004"/>
    <n v="2004.13"/>
    <x v="0"/>
    <n v="0.31069470799072318"/>
    <x v="1"/>
    <x v="6"/>
    <x v="6"/>
    <s v="Q3"/>
  </r>
  <r>
    <s v="ORD101094"/>
    <x v="542"/>
    <s v="CUST1066"/>
    <s v="Kiran Malhotra"/>
    <x v="2"/>
    <s v="Telangana"/>
    <s v="Hyderabad"/>
    <x v="3"/>
    <s v="Kitchen"/>
    <x v="7"/>
    <n v="3"/>
    <n v="1725.58"/>
    <n v="0"/>
    <n v="5176.74"/>
    <n v="2771.36"/>
    <n v="2405.38"/>
    <x v="1"/>
    <n v="0.46465149881972062"/>
    <x v="1"/>
    <x v="6"/>
    <x v="6"/>
    <s v="Q3"/>
  </r>
  <r>
    <s v="ORD101280"/>
    <x v="543"/>
    <s v="CUST1323"/>
    <s v="Diya Rao"/>
    <x v="2"/>
    <s v="Tamil Nadu"/>
    <s v="Madurai"/>
    <x v="3"/>
    <s v="Kitchen"/>
    <x v="13"/>
    <n v="1"/>
    <n v="3324.05"/>
    <n v="0.2"/>
    <n v="2659.24"/>
    <n v="1854.18"/>
    <n v="805.06"/>
    <x v="1"/>
    <n v="0.30274063266196349"/>
    <x v="1"/>
    <x v="6"/>
    <x v="6"/>
    <s v="Q3"/>
  </r>
  <r>
    <s v="ORD101328"/>
    <x v="543"/>
    <s v="CUST1186"/>
    <s v="Priya Malhotra"/>
    <x v="2"/>
    <s v="Tamil Nadu"/>
    <s v="Salem"/>
    <x v="0"/>
    <s v="Accessories"/>
    <x v="5"/>
    <n v="3"/>
    <n v="2372.1799999999998"/>
    <n v="0.1"/>
    <n v="6404.89"/>
    <n v="4027.68"/>
    <n v="2377.21"/>
    <x v="3"/>
    <n v="0.37115547651872238"/>
    <x v="1"/>
    <x v="6"/>
    <x v="6"/>
    <s v="Q3"/>
  </r>
  <r>
    <s v="ORD100586"/>
    <x v="544"/>
    <s v="CUST1528"/>
    <s v="Rahul Nair"/>
    <x v="2"/>
    <s v="Telangana"/>
    <s v="Nizamabad"/>
    <x v="3"/>
    <s v="Kitchen"/>
    <x v="7"/>
    <n v="3"/>
    <n v="1791.47"/>
    <n v="0.05"/>
    <n v="5105.6899999999996"/>
    <n v="2834.45"/>
    <n v="2271.2399999999998"/>
    <x v="3"/>
    <n v="0.44484486915578503"/>
    <x v="1"/>
    <x v="6"/>
    <x v="6"/>
    <s v="Q3"/>
  </r>
  <r>
    <s v="ORD101249"/>
    <x v="544"/>
    <s v="CUST1333"/>
    <s v="Neha Sharma"/>
    <x v="1"/>
    <s v="Delhi"/>
    <s v="Delhi"/>
    <x v="3"/>
    <s v="Cleaning"/>
    <x v="12"/>
    <n v="1"/>
    <n v="13591.4"/>
    <n v="0"/>
    <n v="13591.4"/>
    <n v="9505.48"/>
    <n v="4085.92"/>
    <x v="0"/>
    <n v="0.3006253954706653"/>
    <x v="1"/>
    <x v="6"/>
    <x v="6"/>
    <s v="Q3"/>
  </r>
  <r>
    <s v="ORD101201"/>
    <x v="545"/>
    <s v="CUST1026"/>
    <s v="Vikram Gupta"/>
    <x v="1"/>
    <s v="Delhi"/>
    <s v="Delhi"/>
    <x v="3"/>
    <s v="Cleaning"/>
    <x v="15"/>
    <n v="2"/>
    <n v="7680.47"/>
    <n v="0.1"/>
    <n v="13824.85"/>
    <n v="10039.27"/>
    <n v="3785.58"/>
    <x v="0"/>
    <n v="0.27382430912451128"/>
    <x v="1"/>
    <x v="6"/>
    <x v="6"/>
    <s v="Q3"/>
  </r>
  <r>
    <s v="ORD100674"/>
    <x v="545"/>
    <s v="CUST1423"/>
    <s v="Aisha Singh"/>
    <x v="2"/>
    <s v="Telangana"/>
    <s v="Warangal"/>
    <x v="0"/>
    <s v="Accessories"/>
    <x v="5"/>
    <n v="1"/>
    <n v="2589.1"/>
    <n v="0.15"/>
    <n v="2200.73"/>
    <n v="1467.47"/>
    <n v="733.26"/>
    <x v="3"/>
    <n v="0.33318944168525899"/>
    <x v="1"/>
    <x v="6"/>
    <x v="6"/>
    <s v="Q3"/>
  </r>
  <r>
    <s v="ORD100186"/>
    <x v="546"/>
    <s v="CUST1647"/>
    <s v="Meera Nair"/>
    <x v="0"/>
    <s v="Maharashtra"/>
    <s v="Nagpur"/>
    <x v="3"/>
    <s v="Kitchen"/>
    <x v="7"/>
    <n v="1"/>
    <n v="1862.25"/>
    <n v="0.05"/>
    <n v="1769.14"/>
    <n v="1033.5999999999999"/>
    <n v="735.54"/>
    <x v="4"/>
    <n v="0.41576133036390561"/>
    <x v="1"/>
    <x v="6"/>
    <x v="6"/>
    <s v="Q3"/>
  </r>
  <r>
    <s v="ORD101958"/>
    <x v="546"/>
    <s v="CUST1281"/>
    <s v="Varun Rao"/>
    <x v="2"/>
    <s v="Telangana"/>
    <s v="Hyderabad"/>
    <x v="2"/>
    <s v="Office"/>
    <x v="10"/>
    <n v="6"/>
    <n v="6702.33"/>
    <n v="0.15"/>
    <n v="34181.879999999997"/>
    <n v="25565.62"/>
    <n v="8616.26"/>
    <x v="2"/>
    <n v="0.25207098029716329"/>
    <x v="1"/>
    <x v="6"/>
    <x v="6"/>
    <s v="Q3"/>
  </r>
  <r>
    <s v="ORD100530"/>
    <x v="547"/>
    <s v="CUST1402"/>
    <s v="Pooja Gupta"/>
    <x v="2"/>
    <s v="Tamil Nadu"/>
    <s v="Chennai"/>
    <x v="2"/>
    <s v="Living Room"/>
    <x v="4"/>
    <n v="4"/>
    <n v="4710.37"/>
    <n v="0.15"/>
    <n v="16015.26"/>
    <n v="11451.95"/>
    <n v="4563.3100000000004"/>
    <x v="0"/>
    <n v="0.28493511813108252"/>
    <x v="1"/>
    <x v="6"/>
    <x v="6"/>
    <s v="Q3"/>
  </r>
  <r>
    <s v="ORD100063"/>
    <x v="547"/>
    <s v="CUST1602"/>
    <s v="Aditya Rao"/>
    <x v="2"/>
    <s v="Telangana"/>
    <s v="Karimnagar"/>
    <x v="2"/>
    <s v="Living Room"/>
    <x v="4"/>
    <n v="2"/>
    <n v="5122.22"/>
    <n v="0.1"/>
    <n v="9220"/>
    <n v="6193.04"/>
    <n v="3026.96"/>
    <x v="0"/>
    <n v="0.32830368763557483"/>
    <x v="1"/>
    <x v="6"/>
    <x v="6"/>
    <s v="Q3"/>
  </r>
  <r>
    <s v="ORD101889"/>
    <x v="547"/>
    <s v="CUST1387"/>
    <s v="Rohan Nair"/>
    <x v="2"/>
    <s v="Telangana"/>
    <s v="Karimnagar"/>
    <x v="1"/>
    <s v="Stationery"/>
    <x v="17"/>
    <n v="3"/>
    <n v="316.26"/>
    <n v="0.05"/>
    <n v="901.34"/>
    <n v="405.18"/>
    <n v="496.16"/>
    <x v="4"/>
    <n v="0.55046930126256466"/>
    <x v="1"/>
    <x v="6"/>
    <x v="6"/>
    <s v="Q3"/>
  </r>
  <r>
    <s v="ORD101864"/>
    <x v="548"/>
    <s v="CUST1392"/>
    <s v="Aarav Gupta"/>
    <x v="2"/>
    <s v="Telangana"/>
    <s v="Hyderabad"/>
    <x v="0"/>
    <s v="Audio"/>
    <x v="11"/>
    <n v="4"/>
    <n v="2045.84"/>
    <n v="0.2"/>
    <n v="6546.69"/>
    <n v="4758.83"/>
    <n v="1787.86"/>
    <x v="0"/>
    <n v="0.27309373133598808"/>
    <x v="1"/>
    <x v="6"/>
    <x v="6"/>
    <s v="Q3"/>
  </r>
  <r>
    <s v="ORD101276"/>
    <x v="548"/>
    <s v="CUST1524"/>
    <s v="Aarav Patel"/>
    <x v="2"/>
    <s v="Tamil Nadu"/>
    <s v="Salem"/>
    <x v="0"/>
    <s v="Audio"/>
    <x v="11"/>
    <n v="3"/>
    <n v="2031.46"/>
    <n v="0.15"/>
    <n v="5180.22"/>
    <n v="3462.42"/>
    <n v="1717.8"/>
    <x v="3"/>
    <n v="0.33160753790379549"/>
    <x v="1"/>
    <x v="6"/>
    <x v="6"/>
    <s v="Q3"/>
  </r>
  <r>
    <s v="ORD100999"/>
    <x v="548"/>
    <s v="CUST1076"/>
    <s v="Kiran Rao"/>
    <x v="1"/>
    <s v="Delhi"/>
    <s v="Delhi"/>
    <x v="2"/>
    <s v="Office"/>
    <x v="14"/>
    <n v="4"/>
    <n v="8053.75"/>
    <n v="0.2"/>
    <n v="25772"/>
    <n v="22430.61"/>
    <n v="3341.39"/>
    <x v="3"/>
    <n v="0.12965194785038031"/>
    <x v="1"/>
    <x v="6"/>
    <x v="6"/>
    <s v="Q3"/>
  </r>
  <r>
    <s v="ORD100552"/>
    <x v="548"/>
    <s v="CUST1474"/>
    <s v="Aarav Verma"/>
    <x v="1"/>
    <s v="Delhi"/>
    <s v="Delhi"/>
    <x v="3"/>
    <s v="Cleaning"/>
    <x v="12"/>
    <n v="2"/>
    <n v="12925.81"/>
    <n v="0.05"/>
    <n v="24559.040000000001"/>
    <n v="19144.13"/>
    <n v="5414.91"/>
    <x v="0"/>
    <n v="0.22048540985315379"/>
    <x v="1"/>
    <x v="6"/>
    <x v="6"/>
    <s v="Q3"/>
  </r>
  <r>
    <s v="ORD102082"/>
    <x v="549"/>
    <s v="CUST1318"/>
    <s v="Aditya Nair"/>
    <x v="2"/>
    <s v="Karnataka"/>
    <s v="Mangaluru"/>
    <x v="0"/>
    <s v="Computers"/>
    <x v="3"/>
    <n v="1"/>
    <n v="16917.48"/>
    <n v="0"/>
    <n v="16917.48"/>
    <n v="12748.85"/>
    <n v="4168.63"/>
    <x v="0"/>
    <n v="0.24640963074878769"/>
    <x v="1"/>
    <x v="6"/>
    <x v="6"/>
    <s v="Q3"/>
  </r>
  <r>
    <s v="ORD100573"/>
    <x v="549"/>
    <s v="CUST1134"/>
    <s v="Rohan Nair"/>
    <x v="2"/>
    <s v="Karnataka"/>
    <s v="Mysuru"/>
    <x v="3"/>
    <s v="Cleaning"/>
    <x v="15"/>
    <n v="3"/>
    <n v="7313.06"/>
    <n v="0"/>
    <n v="21939.18"/>
    <n v="13961.41"/>
    <n v="7977.77"/>
    <x v="2"/>
    <n v="0.36363118402784428"/>
    <x v="1"/>
    <x v="6"/>
    <x v="6"/>
    <s v="Q3"/>
  </r>
  <r>
    <s v="ORD101084"/>
    <x v="549"/>
    <s v="CUST1248"/>
    <s v="Kiran Kumar"/>
    <x v="2"/>
    <s v="Telangana"/>
    <s v="Karimnagar"/>
    <x v="1"/>
    <s v="Stationery"/>
    <x v="1"/>
    <n v="2"/>
    <n v="256.32"/>
    <n v="0.05"/>
    <n v="487.01"/>
    <n v="201.75"/>
    <n v="285.26"/>
    <x v="0"/>
    <n v="0.58573745918974973"/>
    <x v="1"/>
    <x v="6"/>
    <x v="6"/>
    <s v="Q3"/>
  </r>
  <r>
    <s v="ORD101263"/>
    <x v="550"/>
    <s v="CUST1625"/>
    <s v="Aisha Naidu"/>
    <x v="2"/>
    <s v="Telangana"/>
    <s v="Nizamabad"/>
    <x v="0"/>
    <s v="Computers"/>
    <x v="3"/>
    <n v="5"/>
    <n v="15106.8"/>
    <n v="0.1"/>
    <n v="67980.600000000006"/>
    <n v="57599.49"/>
    <n v="10381.11"/>
    <x v="2"/>
    <n v="0.15270694874714261"/>
    <x v="1"/>
    <x v="6"/>
    <x v="6"/>
    <s v="Q3"/>
  </r>
  <r>
    <s v="ORD101259"/>
    <x v="550"/>
    <s v="CUST1076"/>
    <s v="Nikhil Sharma"/>
    <x v="1"/>
    <s v="Delhi"/>
    <s v="New Delhi"/>
    <x v="0"/>
    <s v="Accessories"/>
    <x v="5"/>
    <n v="1"/>
    <n v="2530.44"/>
    <n v="0.1"/>
    <n v="2277.4"/>
    <n v="1433.87"/>
    <n v="843.53"/>
    <x v="2"/>
    <n v="0.37039167471678219"/>
    <x v="1"/>
    <x v="6"/>
    <x v="6"/>
    <s v="Q3"/>
  </r>
  <r>
    <s v="ORD102128"/>
    <x v="551"/>
    <s v="CUST1105"/>
    <s v="Kavya Patel"/>
    <x v="2"/>
    <s v="Karnataka"/>
    <s v="Hubballi"/>
    <x v="3"/>
    <s v="Cleaning"/>
    <x v="15"/>
    <n v="3"/>
    <n v="7667.28"/>
    <n v="0.2"/>
    <n v="18401.47"/>
    <n v="15500.33"/>
    <n v="2901.14"/>
    <x v="4"/>
    <n v="0.15765805666612501"/>
    <x v="1"/>
    <x v="6"/>
    <x v="6"/>
    <s v="Q3"/>
  </r>
  <r>
    <s v="ORD101001"/>
    <x v="551"/>
    <s v="CUST1188"/>
    <s v="Neha Iyer"/>
    <x v="3"/>
    <s v="West Bengal"/>
    <s v="Kolkata"/>
    <x v="3"/>
    <s v="Kitchen"/>
    <x v="7"/>
    <n v="1"/>
    <n v="1838.09"/>
    <n v="0.1"/>
    <n v="1654.28"/>
    <n v="975.05"/>
    <n v="679.23"/>
    <x v="3"/>
    <n v="0.41058950117271559"/>
    <x v="1"/>
    <x v="6"/>
    <x v="6"/>
    <s v="Q3"/>
  </r>
  <r>
    <s v="ORD100697"/>
    <x v="551"/>
    <s v="CUST1091"/>
    <s v="Kiran Joshi"/>
    <x v="0"/>
    <s v="Maharashtra"/>
    <s v="Nashik"/>
    <x v="3"/>
    <s v="Kitchen"/>
    <x v="7"/>
    <n v="4"/>
    <n v="1791.61"/>
    <n v="0.05"/>
    <n v="6808.12"/>
    <n v="3717.97"/>
    <n v="3090.15"/>
    <x v="2"/>
    <n v="0.45389182329336147"/>
    <x v="1"/>
    <x v="6"/>
    <x v="6"/>
    <s v="Q3"/>
  </r>
  <r>
    <s v="ORD101108"/>
    <x v="551"/>
    <s v="CUST1365"/>
    <s v="Nikhil Gupta"/>
    <x v="1"/>
    <s v="Delhi"/>
    <s v="Delhi"/>
    <x v="2"/>
    <s v="Office"/>
    <x v="14"/>
    <n v="2"/>
    <n v="8970.1"/>
    <n v="0.05"/>
    <n v="17043.189999999999"/>
    <n v="12550.87"/>
    <n v="4492.32"/>
    <x v="1"/>
    <n v="0.26358445807386999"/>
    <x v="1"/>
    <x v="6"/>
    <x v="6"/>
    <s v="Q3"/>
  </r>
  <r>
    <s v="ORD102087"/>
    <x v="551"/>
    <s v="CUST1367"/>
    <s v="Meera Malhotra"/>
    <x v="2"/>
    <s v="Tamil Nadu"/>
    <s v="Chennai"/>
    <x v="0"/>
    <s v="Accessories"/>
    <x v="6"/>
    <n v="1"/>
    <n v="846.04"/>
    <n v="0.2"/>
    <n v="676.83"/>
    <n v="508.7"/>
    <n v="168.13"/>
    <x v="2"/>
    <n v="0.24840801973907781"/>
    <x v="1"/>
    <x v="6"/>
    <x v="6"/>
    <s v="Q3"/>
  </r>
  <r>
    <s v="ORD101741"/>
    <x v="552"/>
    <s v="CUST1514"/>
    <s v="Sneha Gupta"/>
    <x v="2"/>
    <s v="Telangana"/>
    <s v="Karimnagar"/>
    <x v="0"/>
    <s v="Audio"/>
    <x v="11"/>
    <n v="5"/>
    <n v="1978.47"/>
    <n v="0.15"/>
    <n v="8408.5"/>
    <n v="5806.3"/>
    <n v="2602.1999999999998"/>
    <x v="4"/>
    <n v="0.30947255753106973"/>
    <x v="1"/>
    <x v="6"/>
    <x v="6"/>
    <s v="Q3"/>
  </r>
  <r>
    <s v="ORD100684"/>
    <x v="552"/>
    <s v="CUST1049"/>
    <s v="Aditya Das"/>
    <x v="0"/>
    <s v="Maharashtra"/>
    <s v="Nashik"/>
    <x v="1"/>
    <s v="Storage"/>
    <x v="9"/>
    <n v="4"/>
    <n v="514.27"/>
    <n v="0"/>
    <n v="2057.08"/>
    <n v="926.71"/>
    <n v="1130.3699999999999"/>
    <x v="1"/>
    <n v="0.54950220701188091"/>
    <x v="1"/>
    <x v="6"/>
    <x v="6"/>
    <s v="Q3"/>
  </r>
  <r>
    <s v="ORD100423"/>
    <x v="552"/>
    <s v="CUST1306"/>
    <s v="Arjun Patel"/>
    <x v="2"/>
    <s v="Telangana"/>
    <s v="Warangal"/>
    <x v="1"/>
    <s v="Storage"/>
    <x v="2"/>
    <n v="2"/>
    <n v="684.58"/>
    <n v="0.15"/>
    <n v="1163.79"/>
    <n v="659.26"/>
    <n v="504.53"/>
    <x v="3"/>
    <n v="0.43352323013602112"/>
    <x v="1"/>
    <x v="6"/>
    <x v="6"/>
    <s v="Q3"/>
  </r>
  <r>
    <s v="ORD101686"/>
    <x v="552"/>
    <s v="CUST1629"/>
    <s v="Aisha Kumar"/>
    <x v="1"/>
    <s v="Delhi"/>
    <s v="New Delhi"/>
    <x v="2"/>
    <s v="Office"/>
    <x v="14"/>
    <n v="2"/>
    <n v="8309.52"/>
    <n v="0.1"/>
    <n v="14957.14"/>
    <n v="11010.54"/>
    <n v="3946.6"/>
    <x v="0"/>
    <n v="0.26386060436687758"/>
    <x v="1"/>
    <x v="6"/>
    <x v="6"/>
    <s v="Q3"/>
  </r>
  <r>
    <s v="ORD100202"/>
    <x v="553"/>
    <s v="CUST1196"/>
    <s v="Ishaan Mehta"/>
    <x v="2"/>
    <s v="Tamil Nadu"/>
    <s v="Chennai"/>
    <x v="0"/>
    <s v="Computers"/>
    <x v="3"/>
    <n v="4"/>
    <n v="16920.5"/>
    <n v="0.05"/>
    <n v="64297.9"/>
    <n v="52318.98"/>
    <n v="11978.92"/>
    <x v="0"/>
    <n v="0.18630344070335109"/>
    <x v="1"/>
    <x v="6"/>
    <x v="6"/>
    <s v="Q3"/>
  </r>
  <r>
    <s v="ORD102431"/>
    <x v="553"/>
    <s v="CUST1422"/>
    <s v="Rahul Sharma"/>
    <x v="2"/>
    <s v="Telangana"/>
    <s v="Warangal"/>
    <x v="3"/>
    <s v="Cleaning"/>
    <x v="12"/>
    <n v="2"/>
    <n v="13275.17"/>
    <n v="0"/>
    <n v="26550.34"/>
    <n v="18854.759999999998"/>
    <n v="7695.58"/>
    <x v="0"/>
    <n v="0.28984864223960971"/>
    <x v="1"/>
    <x v="6"/>
    <x v="6"/>
    <s v="Q3"/>
  </r>
  <r>
    <s v="ORD100939"/>
    <x v="553"/>
    <s v="CUST1255"/>
    <s v="Rohan Das"/>
    <x v="1"/>
    <s v="Delhi"/>
    <s v="New Delhi"/>
    <x v="0"/>
    <s v="Computers"/>
    <x v="0"/>
    <n v="5"/>
    <n v="62244.08"/>
    <n v="0.15"/>
    <n v="264537.34000000003"/>
    <n v="282705.75"/>
    <n v="-18168.41"/>
    <x v="4"/>
    <n v="-6.8679945144984059E-2"/>
    <x v="1"/>
    <x v="6"/>
    <x v="6"/>
    <s v="Q3"/>
  </r>
  <r>
    <s v="ORD101499"/>
    <x v="553"/>
    <s v="CUST1478"/>
    <s v="Kiran Joshi"/>
    <x v="0"/>
    <s v="Maharashtra"/>
    <s v="Nashik"/>
    <x v="0"/>
    <s v="Accessories"/>
    <x v="6"/>
    <n v="6"/>
    <n v="841.66"/>
    <n v="0.05"/>
    <n v="4797.46"/>
    <n v="3091.82"/>
    <n v="1705.64"/>
    <x v="0"/>
    <n v="0.35552980118646121"/>
    <x v="1"/>
    <x v="6"/>
    <x v="6"/>
    <s v="Q3"/>
  </r>
  <r>
    <s v="ORD101869"/>
    <x v="554"/>
    <s v="CUST1342"/>
    <s v="Meera Singh"/>
    <x v="3"/>
    <s v="West Bengal"/>
    <s v="Durgapur"/>
    <x v="3"/>
    <s v="Cleaning"/>
    <x v="12"/>
    <n v="1"/>
    <n v="12668.72"/>
    <n v="0.05"/>
    <n v="12035.28"/>
    <n v="9358.0400000000009"/>
    <n v="2677.24"/>
    <x v="3"/>
    <n v="0.22244933229638189"/>
    <x v="1"/>
    <x v="6"/>
    <x v="6"/>
    <s v="Q3"/>
  </r>
  <r>
    <s v="ORD100210"/>
    <x v="554"/>
    <s v="CUST1170"/>
    <s v="Rohan Kumar"/>
    <x v="0"/>
    <s v="Maharashtra"/>
    <s v="Pune"/>
    <x v="2"/>
    <s v="Living Room"/>
    <x v="4"/>
    <n v="2"/>
    <n v="4800.87"/>
    <n v="0.1"/>
    <n v="8641.57"/>
    <n v="5996.02"/>
    <n v="2645.55"/>
    <x v="0"/>
    <n v="0.30614228664467219"/>
    <x v="1"/>
    <x v="6"/>
    <x v="6"/>
    <s v="Q3"/>
  </r>
  <r>
    <s v="ORD101296"/>
    <x v="554"/>
    <s v="CUST1188"/>
    <s v="Kiran Malhotra"/>
    <x v="1"/>
    <s v="Delhi"/>
    <s v="Delhi"/>
    <x v="2"/>
    <s v="Office"/>
    <x v="14"/>
    <n v="5"/>
    <n v="8858.94"/>
    <n v="0.1"/>
    <n v="39865.230000000003"/>
    <n v="30530.31"/>
    <n v="9334.92"/>
    <x v="2"/>
    <n v="0.2341619501505447"/>
    <x v="1"/>
    <x v="6"/>
    <x v="6"/>
    <s v="Q3"/>
  </r>
  <r>
    <s v="ORD101461"/>
    <x v="554"/>
    <s v="CUST1358"/>
    <s v="Varun Nair"/>
    <x v="1"/>
    <s v="Delhi"/>
    <s v="Delhi"/>
    <x v="0"/>
    <s v="Accessories"/>
    <x v="5"/>
    <n v="5"/>
    <n v="2538.04"/>
    <n v="0.2"/>
    <n v="10152.16"/>
    <n v="7239.79"/>
    <n v="2912.37"/>
    <x v="1"/>
    <n v="0.28687195631274531"/>
    <x v="1"/>
    <x v="6"/>
    <x v="6"/>
    <s v="Q3"/>
  </r>
  <r>
    <s v="ORD102451"/>
    <x v="555"/>
    <s v="CUST1324"/>
    <s v="Ananya Singh"/>
    <x v="3"/>
    <s v="West Bengal"/>
    <s v="Kolkata"/>
    <x v="3"/>
    <s v="Kitchen"/>
    <x v="13"/>
    <n v="4"/>
    <n v="3468.34"/>
    <n v="0.05"/>
    <n v="13179.69"/>
    <n v="7825.41"/>
    <n v="5354.28"/>
    <x v="2"/>
    <n v="0.4062523473617361"/>
    <x v="1"/>
    <x v="6"/>
    <x v="6"/>
    <s v="Q3"/>
  </r>
  <r>
    <s v="ORD101397"/>
    <x v="555"/>
    <s v="CUST1354"/>
    <s v="Meera Gupta"/>
    <x v="1"/>
    <s v="Delhi"/>
    <s v="New Delhi"/>
    <x v="1"/>
    <s v="Storage"/>
    <x v="2"/>
    <n v="1"/>
    <n v="660.31"/>
    <n v="0.05"/>
    <n v="627.29"/>
    <n v="313.05"/>
    <n v="314.24"/>
    <x v="2"/>
    <n v="0.50094852460584427"/>
    <x v="1"/>
    <x v="6"/>
    <x v="6"/>
    <s v="Q3"/>
  </r>
  <r>
    <s v="ORD101210"/>
    <x v="555"/>
    <s v="CUST1285"/>
    <s v="Kiran Malhotra"/>
    <x v="2"/>
    <s v="Telangana"/>
    <s v="Hyderabad"/>
    <x v="2"/>
    <s v="Living Room"/>
    <x v="4"/>
    <n v="1"/>
    <n v="5101.76"/>
    <n v="0.2"/>
    <n v="4081.41"/>
    <n v="3197.76"/>
    <n v="883.65"/>
    <x v="0"/>
    <n v="0.21650606040559511"/>
    <x v="1"/>
    <x v="6"/>
    <x v="6"/>
    <s v="Q3"/>
  </r>
  <r>
    <s v="ORD101908"/>
    <x v="556"/>
    <s v="CUST1431"/>
    <s v="Nikhil Iyer"/>
    <x v="0"/>
    <s v="Maharashtra"/>
    <s v="Nagpur"/>
    <x v="1"/>
    <s v="Storage"/>
    <x v="2"/>
    <n v="2"/>
    <n v="657.19"/>
    <n v="0.05"/>
    <n v="1248.6600000000001"/>
    <n v="627.99"/>
    <n v="620.66999999999996"/>
    <x v="2"/>
    <n v="0.49706885781557819"/>
    <x v="1"/>
    <x v="6"/>
    <x v="6"/>
    <s v="Q3"/>
  </r>
  <r>
    <s v="ORD100689"/>
    <x v="556"/>
    <s v="CUST1278"/>
    <s v="Aarav Iyer"/>
    <x v="1"/>
    <s v="Delhi"/>
    <s v="New Delhi"/>
    <x v="3"/>
    <s v="Cleaning"/>
    <x v="12"/>
    <n v="6"/>
    <n v="12256.03"/>
    <n v="0.15"/>
    <n v="62505.75"/>
    <n v="51892.480000000003"/>
    <n v="10613.27"/>
    <x v="2"/>
    <n v="0.1697966987037193"/>
    <x v="1"/>
    <x v="6"/>
    <x v="6"/>
    <s v="Q3"/>
  </r>
  <r>
    <s v="ORD102219"/>
    <x v="556"/>
    <s v="CUST1344"/>
    <s v="Nikhil Singh"/>
    <x v="0"/>
    <s v="Maharashtra"/>
    <s v="Nagpur"/>
    <x v="1"/>
    <s v="Storage"/>
    <x v="2"/>
    <n v="2"/>
    <n v="737.63"/>
    <n v="0.1"/>
    <n v="1327.73"/>
    <n v="678.95"/>
    <n v="648.78"/>
    <x v="0"/>
    <n v="0.4886385033101609"/>
    <x v="1"/>
    <x v="6"/>
    <x v="6"/>
    <s v="Q3"/>
  </r>
  <r>
    <s v="ORD102253"/>
    <x v="556"/>
    <s v="CUST1632"/>
    <s v="Priya Reddy"/>
    <x v="2"/>
    <s v="Karnataka"/>
    <s v="Mysuru"/>
    <x v="0"/>
    <s v="Accessories"/>
    <x v="5"/>
    <n v="3"/>
    <n v="2556.9699999999998"/>
    <n v="0.15"/>
    <n v="6520.27"/>
    <n v="4337.96"/>
    <n v="2182.31"/>
    <x v="0"/>
    <n v="0.33469626257808338"/>
    <x v="1"/>
    <x v="6"/>
    <x v="6"/>
    <s v="Q3"/>
  </r>
  <r>
    <s v="ORD100335"/>
    <x v="557"/>
    <s v="CUST1241"/>
    <s v="Neha Nair"/>
    <x v="0"/>
    <s v="Maharashtra"/>
    <s v="Mumbai"/>
    <x v="0"/>
    <s v="Audio"/>
    <x v="8"/>
    <n v="2"/>
    <n v="2907.36"/>
    <n v="0.05"/>
    <n v="5523.98"/>
    <n v="2953.37"/>
    <n v="2570.61"/>
    <x v="0"/>
    <n v="0.46535468991560441"/>
    <x v="1"/>
    <x v="6"/>
    <x v="6"/>
    <s v="Q3"/>
  </r>
  <r>
    <s v="ORD102102"/>
    <x v="557"/>
    <s v="CUST1594"/>
    <s v="Aisha Naidu"/>
    <x v="0"/>
    <s v="Maharashtra"/>
    <s v="Nashik"/>
    <x v="1"/>
    <s v="Storage"/>
    <x v="9"/>
    <n v="4"/>
    <n v="469.59"/>
    <n v="0.15"/>
    <n v="1596.61"/>
    <n v="847.95"/>
    <n v="748.66"/>
    <x v="0"/>
    <n v="0.4689059945760079"/>
    <x v="1"/>
    <x v="6"/>
    <x v="6"/>
    <s v="Q3"/>
  </r>
  <r>
    <s v="ORD100059"/>
    <x v="557"/>
    <s v="CUST1626"/>
    <s v="Vikram Joshi"/>
    <x v="0"/>
    <s v="Maharashtra"/>
    <s v="Pune"/>
    <x v="0"/>
    <s v="Computers"/>
    <x v="0"/>
    <n v="2"/>
    <n v="59891.15"/>
    <n v="0.05"/>
    <n v="113793.18"/>
    <n v="104233.39"/>
    <n v="9559.7900000000009"/>
    <x v="4"/>
    <n v="8.4010219241610104E-2"/>
    <x v="1"/>
    <x v="6"/>
    <x v="6"/>
    <s v="Q3"/>
  </r>
  <r>
    <s v="ORD101236"/>
    <x v="557"/>
    <s v="CUST1401"/>
    <s v="Nikhil Mehta"/>
    <x v="2"/>
    <s v="Tamil Nadu"/>
    <s v="Salem"/>
    <x v="1"/>
    <s v="Stationery"/>
    <x v="1"/>
    <n v="4"/>
    <n v="235.62"/>
    <n v="0.05"/>
    <n v="895.36"/>
    <n v="348.72"/>
    <n v="546.64"/>
    <x v="1"/>
    <n v="0.61052537526804862"/>
    <x v="1"/>
    <x v="6"/>
    <x v="6"/>
    <s v="Q3"/>
  </r>
  <r>
    <s v="ORD101086"/>
    <x v="557"/>
    <s v="CUST1509"/>
    <s v="Kavya Rao"/>
    <x v="2"/>
    <s v="Karnataka"/>
    <s v="Bengaluru"/>
    <x v="1"/>
    <s v="Storage"/>
    <x v="9"/>
    <n v="1"/>
    <n v="528.78"/>
    <n v="0.15"/>
    <n v="449.46"/>
    <n v="243.19"/>
    <n v="206.27"/>
    <x v="0"/>
    <n v="0.45892849196813962"/>
    <x v="1"/>
    <x v="6"/>
    <x v="6"/>
    <s v="Q3"/>
  </r>
  <r>
    <s v="ORD100180"/>
    <x v="557"/>
    <s v="CUST1311"/>
    <s v="Nikhil Kumar"/>
    <x v="2"/>
    <s v="Karnataka"/>
    <s v="Bengaluru"/>
    <x v="3"/>
    <s v="Kitchen"/>
    <x v="7"/>
    <n v="4"/>
    <n v="1728.88"/>
    <n v="0.1"/>
    <n v="6223.97"/>
    <n v="3691.86"/>
    <n v="2532.11"/>
    <x v="0"/>
    <n v="0.40683197380450098"/>
    <x v="1"/>
    <x v="6"/>
    <x v="6"/>
    <s v="Q3"/>
  </r>
  <r>
    <s v="ORD100007"/>
    <x v="557"/>
    <s v="CUST1329"/>
    <s v="Neha Sharma"/>
    <x v="1"/>
    <s v="Delhi"/>
    <s v="New Delhi"/>
    <x v="3"/>
    <s v="Kitchen"/>
    <x v="13"/>
    <n v="3"/>
    <n v="3410.14"/>
    <n v="0.1"/>
    <n v="9207.3799999999992"/>
    <n v="5812.17"/>
    <n v="3395.21"/>
    <x v="0"/>
    <n v="0.36874876457797989"/>
    <x v="1"/>
    <x v="6"/>
    <x v="6"/>
    <s v="Q3"/>
  </r>
  <r>
    <s v="ORD100241"/>
    <x v="557"/>
    <s v="CUST1239"/>
    <s v="Rohan Malhotra"/>
    <x v="3"/>
    <s v="West Bengal"/>
    <s v="Kolkata"/>
    <x v="1"/>
    <s v="Storage"/>
    <x v="2"/>
    <n v="3"/>
    <n v="739.35"/>
    <n v="0.15"/>
    <n v="1885.34"/>
    <n v="1004.32"/>
    <n v="881.02"/>
    <x v="0"/>
    <n v="0.46730032779233449"/>
    <x v="1"/>
    <x v="6"/>
    <x v="6"/>
    <s v="Q3"/>
  </r>
  <r>
    <s v="ORD101037"/>
    <x v="558"/>
    <s v="CUST1225"/>
    <s v="Neha Sharma"/>
    <x v="1"/>
    <s v="Delhi"/>
    <s v="New Delhi"/>
    <x v="0"/>
    <s v="Accessories"/>
    <x v="6"/>
    <n v="5"/>
    <n v="829.97"/>
    <n v="0.15"/>
    <n v="3527.37"/>
    <n v="2674.22"/>
    <n v="853.15"/>
    <x v="3"/>
    <n v="0.24186575267125371"/>
    <x v="1"/>
    <x v="6"/>
    <x v="6"/>
    <s v="Q3"/>
  </r>
  <r>
    <s v="ORD101095"/>
    <x v="558"/>
    <s v="CUST1509"/>
    <s v="Sneha Naidu"/>
    <x v="0"/>
    <s v="Maharashtra"/>
    <s v="Mumbai"/>
    <x v="0"/>
    <s v="Computers"/>
    <x v="3"/>
    <n v="2"/>
    <n v="16133.36"/>
    <n v="0.05"/>
    <n v="30653.38"/>
    <n v="23257.93"/>
    <n v="7395.45"/>
    <x v="3"/>
    <n v="0.2412605069979232"/>
    <x v="1"/>
    <x v="6"/>
    <x v="6"/>
    <s v="Q3"/>
  </r>
  <r>
    <s v="ORD100893"/>
    <x v="559"/>
    <s v="CUST1481"/>
    <s v="Aditya Singh"/>
    <x v="0"/>
    <s v="Maharashtra"/>
    <s v="Mumbai"/>
    <x v="3"/>
    <s v="Cleaning"/>
    <x v="15"/>
    <n v="2"/>
    <n v="7180.19"/>
    <n v="0.05"/>
    <n v="13642.36"/>
    <n v="9705.89"/>
    <n v="3936.47"/>
    <x v="0"/>
    <n v="0.28854758267631109"/>
    <x v="1"/>
    <x v="6"/>
    <x v="6"/>
    <s v="Q3"/>
  </r>
  <r>
    <s v="ORD101143"/>
    <x v="559"/>
    <s v="CUST1284"/>
    <s v="Pooja Das"/>
    <x v="0"/>
    <s v="Maharashtra"/>
    <s v="Nashik"/>
    <x v="1"/>
    <s v="Storage"/>
    <x v="9"/>
    <n v="3"/>
    <n v="493.27"/>
    <n v="0.15"/>
    <n v="1257.8399999999999"/>
    <n v="685.07"/>
    <n v="572.77"/>
    <x v="2"/>
    <n v="0.45535998219169371"/>
    <x v="1"/>
    <x v="6"/>
    <x v="6"/>
    <s v="Q3"/>
  </r>
  <r>
    <s v="ORD101787"/>
    <x v="560"/>
    <s v="CUST1622"/>
    <s v="Nikhil Das"/>
    <x v="2"/>
    <s v="Telangana"/>
    <s v="Karimnagar"/>
    <x v="1"/>
    <s v="Storage"/>
    <x v="9"/>
    <n v="3"/>
    <n v="496.83"/>
    <n v="0.2"/>
    <n v="1192.3900000000001"/>
    <n v="646.01"/>
    <n v="546.38"/>
    <x v="0"/>
    <n v="0.45822256141027679"/>
    <x v="1"/>
    <x v="7"/>
    <x v="7"/>
    <s v="Q3"/>
  </r>
  <r>
    <s v="ORD101208"/>
    <x v="560"/>
    <s v="CUST1276"/>
    <s v="Ananya Verma"/>
    <x v="2"/>
    <s v="Tamil Nadu"/>
    <s v="Madurai"/>
    <x v="3"/>
    <s v="Kitchen"/>
    <x v="7"/>
    <n v="6"/>
    <n v="1743.59"/>
    <n v="0"/>
    <n v="10461.540000000001"/>
    <n v="5559.23"/>
    <n v="4902.3100000000004"/>
    <x v="0"/>
    <n v="0.46860309285248641"/>
    <x v="1"/>
    <x v="7"/>
    <x v="7"/>
    <s v="Q3"/>
  </r>
  <r>
    <s v="ORD100548"/>
    <x v="560"/>
    <s v="CUST1566"/>
    <s v="Rohan Nair"/>
    <x v="2"/>
    <s v="Karnataka"/>
    <s v="Bengaluru"/>
    <x v="3"/>
    <s v="Kitchen"/>
    <x v="7"/>
    <n v="4"/>
    <n v="1717.93"/>
    <n v="0"/>
    <n v="6871.72"/>
    <n v="3686.01"/>
    <n v="3185.71"/>
    <x v="0"/>
    <n v="0.46359717799910349"/>
    <x v="1"/>
    <x v="7"/>
    <x v="7"/>
    <s v="Q3"/>
  </r>
  <r>
    <s v="ORD100574"/>
    <x v="561"/>
    <s v="CUST1145"/>
    <s v="Neha Das"/>
    <x v="0"/>
    <s v="Maharashtra"/>
    <s v="Nagpur"/>
    <x v="0"/>
    <s v="Computers"/>
    <x v="0"/>
    <n v="3"/>
    <n v="59135.74"/>
    <n v="0.1"/>
    <n v="159666.5"/>
    <n v="156798.03"/>
    <n v="2868.47"/>
    <x v="2"/>
    <n v="1.7965384097478179E-2"/>
    <x v="1"/>
    <x v="7"/>
    <x v="7"/>
    <s v="Q3"/>
  </r>
  <r>
    <s v="ORD100503"/>
    <x v="561"/>
    <s v="CUST1456"/>
    <s v="Sanjana Reddy"/>
    <x v="2"/>
    <s v="Tamil Nadu"/>
    <s v="Salem"/>
    <x v="2"/>
    <s v="Living Room"/>
    <x v="16"/>
    <n v="3"/>
    <n v="3988.69"/>
    <n v="0.2"/>
    <n v="9572.86"/>
    <n v="7723.73"/>
    <n v="1849.13"/>
    <x v="0"/>
    <n v="0.1931637984886439"/>
    <x v="1"/>
    <x v="7"/>
    <x v="7"/>
    <s v="Q3"/>
  </r>
  <r>
    <s v="ORD102469"/>
    <x v="561"/>
    <s v="CUST1294"/>
    <s v="Priya Patel"/>
    <x v="2"/>
    <s v="Tamil Nadu"/>
    <s v="Coimbatore"/>
    <x v="2"/>
    <s v="Living Room"/>
    <x v="4"/>
    <n v="6"/>
    <n v="5217.91"/>
    <n v="0.1"/>
    <n v="28176.71"/>
    <n v="19101.580000000002"/>
    <n v="9075.1299999999992"/>
    <x v="1"/>
    <n v="0.32207912137364508"/>
    <x v="1"/>
    <x v="7"/>
    <x v="7"/>
    <s v="Q3"/>
  </r>
  <r>
    <s v="ORD100925"/>
    <x v="561"/>
    <s v="CUST1490"/>
    <s v="Aditya Nair"/>
    <x v="2"/>
    <s v="Telangana"/>
    <s v="Warangal"/>
    <x v="3"/>
    <s v="Kitchen"/>
    <x v="13"/>
    <n v="1"/>
    <n v="3434.23"/>
    <n v="0.05"/>
    <n v="3262.52"/>
    <n v="1995.28"/>
    <n v="1267.24"/>
    <x v="0"/>
    <n v="0.38842367249855941"/>
    <x v="1"/>
    <x v="7"/>
    <x v="7"/>
    <s v="Q3"/>
  </r>
  <r>
    <s v="ORD102497"/>
    <x v="561"/>
    <s v="CUST1297"/>
    <s v="Diya Singh"/>
    <x v="2"/>
    <s v="Karnataka"/>
    <s v="Bengaluru"/>
    <x v="2"/>
    <s v="Office"/>
    <x v="10"/>
    <n v="4"/>
    <n v="6636.36"/>
    <n v="0.05"/>
    <n v="25218.17"/>
    <n v="16690.330000000002"/>
    <n v="8527.84"/>
    <x v="4"/>
    <n v="0.33816252329173768"/>
    <x v="1"/>
    <x v="7"/>
    <x v="7"/>
    <s v="Q3"/>
  </r>
  <r>
    <s v="ORD102254"/>
    <x v="561"/>
    <s v="CUST1437"/>
    <s v="Vikram Mehta"/>
    <x v="2"/>
    <s v="Telangana"/>
    <s v="Hyderabad"/>
    <x v="3"/>
    <s v="Kitchen"/>
    <x v="13"/>
    <n v="1"/>
    <n v="3492.01"/>
    <n v="0.1"/>
    <n v="3142.81"/>
    <n v="2053.35"/>
    <n v="1089.46"/>
    <x v="0"/>
    <n v="0.34665156340981479"/>
    <x v="1"/>
    <x v="7"/>
    <x v="7"/>
    <s v="Q3"/>
  </r>
  <r>
    <s v="ORD100685"/>
    <x v="562"/>
    <s v="CUST1329"/>
    <s v="Meera Singh"/>
    <x v="2"/>
    <s v="Tamil Nadu"/>
    <s v="Madurai"/>
    <x v="1"/>
    <s v="Stationery"/>
    <x v="17"/>
    <n v="2"/>
    <n v="293.64"/>
    <n v="0.05"/>
    <n v="557.91999999999996"/>
    <n v="244.88"/>
    <n v="313.04000000000002"/>
    <x v="1"/>
    <n v="0.56108402638371102"/>
    <x v="1"/>
    <x v="7"/>
    <x v="7"/>
    <s v="Q3"/>
  </r>
  <r>
    <s v="ORD101009"/>
    <x v="562"/>
    <s v="CUST1287"/>
    <s v="Aisha Patel"/>
    <x v="1"/>
    <s v="Delhi"/>
    <s v="Delhi"/>
    <x v="0"/>
    <s v="Audio"/>
    <x v="8"/>
    <n v="3"/>
    <n v="3107.87"/>
    <n v="0.2"/>
    <n v="7458.89"/>
    <n v="4809.57"/>
    <n v="2649.32"/>
    <x v="0"/>
    <n v="0.35518957914649502"/>
    <x v="1"/>
    <x v="7"/>
    <x v="7"/>
    <s v="Q3"/>
  </r>
  <r>
    <s v="ORD101485"/>
    <x v="562"/>
    <s v="CUST1395"/>
    <s v="Kiran Mehta"/>
    <x v="1"/>
    <s v="Delhi"/>
    <s v="New Delhi"/>
    <x v="3"/>
    <s v="Cleaning"/>
    <x v="12"/>
    <n v="2"/>
    <n v="12648.85"/>
    <n v="0.1"/>
    <n v="22767.93"/>
    <n v="18919.38"/>
    <n v="3848.55"/>
    <x v="1"/>
    <n v="0.16903381203297799"/>
    <x v="1"/>
    <x v="7"/>
    <x v="7"/>
    <s v="Q3"/>
  </r>
  <r>
    <s v="ORD100555"/>
    <x v="562"/>
    <s v="CUST1042"/>
    <s v="Diya Joshi"/>
    <x v="2"/>
    <s v="Telangana"/>
    <s v="Warangal"/>
    <x v="2"/>
    <s v="Living Room"/>
    <x v="4"/>
    <n v="1"/>
    <n v="5239.66"/>
    <n v="0.1"/>
    <n v="4715.6899999999996"/>
    <n v="3213.31"/>
    <n v="1502.38"/>
    <x v="2"/>
    <n v="0.31859176493789892"/>
    <x v="1"/>
    <x v="7"/>
    <x v="7"/>
    <s v="Q3"/>
  </r>
  <r>
    <s v="ORD102394"/>
    <x v="563"/>
    <s v="CUST1395"/>
    <s v="Diya Malhotra"/>
    <x v="2"/>
    <s v="Telangana"/>
    <s v="Karimnagar"/>
    <x v="3"/>
    <s v="Kitchen"/>
    <x v="13"/>
    <n v="5"/>
    <n v="3441.32"/>
    <n v="0.05"/>
    <n v="16346.27"/>
    <n v="10115.14"/>
    <n v="6231.13"/>
    <x v="0"/>
    <n v="0.38119583244373179"/>
    <x v="1"/>
    <x v="7"/>
    <x v="7"/>
    <s v="Q3"/>
  </r>
  <r>
    <s v="ORD100793"/>
    <x v="563"/>
    <s v="CUST1143"/>
    <s v="Pooja Rao"/>
    <x v="1"/>
    <s v="Delhi"/>
    <s v="Delhi"/>
    <x v="0"/>
    <s v="Audio"/>
    <x v="8"/>
    <n v="1"/>
    <n v="2824.37"/>
    <n v="0.2"/>
    <n v="2259.5"/>
    <n v="1480.05"/>
    <n v="779.45"/>
    <x v="2"/>
    <n v="0.34496570037618951"/>
    <x v="1"/>
    <x v="7"/>
    <x v="7"/>
    <s v="Q3"/>
  </r>
  <r>
    <s v="ORD100989"/>
    <x v="563"/>
    <s v="CUST1447"/>
    <s v="Varun Malhotra"/>
    <x v="3"/>
    <s v="West Bengal"/>
    <s v="Siliguri"/>
    <x v="3"/>
    <s v="Kitchen"/>
    <x v="7"/>
    <n v="2"/>
    <n v="1818.05"/>
    <n v="0"/>
    <n v="3636.1"/>
    <n v="2016.01"/>
    <n v="1620.09"/>
    <x v="0"/>
    <n v="0.44555705288633418"/>
    <x v="1"/>
    <x v="7"/>
    <x v="7"/>
    <s v="Q3"/>
  </r>
  <r>
    <s v="ORD102145"/>
    <x v="563"/>
    <s v="CUST1506"/>
    <s v="Arjun Kumar"/>
    <x v="2"/>
    <s v="Telangana"/>
    <s v="Warangal"/>
    <x v="0"/>
    <s v="Audio"/>
    <x v="8"/>
    <n v="1"/>
    <n v="2824.38"/>
    <n v="0.05"/>
    <n v="2683.16"/>
    <n v="1494.35"/>
    <n v="1188.81"/>
    <x v="1"/>
    <n v="0.443063402853352"/>
    <x v="1"/>
    <x v="7"/>
    <x v="7"/>
    <s v="Q3"/>
  </r>
  <r>
    <s v="ORD101825"/>
    <x v="563"/>
    <s v="CUST1639"/>
    <s v="Arjun Mehta"/>
    <x v="3"/>
    <s v="West Bengal"/>
    <s v="Kolkata"/>
    <x v="3"/>
    <s v="Cleaning"/>
    <x v="12"/>
    <n v="5"/>
    <n v="12389.6"/>
    <n v="0.1"/>
    <n v="55753.2"/>
    <n v="43983.62"/>
    <n v="11769.58"/>
    <x v="3"/>
    <n v="0.21110142556839789"/>
    <x v="1"/>
    <x v="7"/>
    <x v="7"/>
    <s v="Q3"/>
  </r>
  <r>
    <s v="ORD100325"/>
    <x v="564"/>
    <s v="CUST1284"/>
    <s v="Meera Mehta"/>
    <x v="0"/>
    <s v="Maharashtra"/>
    <s v="Nashik"/>
    <x v="2"/>
    <s v="Office"/>
    <x v="10"/>
    <n v="4"/>
    <n v="7145.27"/>
    <n v="0.1"/>
    <n v="25722.97"/>
    <n v="18328.61"/>
    <n v="7394.36"/>
    <x v="0"/>
    <n v="0.28746136235434711"/>
    <x v="1"/>
    <x v="7"/>
    <x v="7"/>
    <s v="Q3"/>
  </r>
  <r>
    <s v="ORD100930"/>
    <x v="564"/>
    <s v="CUST1615"/>
    <s v="Priya Iyer"/>
    <x v="0"/>
    <s v="Maharashtra"/>
    <s v="Mumbai"/>
    <x v="0"/>
    <s v="Accessories"/>
    <x v="5"/>
    <n v="6"/>
    <n v="2456.71"/>
    <n v="0.05"/>
    <n v="14003.25"/>
    <n v="8187.33"/>
    <n v="5815.92"/>
    <x v="3"/>
    <n v="0.41532644207594671"/>
    <x v="1"/>
    <x v="7"/>
    <x v="7"/>
    <s v="Q3"/>
  </r>
  <r>
    <s v="ORD101759"/>
    <x v="564"/>
    <s v="CUST1063"/>
    <s v="Rohan Kumar"/>
    <x v="1"/>
    <s v="Delhi"/>
    <s v="New Delhi"/>
    <x v="0"/>
    <s v="Computers"/>
    <x v="0"/>
    <n v="2"/>
    <n v="58905.3"/>
    <n v="0"/>
    <n v="117810.6"/>
    <n v="106265.03"/>
    <n v="11545.57"/>
    <x v="1"/>
    <n v="9.8001113651912469E-2"/>
    <x v="1"/>
    <x v="7"/>
    <x v="7"/>
    <s v="Q3"/>
  </r>
  <r>
    <s v="ORD101366"/>
    <x v="564"/>
    <s v="CUST1060"/>
    <s v="Priya Sharma"/>
    <x v="2"/>
    <s v="Telangana"/>
    <s v="Karimnagar"/>
    <x v="3"/>
    <s v="Cleaning"/>
    <x v="12"/>
    <n v="1"/>
    <n v="13214.9"/>
    <n v="0"/>
    <n v="13214.9"/>
    <n v="9433.3799999999992"/>
    <n v="3781.52"/>
    <x v="0"/>
    <n v="0.28615577870434128"/>
    <x v="1"/>
    <x v="7"/>
    <x v="7"/>
    <s v="Q3"/>
  </r>
  <r>
    <s v="ORD100449"/>
    <x v="565"/>
    <s v="CUST1468"/>
    <s v="Rohan Singh"/>
    <x v="0"/>
    <s v="Maharashtra"/>
    <s v="Nashik"/>
    <x v="0"/>
    <s v="Computers"/>
    <x v="0"/>
    <n v="3"/>
    <n v="59452.62"/>
    <n v="0"/>
    <n v="178357.86"/>
    <n v="151450.13"/>
    <n v="26907.73"/>
    <x v="2"/>
    <n v="0.1508637185936185"/>
    <x v="1"/>
    <x v="7"/>
    <x v="7"/>
    <s v="Q3"/>
  </r>
  <r>
    <s v="ORD102292"/>
    <x v="566"/>
    <s v="CUST1309"/>
    <s v="Aditya Mehta"/>
    <x v="2"/>
    <s v="Tamil Nadu"/>
    <s v="Madurai"/>
    <x v="0"/>
    <s v="Computers"/>
    <x v="0"/>
    <n v="4"/>
    <n v="59006.19"/>
    <n v="0.1"/>
    <n v="212422.28"/>
    <n v="203472.91"/>
    <n v="8949.3700000000008"/>
    <x v="0"/>
    <n v="4.2130091062011023E-2"/>
    <x v="1"/>
    <x v="7"/>
    <x v="7"/>
    <s v="Q3"/>
  </r>
  <r>
    <s v="ORD100578"/>
    <x v="566"/>
    <s v="CUST1079"/>
    <s v="Ishaan Gupta"/>
    <x v="3"/>
    <s v="West Bengal"/>
    <s v="Siliguri"/>
    <x v="1"/>
    <s v="Stationery"/>
    <x v="17"/>
    <n v="4"/>
    <n v="305.55"/>
    <n v="0"/>
    <n v="1222.2"/>
    <n v="501.69"/>
    <n v="720.51"/>
    <x v="2"/>
    <n v="0.58951890034364263"/>
    <x v="1"/>
    <x v="7"/>
    <x v="7"/>
    <s v="Q3"/>
  </r>
  <r>
    <s v="ORD101007"/>
    <x v="566"/>
    <s v="CUST1568"/>
    <s v="Kiran Verma"/>
    <x v="2"/>
    <s v="Tamil Nadu"/>
    <s v="Madurai"/>
    <x v="0"/>
    <s v="Computers"/>
    <x v="0"/>
    <n v="3"/>
    <n v="56489.87"/>
    <n v="0.15"/>
    <n v="144049.17000000001"/>
    <n v="151253.01999999999"/>
    <n v="-7203.85"/>
    <x v="4"/>
    <n v="-5.0009659895992459E-2"/>
    <x v="1"/>
    <x v="7"/>
    <x v="7"/>
    <s v="Q3"/>
  </r>
  <r>
    <s v="ORD101856"/>
    <x v="566"/>
    <s v="CUST1078"/>
    <s v="Sneha Gupta"/>
    <x v="2"/>
    <s v="Telangana"/>
    <s v="Karimnagar"/>
    <x v="2"/>
    <s v="Living Room"/>
    <x v="4"/>
    <n v="3"/>
    <n v="4700.76"/>
    <n v="0.2"/>
    <n v="11281.82"/>
    <n v="8722.85"/>
    <n v="2558.9699999999998"/>
    <x v="4"/>
    <n v="0.22682244531467441"/>
    <x v="1"/>
    <x v="7"/>
    <x v="7"/>
    <s v="Q3"/>
  </r>
  <r>
    <s v="ORD100942"/>
    <x v="567"/>
    <s v="CUST1505"/>
    <s v="Aarav Das"/>
    <x v="2"/>
    <s v="Tamil Nadu"/>
    <s v="Madurai"/>
    <x v="3"/>
    <s v="Cleaning"/>
    <x v="12"/>
    <n v="2"/>
    <n v="12652.8"/>
    <n v="0.15"/>
    <n v="21509.759999999998"/>
    <n v="17529.099999999999"/>
    <n v="3980.66"/>
    <x v="2"/>
    <n v="0.18506296676485459"/>
    <x v="1"/>
    <x v="7"/>
    <x v="7"/>
    <s v="Q3"/>
  </r>
  <r>
    <s v="ORD101543"/>
    <x v="567"/>
    <s v="CUST1648"/>
    <s v="Arjun Verma"/>
    <x v="2"/>
    <s v="Tamil Nadu"/>
    <s v="Coimbatore"/>
    <x v="2"/>
    <s v="Office"/>
    <x v="14"/>
    <n v="1"/>
    <n v="8088.56"/>
    <n v="0.05"/>
    <n v="7684.13"/>
    <n v="5303.33"/>
    <n v="2380.8000000000002"/>
    <x v="4"/>
    <n v="0.30983338387039261"/>
    <x v="1"/>
    <x v="7"/>
    <x v="7"/>
    <s v="Q3"/>
  </r>
  <r>
    <s v="ORD101295"/>
    <x v="568"/>
    <s v="CUST1219"/>
    <s v="Ananya Gupta"/>
    <x v="2"/>
    <s v="Telangana"/>
    <s v="Karimnagar"/>
    <x v="0"/>
    <s v="Audio"/>
    <x v="8"/>
    <n v="1"/>
    <n v="3167.63"/>
    <n v="0.15"/>
    <n v="2692.49"/>
    <n v="1679.08"/>
    <n v="1013.41"/>
    <x v="1"/>
    <n v="0.3763839420016416"/>
    <x v="1"/>
    <x v="7"/>
    <x v="7"/>
    <s v="Q3"/>
  </r>
  <r>
    <s v="ORD102321"/>
    <x v="568"/>
    <s v="CUST1518"/>
    <s v="Meera Rao"/>
    <x v="3"/>
    <s v="West Bengal"/>
    <s v="Durgapur"/>
    <x v="1"/>
    <s v="Storage"/>
    <x v="2"/>
    <n v="2"/>
    <n v="676.96"/>
    <n v="0.05"/>
    <n v="1286.22"/>
    <n v="640.03"/>
    <n v="646.19000000000005"/>
    <x v="0"/>
    <n v="0.50239461367417704"/>
    <x v="1"/>
    <x v="7"/>
    <x v="7"/>
    <s v="Q3"/>
  </r>
  <r>
    <s v="ORD101800"/>
    <x v="569"/>
    <s v="CUST1128"/>
    <s v="Aditya Reddy"/>
    <x v="1"/>
    <s v="Delhi"/>
    <s v="Delhi"/>
    <x v="1"/>
    <s v="Storage"/>
    <x v="2"/>
    <n v="2"/>
    <n v="672.86"/>
    <n v="0.15"/>
    <n v="1143.8599999999999"/>
    <n v="612.72"/>
    <n v="531.14"/>
    <x v="3"/>
    <n v="0.46434004161348419"/>
    <x v="1"/>
    <x v="7"/>
    <x v="7"/>
    <s v="Q3"/>
  </r>
  <r>
    <s v="ORD101030"/>
    <x v="569"/>
    <s v="CUST1513"/>
    <s v="Ishaan Joshi"/>
    <x v="2"/>
    <s v="Tamil Nadu"/>
    <s v="Salem"/>
    <x v="3"/>
    <s v="Kitchen"/>
    <x v="7"/>
    <n v="4"/>
    <n v="1847.08"/>
    <n v="0.1"/>
    <n v="6649.49"/>
    <n v="3962.22"/>
    <n v="2687.27"/>
    <x v="0"/>
    <n v="0.40413174544213171"/>
    <x v="1"/>
    <x v="7"/>
    <x v="7"/>
    <s v="Q3"/>
  </r>
  <r>
    <s v="ORD101243"/>
    <x v="570"/>
    <s v="CUST1466"/>
    <s v="Diya Das"/>
    <x v="0"/>
    <s v="Maharashtra"/>
    <s v="Mumbai"/>
    <x v="3"/>
    <s v="Cleaning"/>
    <x v="15"/>
    <n v="4"/>
    <n v="7515.73"/>
    <n v="0.05"/>
    <n v="28559.77"/>
    <n v="20024.68"/>
    <n v="8535.09"/>
    <x v="2"/>
    <n v="0.29885009578158372"/>
    <x v="1"/>
    <x v="7"/>
    <x v="7"/>
    <s v="Q3"/>
  </r>
  <r>
    <s v="ORD100224"/>
    <x v="570"/>
    <s v="CUST1015"/>
    <s v="Aarav Joshi"/>
    <x v="2"/>
    <s v="Karnataka"/>
    <s v="Mysuru"/>
    <x v="1"/>
    <s v="Stationery"/>
    <x v="1"/>
    <n v="1"/>
    <n v="235.7"/>
    <n v="0"/>
    <n v="235.7"/>
    <n v="90.15"/>
    <n v="145.55000000000001"/>
    <x v="0"/>
    <n v="0.61752227407721683"/>
    <x v="1"/>
    <x v="7"/>
    <x v="7"/>
    <s v="Q3"/>
  </r>
  <r>
    <s v="ORD101938"/>
    <x v="570"/>
    <s v="CUST1246"/>
    <s v="Varun Mehta"/>
    <x v="2"/>
    <s v="Telangana"/>
    <s v="Karimnagar"/>
    <x v="1"/>
    <s v="Storage"/>
    <x v="2"/>
    <n v="3"/>
    <n v="687.22"/>
    <n v="0.2"/>
    <n v="1649.33"/>
    <n v="951.6"/>
    <n v="697.73"/>
    <x v="0"/>
    <n v="0.42303844591440171"/>
    <x v="1"/>
    <x v="7"/>
    <x v="7"/>
    <s v="Q3"/>
  </r>
  <r>
    <s v="ORD101145"/>
    <x v="570"/>
    <s v="CUST1457"/>
    <s v="Kavya Kumar"/>
    <x v="2"/>
    <s v="Karnataka"/>
    <s v="Mangaluru"/>
    <x v="3"/>
    <s v="Cleaning"/>
    <x v="15"/>
    <n v="1"/>
    <n v="7595.45"/>
    <n v="0.05"/>
    <n v="7215.68"/>
    <n v="5110.78"/>
    <n v="2104.9"/>
    <x v="3"/>
    <n v="0.29171193844516391"/>
    <x v="1"/>
    <x v="7"/>
    <x v="7"/>
    <s v="Q3"/>
  </r>
  <r>
    <s v="ORD102464"/>
    <x v="570"/>
    <s v="CUST1382"/>
    <s v="Priya Malhotra"/>
    <x v="2"/>
    <s v="Tamil Nadu"/>
    <s v="Salem"/>
    <x v="0"/>
    <s v="Audio"/>
    <x v="8"/>
    <n v="6"/>
    <n v="2913.23"/>
    <n v="0.1"/>
    <n v="15731.44"/>
    <n v="9311.33"/>
    <n v="6420.11"/>
    <x v="1"/>
    <n v="0.40810695015840892"/>
    <x v="1"/>
    <x v="7"/>
    <x v="7"/>
    <s v="Q3"/>
  </r>
  <r>
    <s v="ORD100150"/>
    <x v="570"/>
    <s v="CUST1259"/>
    <s v="Pooja Naidu"/>
    <x v="1"/>
    <s v="Delhi"/>
    <s v="Delhi"/>
    <x v="3"/>
    <s v="Cleaning"/>
    <x v="12"/>
    <n v="2"/>
    <n v="13733.52"/>
    <n v="0.1"/>
    <n v="24720.34"/>
    <n v="19587.580000000002"/>
    <n v="5132.76"/>
    <x v="0"/>
    <n v="0.20763306653549271"/>
    <x v="1"/>
    <x v="7"/>
    <x v="7"/>
    <s v="Q3"/>
  </r>
  <r>
    <s v="ORD100253"/>
    <x v="571"/>
    <s v="CUST1290"/>
    <s v="Pooja Sharma"/>
    <x v="2"/>
    <s v="Telangana"/>
    <s v="Karimnagar"/>
    <x v="1"/>
    <s v="Storage"/>
    <x v="9"/>
    <n v="2"/>
    <n v="474.71"/>
    <n v="0.15"/>
    <n v="807.01"/>
    <n v="444.13"/>
    <n v="362.88"/>
    <x v="1"/>
    <n v="0.44965985551604071"/>
    <x v="1"/>
    <x v="7"/>
    <x v="7"/>
    <s v="Q3"/>
  </r>
  <r>
    <s v="ORD101350"/>
    <x v="572"/>
    <s v="CUST1026"/>
    <s v="Aarav Reddy"/>
    <x v="1"/>
    <s v="Delhi"/>
    <s v="Delhi"/>
    <x v="2"/>
    <s v="Office"/>
    <x v="14"/>
    <n v="4"/>
    <n v="8395.99"/>
    <n v="0.15"/>
    <n v="28546.37"/>
    <n v="22547.279999999999"/>
    <n v="5999.09"/>
    <x v="0"/>
    <n v="0.21015246421874309"/>
    <x v="1"/>
    <x v="7"/>
    <x v="7"/>
    <s v="Q3"/>
  </r>
  <r>
    <s v="ORD100321"/>
    <x v="572"/>
    <s v="CUST1548"/>
    <s v="Pooja Singh"/>
    <x v="0"/>
    <s v="Maharashtra"/>
    <s v="Nagpur"/>
    <x v="3"/>
    <s v="Cleaning"/>
    <x v="15"/>
    <n v="2"/>
    <n v="7200.18"/>
    <n v="0.05"/>
    <n v="13680.34"/>
    <n v="9540.56"/>
    <n v="4139.78"/>
    <x v="2"/>
    <n v="0.30260797611755258"/>
    <x v="1"/>
    <x v="7"/>
    <x v="7"/>
    <s v="Q3"/>
  </r>
  <r>
    <s v="ORD101206"/>
    <x v="572"/>
    <s v="CUST1025"/>
    <s v="Aditya Nair"/>
    <x v="2"/>
    <s v="Telangana"/>
    <s v="Karimnagar"/>
    <x v="2"/>
    <s v="Office"/>
    <x v="14"/>
    <n v="2"/>
    <n v="8037.37"/>
    <n v="0.15"/>
    <n v="13663.53"/>
    <n v="10833.71"/>
    <n v="2829.82"/>
    <x v="1"/>
    <n v="0.20710753370468679"/>
    <x v="1"/>
    <x v="7"/>
    <x v="7"/>
    <s v="Q3"/>
  </r>
  <r>
    <s v="ORD100222"/>
    <x v="572"/>
    <s v="CUST1217"/>
    <s v="Rohan Singh"/>
    <x v="2"/>
    <s v="Karnataka"/>
    <s v="Bengaluru"/>
    <x v="1"/>
    <s v="Stationery"/>
    <x v="17"/>
    <n v="2"/>
    <n v="295.70999999999998"/>
    <n v="0.1"/>
    <n v="532.28"/>
    <n v="253.35"/>
    <n v="278.93"/>
    <x v="0"/>
    <n v="0.5240287066957241"/>
    <x v="1"/>
    <x v="7"/>
    <x v="7"/>
    <s v="Q3"/>
  </r>
  <r>
    <s v="ORD101215"/>
    <x v="572"/>
    <s v="CUST1340"/>
    <s v="Aarav Das"/>
    <x v="2"/>
    <s v="Karnataka"/>
    <s v="Mysuru"/>
    <x v="3"/>
    <s v="Cleaning"/>
    <x v="15"/>
    <n v="2"/>
    <n v="7571.37"/>
    <n v="0.05"/>
    <n v="14385.6"/>
    <n v="9620.7800000000007"/>
    <n v="4764.82"/>
    <x v="0"/>
    <n v="0.3312214992770548"/>
    <x v="1"/>
    <x v="7"/>
    <x v="7"/>
    <s v="Q3"/>
  </r>
  <r>
    <s v="ORD100072"/>
    <x v="573"/>
    <s v="CUST1287"/>
    <s v="Aditya Naidu"/>
    <x v="3"/>
    <s v="West Bengal"/>
    <s v="Kolkata"/>
    <x v="3"/>
    <s v="Cleaning"/>
    <x v="12"/>
    <n v="4"/>
    <n v="12397.05"/>
    <n v="0.15"/>
    <n v="42149.97"/>
    <n v="36367.339999999997"/>
    <n v="5782.63"/>
    <x v="1"/>
    <n v="0.13719179396806211"/>
    <x v="1"/>
    <x v="7"/>
    <x v="7"/>
    <s v="Q3"/>
  </r>
  <r>
    <s v="ORD102018"/>
    <x v="573"/>
    <s v="CUST1568"/>
    <s v="Meera Reddy"/>
    <x v="2"/>
    <s v="Telangana"/>
    <s v="Karimnagar"/>
    <x v="3"/>
    <s v="Cleaning"/>
    <x v="15"/>
    <n v="4"/>
    <n v="7262.25"/>
    <n v="0.05"/>
    <n v="27596.55"/>
    <n v="18309.39"/>
    <n v="9287.16"/>
    <x v="1"/>
    <n v="0.3365333710192035"/>
    <x v="1"/>
    <x v="7"/>
    <x v="7"/>
    <s v="Q3"/>
  </r>
  <r>
    <s v="ORD101757"/>
    <x v="573"/>
    <s v="CUST1426"/>
    <s v="Nikhil Gupta"/>
    <x v="2"/>
    <s v="Tamil Nadu"/>
    <s v="Coimbatore"/>
    <x v="1"/>
    <s v="Storage"/>
    <x v="2"/>
    <n v="2"/>
    <n v="682.13"/>
    <n v="0.05"/>
    <n v="1296.05"/>
    <n v="625.78"/>
    <n v="670.27"/>
    <x v="3"/>
    <n v="0.5171636896724664"/>
    <x v="1"/>
    <x v="7"/>
    <x v="7"/>
    <s v="Q3"/>
  </r>
  <r>
    <s v="ORD102115"/>
    <x v="573"/>
    <s v="CUST1409"/>
    <s v="Sanjana Rao"/>
    <x v="2"/>
    <s v="Tamil Nadu"/>
    <s v="Chennai"/>
    <x v="0"/>
    <s v="Audio"/>
    <x v="8"/>
    <n v="3"/>
    <n v="3134.82"/>
    <n v="0.05"/>
    <n v="8934.24"/>
    <n v="5054.75"/>
    <n v="3879.49"/>
    <x v="3"/>
    <n v="0.43422719783663738"/>
    <x v="1"/>
    <x v="7"/>
    <x v="7"/>
    <s v="Q3"/>
  </r>
  <r>
    <s v="ORD102055"/>
    <x v="573"/>
    <s v="CUST1586"/>
    <s v="Vikram Naidu"/>
    <x v="0"/>
    <s v="Maharashtra"/>
    <s v="Mumbai"/>
    <x v="3"/>
    <s v="Cleaning"/>
    <x v="12"/>
    <n v="1"/>
    <n v="12579.98"/>
    <n v="0.2"/>
    <n v="10063.98"/>
    <n v="9148.43"/>
    <n v="915.55"/>
    <x v="0"/>
    <n v="9.0972955033694416E-2"/>
    <x v="1"/>
    <x v="7"/>
    <x v="7"/>
    <s v="Q3"/>
  </r>
  <r>
    <s v="ORD101916"/>
    <x v="574"/>
    <s v="CUST1307"/>
    <s v="Kiran Das"/>
    <x v="2"/>
    <s v="Telangana"/>
    <s v="Nizamabad"/>
    <x v="1"/>
    <s v="Storage"/>
    <x v="9"/>
    <n v="1"/>
    <n v="517.42999999999995"/>
    <n v="0.2"/>
    <n v="413.94"/>
    <n v="229.29"/>
    <n v="184.65"/>
    <x v="1"/>
    <n v="0.44607914190462389"/>
    <x v="1"/>
    <x v="7"/>
    <x v="7"/>
    <s v="Q3"/>
  </r>
  <r>
    <s v="ORD100860"/>
    <x v="574"/>
    <s v="CUST1512"/>
    <s v="Pooja Reddy"/>
    <x v="2"/>
    <s v="Tamil Nadu"/>
    <s v="Chennai"/>
    <x v="3"/>
    <s v="Kitchen"/>
    <x v="7"/>
    <n v="2"/>
    <n v="1788.73"/>
    <n v="0.1"/>
    <n v="3219.71"/>
    <n v="1865.77"/>
    <n v="1353.94"/>
    <x v="2"/>
    <n v="0.42051613344058941"/>
    <x v="1"/>
    <x v="7"/>
    <x v="7"/>
    <s v="Q3"/>
  </r>
  <r>
    <s v="ORD100641"/>
    <x v="574"/>
    <s v="CUST1158"/>
    <s v="Nikhil Gupta"/>
    <x v="2"/>
    <s v="Telangana"/>
    <s v="Hyderabad"/>
    <x v="2"/>
    <s v="Office"/>
    <x v="14"/>
    <n v="4"/>
    <n v="8968.69"/>
    <n v="0.1"/>
    <n v="32287.279999999999"/>
    <n v="23947.02"/>
    <n v="8340.26"/>
    <x v="2"/>
    <n v="0.25831411007678567"/>
    <x v="1"/>
    <x v="7"/>
    <x v="7"/>
    <s v="Q3"/>
  </r>
  <r>
    <s v="ORD101713"/>
    <x v="575"/>
    <s v="CUST1286"/>
    <s v="Ananya Iyer"/>
    <x v="2"/>
    <s v="Telangana"/>
    <s v="Warangal"/>
    <x v="3"/>
    <s v="Kitchen"/>
    <x v="13"/>
    <n v="3"/>
    <n v="3113.53"/>
    <n v="0.1"/>
    <n v="8406.5300000000007"/>
    <n v="5468.75"/>
    <n v="2937.78"/>
    <x v="2"/>
    <n v="0.34946404759157462"/>
    <x v="1"/>
    <x v="7"/>
    <x v="7"/>
    <s v="Q3"/>
  </r>
  <r>
    <s v="ORD101844"/>
    <x v="575"/>
    <s v="CUST1041"/>
    <s v="Sanjana Iyer"/>
    <x v="2"/>
    <s v="Karnataka"/>
    <s v="Mysuru"/>
    <x v="1"/>
    <s v="Storage"/>
    <x v="9"/>
    <n v="6"/>
    <n v="489.01"/>
    <n v="0.05"/>
    <n v="2787.36"/>
    <n v="1354.28"/>
    <n v="1433.08"/>
    <x v="2"/>
    <n v="0.51413523907927206"/>
    <x v="1"/>
    <x v="7"/>
    <x v="7"/>
    <s v="Q3"/>
  </r>
  <r>
    <s v="ORD100554"/>
    <x v="575"/>
    <s v="CUST1057"/>
    <s v="Vikram Gupta"/>
    <x v="1"/>
    <s v="Delhi"/>
    <s v="Delhi"/>
    <x v="2"/>
    <s v="Office"/>
    <x v="10"/>
    <n v="2"/>
    <n v="6691.51"/>
    <n v="0.05"/>
    <n v="12713.87"/>
    <n v="8425.99"/>
    <n v="4287.88"/>
    <x v="0"/>
    <n v="0.3372600160297376"/>
    <x v="1"/>
    <x v="7"/>
    <x v="7"/>
    <s v="Q3"/>
  </r>
  <r>
    <s v="ORD100738"/>
    <x v="576"/>
    <s v="CUST1300"/>
    <s v="Arjun Patel"/>
    <x v="1"/>
    <s v="Delhi"/>
    <s v="New Delhi"/>
    <x v="3"/>
    <s v="Kitchen"/>
    <x v="7"/>
    <n v="1"/>
    <n v="1699.12"/>
    <n v="0.15"/>
    <n v="1444.25"/>
    <n v="882.88"/>
    <n v="561.37"/>
    <x v="2"/>
    <n v="0.38869309330102131"/>
    <x v="1"/>
    <x v="7"/>
    <x v="7"/>
    <s v="Q3"/>
  </r>
  <r>
    <s v="ORD101190"/>
    <x v="576"/>
    <s v="CUST1212"/>
    <s v="Rohan Joshi"/>
    <x v="2"/>
    <s v="Karnataka"/>
    <s v="Bengaluru"/>
    <x v="3"/>
    <s v="Cleaning"/>
    <x v="12"/>
    <n v="4"/>
    <n v="12801.31"/>
    <n v="0.05"/>
    <n v="48644.98"/>
    <n v="36271.089999999997"/>
    <n v="12373.89"/>
    <x v="0"/>
    <n v="0.25437136576066022"/>
    <x v="1"/>
    <x v="7"/>
    <x v="7"/>
    <s v="Q3"/>
  </r>
  <r>
    <s v="ORD100347"/>
    <x v="576"/>
    <s v="CUST1351"/>
    <s v="Pooja Sharma"/>
    <x v="3"/>
    <s v="West Bengal"/>
    <s v="Kolkata"/>
    <x v="0"/>
    <s v="Audio"/>
    <x v="11"/>
    <n v="1"/>
    <n v="1979.4"/>
    <n v="0.05"/>
    <n v="1880.43"/>
    <n v="1131.92"/>
    <n v="748.51"/>
    <x v="4"/>
    <n v="0.39805257308168868"/>
    <x v="1"/>
    <x v="7"/>
    <x v="7"/>
    <s v="Q3"/>
  </r>
  <r>
    <s v="ORD101332"/>
    <x v="576"/>
    <s v="CUST1162"/>
    <s v="Aditya Rao"/>
    <x v="0"/>
    <s v="Maharashtra"/>
    <s v="Nashik"/>
    <x v="0"/>
    <s v="Accessories"/>
    <x v="5"/>
    <n v="1"/>
    <n v="2353.27"/>
    <n v="0.05"/>
    <n v="2235.61"/>
    <n v="1314.23"/>
    <n v="921.38"/>
    <x v="0"/>
    <n v="0.41213807417214993"/>
    <x v="1"/>
    <x v="7"/>
    <x v="7"/>
    <s v="Q3"/>
  </r>
  <r>
    <s v="ORD101767"/>
    <x v="576"/>
    <s v="CUST1196"/>
    <s v="Sanjana Gupta"/>
    <x v="2"/>
    <s v="Karnataka"/>
    <s v="Mysuru"/>
    <x v="2"/>
    <s v="Living Room"/>
    <x v="4"/>
    <n v="4"/>
    <n v="5235.1400000000003"/>
    <n v="0.05"/>
    <n v="19893.53"/>
    <n v="12651.38"/>
    <n v="7242.15"/>
    <x v="0"/>
    <n v="0.36404549619901538"/>
    <x v="1"/>
    <x v="7"/>
    <x v="7"/>
    <s v="Q3"/>
  </r>
  <r>
    <s v="ORD100892"/>
    <x v="577"/>
    <s v="CUST1239"/>
    <s v="Ananya Patel"/>
    <x v="2"/>
    <s v="Telangana"/>
    <s v="Hyderabad"/>
    <x v="0"/>
    <s v="Accessories"/>
    <x v="6"/>
    <n v="6"/>
    <n v="753.75"/>
    <n v="0.15"/>
    <n v="3844.12"/>
    <n v="2695.86"/>
    <n v="1148.26"/>
    <x v="4"/>
    <n v="0.29870555549774719"/>
    <x v="1"/>
    <x v="7"/>
    <x v="7"/>
    <s v="Q3"/>
  </r>
  <r>
    <s v="ORD101969"/>
    <x v="577"/>
    <s v="CUST1270"/>
    <s v="Priya Iyer"/>
    <x v="2"/>
    <s v="Tamil Nadu"/>
    <s v="Salem"/>
    <x v="1"/>
    <s v="Stationery"/>
    <x v="1"/>
    <n v="1"/>
    <n v="253.59"/>
    <n v="0.1"/>
    <n v="228.23"/>
    <n v="96.33"/>
    <n v="131.9"/>
    <x v="1"/>
    <n v="0.57792577662883937"/>
    <x v="1"/>
    <x v="7"/>
    <x v="7"/>
    <s v="Q3"/>
  </r>
  <r>
    <s v="ORD100564"/>
    <x v="577"/>
    <s v="CUST1011"/>
    <s v="Pooja Singh"/>
    <x v="3"/>
    <s v="West Bengal"/>
    <s v="Kolkata"/>
    <x v="0"/>
    <s v="Computers"/>
    <x v="3"/>
    <n v="3"/>
    <n v="16353.32"/>
    <n v="0"/>
    <n v="49059.96"/>
    <n v="36768.720000000001"/>
    <n v="12291.24"/>
    <x v="3"/>
    <n v="0.25053505954754141"/>
    <x v="1"/>
    <x v="7"/>
    <x v="7"/>
    <s v="Q3"/>
  </r>
  <r>
    <s v="ORD101646"/>
    <x v="577"/>
    <s v="CUST1545"/>
    <s v="Aditya Patel"/>
    <x v="2"/>
    <s v="Karnataka"/>
    <s v="Mysuru"/>
    <x v="1"/>
    <s v="Storage"/>
    <x v="9"/>
    <n v="6"/>
    <n v="472.58"/>
    <n v="0.05"/>
    <n v="2693.71"/>
    <n v="1326.84"/>
    <n v="1366.87"/>
    <x v="1"/>
    <n v="0.50743027274650943"/>
    <x v="1"/>
    <x v="7"/>
    <x v="7"/>
    <s v="Q3"/>
  </r>
  <r>
    <s v="ORD100031"/>
    <x v="577"/>
    <s v="CUST1125"/>
    <s v="Nikhil Singh"/>
    <x v="3"/>
    <s v="West Bengal"/>
    <s v="Siliguri"/>
    <x v="3"/>
    <s v="Kitchen"/>
    <x v="7"/>
    <n v="1"/>
    <n v="1819.39"/>
    <n v="0"/>
    <n v="1819.39"/>
    <n v="954.66"/>
    <n v="864.73"/>
    <x v="0"/>
    <n v="0.47528567267051042"/>
    <x v="1"/>
    <x v="7"/>
    <x v="7"/>
    <s v="Q3"/>
  </r>
  <r>
    <s v="ORD100862"/>
    <x v="578"/>
    <s v="CUST1475"/>
    <s v="Vikram Rao"/>
    <x v="3"/>
    <s v="West Bengal"/>
    <s v="Siliguri"/>
    <x v="0"/>
    <s v="Computers"/>
    <x v="3"/>
    <n v="1"/>
    <n v="15793.35"/>
    <n v="0"/>
    <n v="15793.35"/>
    <n v="12252.71"/>
    <n v="3540.64"/>
    <x v="3"/>
    <n v="0.2241854957941159"/>
    <x v="1"/>
    <x v="7"/>
    <x v="7"/>
    <s v="Q3"/>
  </r>
  <r>
    <s v="ORD101632"/>
    <x v="578"/>
    <s v="CUST1592"/>
    <s v="Ishaan Rao"/>
    <x v="2"/>
    <s v="Tamil Nadu"/>
    <s v="Chennai"/>
    <x v="0"/>
    <s v="Audio"/>
    <x v="11"/>
    <n v="1"/>
    <n v="2077.52"/>
    <n v="0.1"/>
    <n v="1869.77"/>
    <n v="1169.82"/>
    <n v="699.95"/>
    <x v="2"/>
    <n v="0.37435085598763479"/>
    <x v="1"/>
    <x v="7"/>
    <x v="7"/>
    <s v="Q3"/>
  </r>
  <r>
    <s v="ORD100456"/>
    <x v="578"/>
    <s v="CUST1078"/>
    <s v="Neha Malhotra"/>
    <x v="0"/>
    <s v="Maharashtra"/>
    <s v="Mumbai"/>
    <x v="1"/>
    <s v="Stationery"/>
    <x v="1"/>
    <n v="2"/>
    <n v="240.15"/>
    <n v="0.05"/>
    <n v="456.28"/>
    <n v="176.84"/>
    <n v="279.44"/>
    <x v="2"/>
    <n v="0.61243096344349968"/>
    <x v="1"/>
    <x v="7"/>
    <x v="7"/>
    <s v="Q3"/>
  </r>
  <r>
    <s v="ORD102016"/>
    <x v="578"/>
    <s v="CUST1068"/>
    <s v="Nikhil Singh"/>
    <x v="2"/>
    <s v="Karnataka"/>
    <s v="Mysuru"/>
    <x v="2"/>
    <s v="Office"/>
    <x v="14"/>
    <n v="1"/>
    <n v="8156.25"/>
    <n v="0.2"/>
    <n v="6525"/>
    <n v="5743.56"/>
    <n v="781.44"/>
    <x v="3"/>
    <n v="0.1197609195402299"/>
    <x v="1"/>
    <x v="7"/>
    <x v="7"/>
    <s v="Q3"/>
  </r>
  <r>
    <s v="ORD101762"/>
    <x v="578"/>
    <s v="CUST1058"/>
    <s v="Rohan Mehta"/>
    <x v="2"/>
    <s v="Tamil Nadu"/>
    <s v="Coimbatore"/>
    <x v="3"/>
    <s v="Cleaning"/>
    <x v="12"/>
    <n v="3"/>
    <n v="12893.29"/>
    <n v="0.1"/>
    <n v="34811.879999999997"/>
    <n v="28609.95"/>
    <n v="6201.93"/>
    <x v="0"/>
    <n v="0.17815556068790309"/>
    <x v="1"/>
    <x v="7"/>
    <x v="7"/>
    <s v="Q3"/>
  </r>
  <r>
    <s v="ORD101645"/>
    <x v="579"/>
    <s v="CUST1622"/>
    <s v="Neha Kumar"/>
    <x v="3"/>
    <s v="West Bengal"/>
    <s v="Kolkata"/>
    <x v="3"/>
    <s v="Kitchen"/>
    <x v="7"/>
    <n v="1"/>
    <n v="1900.85"/>
    <n v="0.2"/>
    <n v="1520.68"/>
    <n v="1060.03"/>
    <n v="460.65"/>
    <x v="1"/>
    <n v="0.30292369203251168"/>
    <x v="1"/>
    <x v="7"/>
    <x v="7"/>
    <s v="Q3"/>
  </r>
  <r>
    <s v="ORD101171"/>
    <x v="579"/>
    <s v="CUST1376"/>
    <s v="Aisha Rao"/>
    <x v="2"/>
    <s v="Karnataka"/>
    <s v="Bengaluru"/>
    <x v="1"/>
    <s v="Storage"/>
    <x v="2"/>
    <n v="1"/>
    <n v="703.1"/>
    <n v="0.1"/>
    <n v="632.79"/>
    <n v="317.36"/>
    <n v="315.43"/>
    <x v="2"/>
    <n v="0.49847500750643969"/>
    <x v="1"/>
    <x v="7"/>
    <x v="7"/>
    <s v="Q3"/>
  </r>
  <r>
    <s v="ORD101888"/>
    <x v="579"/>
    <s v="CUST1413"/>
    <s v="Varun Gupta"/>
    <x v="0"/>
    <s v="Maharashtra"/>
    <s v="Mumbai"/>
    <x v="3"/>
    <s v="Cleaning"/>
    <x v="12"/>
    <n v="2"/>
    <n v="12641.51"/>
    <n v="0"/>
    <n v="25283.02"/>
    <n v="18637.87"/>
    <n v="6645.15"/>
    <x v="0"/>
    <n v="0.26283054793296051"/>
    <x v="1"/>
    <x v="7"/>
    <x v="7"/>
    <s v="Q3"/>
  </r>
  <r>
    <s v="ORD102162"/>
    <x v="580"/>
    <s v="CUST1014"/>
    <s v="Rahul Naidu"/>
    <x v="0"/>
    <s v="Maharashtra"/>
    <s v="Pune"/>
    <x v="2"/>
    <s v="Office"/>
    <x v="14"/>
    <n v="3"/>
    <n v="8972.68"/>
    <n v="0.05"/>
    <n v="25572.14"/>
    <n v="18194.87"/>
    <n v="7377.27"/>
    <x v="1"/>
    <n v="0.28848856607229589"/>
    <x v="1"/>
    <x v="7"/>
    <x v="7"/>
    <s v="Q3"/>
  </r>
  <r>
    <s v="ORD100775"/>
    <x v="580"/>
    <s v="CUST1483"/>
    <s v="Kavya Naidu"/>
    <x v="2"/>
    <s v="Telangana"/>
    <s v="Karimnagar"/>
    <x v="2"/>
    <s v="Office"/>
    <x v="14"/>
    <n v="3"/>
    <n v="8170.65"/>
    <n v="0.1"/>
    <n v="22060.75"/>
    <n v="16640.150000000001"/>
    <n v="5420.6"/>
    <x v="3"/>
    <n v="0.24571240778305359"/>
    <x v="1"/>
    <x v="7"/>
    <x v="7"/>
    <s v="Q3"/>
  </r>
  <r>
    <s v="ORD100853"/>
    <x v="580"/>
    <s v="CUST1551"/>
    <s v="Pooja Malhotra"/>
    <x v="2"/>
    <s v="Tamil Nadu"/>
    <s v="Madurai"/>
    <x v="1"/>
    <s v="Storage"/>
    <x v="9"/>
    <n v="2"/>
    <n v="521.70000000000005"/>
    <n v="0.2"/>
    <n v="834.72"/>
    <n v="458.15"/>
    <n v="376.57"/>
    <x v="2"/>
    <n v="0.45113331416522912"/>
    <x v="1"/>
    <x v="7"/>
    <x v="7"/>
    <s v="Q3"/>
  </r>
  <r>
    <s v="ORD102454"/>
    <x v="580"/>
    <s v="CUST1026"/>
    <s v="Priya Patel"/>
    <x v="2"/>
    <s v="Karnataka"/>
    <s v="Hubballi"/>
    <x v="3"/>
    <s v="Kitchen"/>
    <x v="13"/>
    <n v="3"/>
    <n v="3367.15"/>
    <n v="0.1"/>
    <n v="9091.31"/>
    <n v="5759.3"/>
    <n v="3332.01"/>
    <x v="0"/>
    <n v="0.3665049371322725"/>
    <x v="1"/>
    <x v="7"/>
    <x v="7"/>
    <s v="Q3"/>
  </r>
  <r>
    <s v="ORD100439"/>
    <x v="580"/>
    <s v="CUST1066"/>
    <s v="Pooja Naidu"/>
    <x v="2"/>
    <s v="Telangana"/>
    <s v="Warangal"/>
    <x v="1"/>
    <s v="Storage"/>
    <x v="2"/>
    <n v="4"/>
    <n v="677.94"/>
    <n v="0.2"/>
    <n v="2169.41"/>
    <n v="1295.9000000000001"/>
    <n v="873.51"/>
    <x v="3"/>
    <n v="0.40264864640616582"/>
    <x v="1"/>
    <x v="7"/>
    <x v="7"/>
    <s v="Q3"/>
  </r>
  <r>
    <s v="ORD101574"/>
    <x v="581"/>
    <s v="CUST1134"/>
    <s v="Aisha Mehta"/>
    <x v="0"/>
    <s v="Maharashtra"/>
    <s v="Nashik"/>
    <x v="2"/>
    <s v="Living Room"/>
    <x v="16"/>
    <n v="1"/>
    <n v="4208.1400000000003"/>
    <n v="0.1"/>
    <n v="3787.33"/>
    <n v="2737.55"/>
    <n v="1049.78"/>
    <x v="1"/>
    <n v="0.27718207813948093"/>
    <x v="1"/>
    <x v="7"/>
    <x v="7"/>
    <s v="Q3"/>
  </r>
  <r>
    <s v="ORD102225"/>
    <x v="582"/>
    <s v="CUST1056"/>
    <s v="Arjun Mehta"/>
    <x v="2"/>
    <s v="Telangana"/>
    <s v="Warangal"/>
    <x v="2"/>
    <s v="Office"/>
    <x v="14"/>
    <n v="1"/>
    <n v="8162.54"/>
    <n v="0.05"/>
    <n v="7754.41"/>
    <n v="5562.55"/>
    <n v="2191.86"/>
    <x v="3"/>
    <n v="0.28265980261554402"/>
    <x v="1"/>
    <x v="7"/>
    <x v="7"/>
    <s v="Q3"/>
  </r>
  <r>
    <s v="ORD102252"/>
    <x v="582"/>
    <s v="CUST1454"/>
    <s v="Ishaan Das"/>
    <x v="1"/>
    <s v="Delhi"/>
    <s v="Delhi"/>
    <x v="0"/>
    <s v="Computers"/>
    <x v="0"/>
    <n v="4"/>
    <n v="61379.839999999997"/>
    <n v="0.15"/>
    <n v="208691.46"/>
    <n v="208308.61"/>
    <n v="382.85"/>
    <x v="3"/>
    <n v="1.8345264343830839E-3"/>
    <x v="1"/>
    <x v="7"/>
    <x v="7"/>
    <s v="Q3"/>
  </r>
  <r>
    <s v="ORD102054"/>
    <x v="583"/>
    <s v="CUST1478"/>
    <s v="Vikram Naidu"/>
    <x v="2"/>
    <s v="Tamil Nadu"/>
    <s v="Chennai"/>
    <x v="0"/>
    <s v="Accessories"/>
    <x v="6"/>
    <n v="5"/>
    <n v="777.03"/>
    <n v="0"/>
    <n v="3885.15"/>
    <n v="2490"/>
    <n v="1395.15"/>
    <x v="1"/>
    <n v="0.35909810432029649"/>
    <x v="1"/>
    <x v="7"/>
    <x v="7"/>
    <s v="Q3"/>
  </r>
  <r>
    <s v="ORD100257"/>
    <x v="583"/>
    <s v="CUST1376"/>
    <s v="Nikhil Kumar"/>
    <x v="0"/>
    <s v="Maharashtra"/>
    <s v="Pune"/>
    <x v="2"/>
    <s v="Living Room"/>
    <x v="4"/>
    <n v="1"/>
    <n v="5169.8"/>
    <n v="0.2"/>
    <n v="4135.84"/>
    <n v="3271.55"/>
    <n v="864.29"/>
    <x v="2"/>
    <n v="0.2089756857131804"/>
    <x v="1"/>
    <x v="7"/>
    <x v="7"/>
    <s v="Q3"/>
  </r>
  <r>
    <s v="ORD101062"/>
    <x v="584"/>
    <s v="CUST1470"/>
    <s v="Ishaan Verma"/>
    <x v="2"/>
    <s v="Tamil Nadu"/>
    <s v="Salem"/>
    <x v="3"/>
    <s v="Kitchen"/>
    <x v="13"/>
    <n v="2"/>
    <n v="3460.76"/>
    <n v="0.2"/>
    <n v="5537.22"/>
    <n v="3940.69"/>
    <n v="1596.53"/>
    <x v="1"/>
    <n v="0.28832699441235848"/>
    <x v="1"/>
    <x v="7"/>
    <x v="7"/>
    <s v="Q3"/>
  </r>
  <r>
    <s v="ORD100691"/>
    <x v="584"/>
    <s v="CUST1363"/>
    <s v="Kavya Naidu"/>
    <x v="0"/>
    <s v="Maharashtra"/>
    <s v="Pune"/>
    <x v="2"/>
    <s v="Office"/>
    <x v="14"/>
    <n v="3"/>
    <n v="8188.08"/>
    <n v="0"/>
    <n v="24564.240000000002"/>
    <n v="16886.900000000001"/>
    <n v="7677.34"/>
    <x v="0"/>
    <n v="0.31254132022810388"/>
    <x v="1"/>
    <x v="7"/>
    <x v="7"/>
    <s v="Q3"/>
  </r>
  <r>
    <s v="ORD100978"/>
    <x v="584"/>
    <s v="CUST1582"/>
    <s v="Kavya Singh"/>
    <x v="2"/>
    <s v="Tamil Nadu"/>
    <s v="Salem"/>
    <x v="0"/>
    <s v="Audio"/>
    <x v="11"/>
    <n v="3"/>
    <n v="1967.99"/>
    <n v="0.1"/>
    <n v="5313.57"/>
    <n v="3553.15"/>
    <n v="1760.42"/>
    <x v="0"/>
    <n v="0.33130644745434812"/>
    <x v="1"/>
    <x v="7"/>
    <x v="7"/>
    <s v="Q3"/>
  </r>
  <r>
    <s v="ORD101165"/>
    <x v="584"/>
    <s v="CUST1061"/>
    <s v="Ishaan Rao"/>
    <x v="2"/>
    <s v="Tamil Nadu"/>
    <s v="Madurai"/>
    <x v="3"/>
    <s v="Cleaning"/>
    <x v="15"/>
    <n v="3"/>
    <n v="7672.62"/>
    <n v="0.15"/>
    <n v="19565.18"/>
    <n v="15465.47"/>
    <n v="4099.71"/>
    <x v="1"/>
    <n v="0.20954113378972239"/>
    <x v="1"/>
    <x v="7"/>
    <x v="7"/>
    <s v="Q3"/>
  </r>
  <r>
    <s v="ORD101394"/>
    <x v="584"/>
    <s v="CUST1500"/>
    <s v="Rahul Verma"/>
    <x v="2"/>
    <s v="Telangana"/>
    <s v="Warangal"/>
    <x v="3"/>
    <s v="Kitchen"/>
    <x v="7"/>
    <n v="3"/>
    <n v="1788.84"/>
    <n v="0.1"/>
    <n v="4829.87"/>
    <n v="2893.79"/>
    <n v="1936.08"/>
    <x v="0"/>
    <n v="0.40085550956858051"/>
    <x v="1"/>
    <x v="7"/>
    <x v="7"/>
    <s v="Q3"/>
  </r>
  <r>
    <s v="ORD101576"/>
    <x v="584"/>
    <s v="CUST1069"/>
    <s v="Arjun Sharma"/>
    <x v="2"/>
    <s v="Karnataka"/>
    <s v="Hubballi"/>
    <x v="2"/>
    <s v="Living Room"/>
    <x v="4"/>
    <n v="6"/>
    <n v="5220.4799999999996"/>
    <n v="0.15"/>
    <n v="26624.45"/>
    <n v="19524.759999999998"/>
    <n v="7099.69"/>
    <x v="3"/>
    <n v="0.26666053195465073"/>
    <x v="1"/>
    <x v="7"/>
    <x v="7"/>
    <s v="Q3"/>
  </r>
  <r>
    <s v="ORD101790"/>
    <x v="585"/>
    <s v="CUST1404"/>
    <s v="Aarav Das"/>
    <x v="1"/>
    <s v="Delhi"/>
    <s v="New Delhi"/>
    <x v="3"/>
    <s v="Kitchen"/>
    <x v="7"/>
    <n v="2"/>
    <n v="1853.4"/>
    <n v="0.15"/>
    <n v="3150.78"/>
    <n v="1959.91"/>
    <n v="1190.8699999999999"/>
    <x v="0"/>
    <n v="0.37796037806511401"/>
    <x v="1"/>
    <x v="7"/>
    <x v="7"/>
    <s v="Q3"/>
  </r>
  <r>
    <s v="ORD100209"/>
    <x v="585"/>
    <s v="CUST1200"/>
    <s v="Aditya Gupta"/>
    <x v="2"/>
    <s v="Telangana"/>
    <s v="Hyderabad"/>
    <x v="2"/>
    <s v="Living Room"/>
    <x v="16"/>
    <n v="3"/>
    <n v="4061.82"/>
    <n v="0.15"/>
    <n v="10357.64"/>
    <n v="7911.55"/>
    <n v="2446.09"/>
    <x v="1"/>
    <n v="0.23616287107874001"/>
    <x v="1"/>
    <x v="7"/>
    <x v="7"/>
    <s v="Q3"/>
  </r>
  <r>
    <s v="ORD100291"/>
    <x v="585"/>
    <s v="CUST1545"/>
    <s v="Sanjana Sharma"/>
    <x v="2"/>
    <s v="Telangana"/>
    <s v="Nizamabad"/>
    <x v="3"/>
    <s v="Cleaning"/>
    <x v="15"/>
    <n v="3"/>
    <n v="7353.75"/>
    <n v="0.1"/>
    <n v="19855.12"/>
    <n v="14278.15"/>
    <n v="5576.97"/>
    <x v="2"/>
    <n v="0.28088321803141958"/>
    <x v="1"/>
    <x v="7"/>
    <x v="7"/>
    <s v="Q3"/>
  </r>
  <r>
    <s v="ORD101197"/>
    <x v="585"/>
    <s v="CUST1541"/>
    <s v="Sanjana Malhotra"/>
    <x v="3"/>
    <s v="West Bengal"/>
    <s v="Siliguri"/>
    <x v="2"/>
    <s v="Living Room"/>
    <x v="4"/>
    <n v="5"/>
    <n v="5001.2299999999996"/>
    <n v="0"/>
    <n v="25006.15"/>
    <n v="15031.55"/>
    <n v="9974.6"/>
    <x v="0"/>
    <n v="0.39888587407497761"/>
    <x v="1"/>
    <x v="7"/>
    <x v="7"/>
    <s v="Q3"/>
  </r>
  <r>
    <s v="ORD100003"/>
    <x v="585"/>
    <s v="CUST1290"/>
    <s v="Sanjana Das"/>
    <x v="3"/>
    <s v="West Bengal"/>
    <s v="Kolkata"/>
    <x v="3"/>
    <s v="Kitchen"/>
    <x v="7"/>
    <n v="3"/>
    <n v="1767.6"/>
    <n v="0.15"/>
    <n v="4507.38"/>
    <n v="2971.34"/>
    <n v="1536.04"/>
    <x v="0"/>
    <n v="0.34078333754864237"/>
    <x v="1"/>
    <x v="7"/>
    <x v="7"/>
    <s v="Q3"/>
  </r>
  <r>
    <s v="ORD101527"/>
    <x v="586"/>
    <s v="CUST1533"/>
    <s v="Sneha Kumar"/>
    <x v="2"/>
    <s v="Karnataka"/>
    <s v="Mysuru"/>
    <x v="0"/>
    <s v="Accessories"/>
    <x v="5"/>
    <n v="4"/>
    <n v="2369.91"/>
    <n v="0"/>
    <n v="9479.64"/>
    <n v="5284.65"/>
    <n v="4194.99"/>
    <x v="1"/>
    <n v="0.4425262984670304"/>
    <x v="1"/>
    <x v="7"/>
    <x v="7"/>
    <s v="Q3"/>
  </r>
  <r>
    <s v="ORD101089"/>
    <x v="586"/>
    <s v="CUST1209"/>
    <s v="Nikhil Kumar"/>
    <x v="2"/>
    <s v="Tamil Nadu"/>
    <s v="Madurai"/>
    <x v="0"/>
    <s v="Audio"/>
    <x v="8"/>
    <n v="1"/>
    <n v="3072.75"/>
    <n v="0.05"/>
    <n v="2919.11"/>
    <n v="1633.36"/>
    <n v="1285.75"/>
    <x v="2"/>
    <n v="0.44045959213595931"/>
    <x v="1"/>
    <x v="7"/>
    <x v="7"/>
    <s v="Q3"/>
  </r>
  <r>
    <s v="ORD100394"/>
    <x v="586"/>
    <s v="CUST1518"/>
    <s v="Ananya Naidu"/>
    <x v="0"/>
    <s v="Maharashtra"/>
    <s v="Nagpur"/>
    <x v="3"/>
    <s v="Kitchen"/>
    <x v="13"/>
    <n v="1"/>
    <n v="3300.19"/>
    <n v="0"/>
    <n v="3300.19"/>
    <n v="1906.98"/>
    <n v="1393.21"/>
    <x v="1"/>
    <n v="0.4221605422718086"/>
    <x v="1"/>
    <x v="7"/>
    <x v="7"/>
    <s v="Q3"/>
  </r>
  <r>
    <s v="ORD101571"/>
    <x v="586"/>
    <s v="CUST1575"/>
    <s v="Sanjana Mehta"/>
    <x v="3"/>
    <s v="West Bengal"/>
    <s v="Siliguri"/>
    <x v="1"/>
    <s v="Stationery"/>
    <x v="1"/>
    <n v="4"/>
    <n v="255.68"/>
    <n v="0.1"/>
    <n v="920.45"/>
    <n v="396.05"/>
    <n v="524.4"/>
    <x v="1"/>
    <n v="0.56972133195719477"/>
    <x v="1"/>
    <x v="7"/>
    <x v="7"/>
    <s v="Q3"/>
  </r>
  <r>
    <s v="ORD102333"/>
    <x v="586"/>
    <s v="CUST1155"/>
    <s v="Priya Mehta"/>
    <x v="0"/>
    <s v="Maharashtra"/>
    <s v="Mumbai"/>
    <x v="2"/>
    <s v="Living Room"/>
    <x v="4"/>
    <n v="2"/>
    <n v="5286.12"/>
    <n v="0.1"/>
    <n v="9515.02"/>
    <n v="6287.28"/>
    <n v="3227.74"/>
    <x v="1"/>
    <n v="0.33922577146448452"/>
    <x v="1"/>
    <x v="7"/>
    <x v="7"/>
    <s v="Q3"/>
  </r>
  <r>
    <s v="ORD101046"/>
    <x v="586"/>
    <s v="CUST1505"/>
    <s v="Vikram Sharma"/>
    <x v="3"/>
    <s v="West Bengal"/>
    <s v="Kolkata"/>
    <x v="0"/>
    <s v="Accessories"/>
    <x v="6"/>
    <n v="2"/>
    <n v="755.64"/>
    <n v="0"/>
    <n v="1511.28"/>
    <n v="944.38"/>
    <n v="566.9"/>
    <x v="1"/>
    <n v="0.37511248742787567"/>
    <x v="1"/>
    <x v="7"/>
    <x v="7"/>
    <s v="Q3"/>
  </r>
  <r>
    <s v="ORD101486"/>
    <x v="586"/>
    <s v="CUST1184"/>
    <s v="Ananya Mehta"/>
    <x v="1"/>
    <s v="Delhi"/>
    <s v="New Delhi"/>
    <x v="1"/>
    <s v="Stationery"/>
    <x v="17"/>
    <n v="5"/>
    <n v="299.72000000000003"/>
    <n v="0.1"/>
    <n v="1348.74"/>
    <n v="618.02"/>
    <n v="730.72"/>
    <x v="0"/>
    <n v="0.5417797351602236"/>
    <x v="1"/>
    <x v="7"/>
    <x v="7"/>
    <s v="Q3"/>
  </r>
  <r>
    <s v="ORD101788"/>
    <x v="587"/>
    <s v="CUST1489"/>
    <s v="Sanjana Malhotra"/>
    <x v="2"/>
    <s v="Karnataka"/>
    <s v="Bengaluru"/>
    <x v="0"/>
    <s v="Accessories"/>
    <x v="5"/>
    <n v="2"/>
    <n v="2439.86"/>
    <n v="0.05"/>
    <n v="4635.7299999999996"/>
    <n v="2703.86"/>
    <n v="1931.87"/>
    <x v="0"/>
    <n v="0.41673479689283027"/>
    <x v="1"/>
    <x v="7"/>
    <x v="7"/>
    <s v="Q3"/>
  </r>
  <r>
    <s v="ORD101314"/>
    <x v="587"/>
    <s v="CUST1006"/>
    <s v="Aarav Nair"/>
    <x v="2"/>
    <s v="Karnataka"/>
    <s v="Bengaluru"/>
    <x v="1"/>
    <s v="Storage"/>
    <x v="9"/>
    <n v="1"/>
    <n v="518.62"/>
    <n v="0.2"/>
    <n v="414.9"/>
    <n v="235.03"/>
    <n v="179.87"/>
    <x v="1"/>
    <n v="0.43352615087973012"/>
    <x v="1"/>
    <x v="7"/>
    <x v="7"/>
    <s v="Q3"/>
  </r>
  <r>
    <s v="ORD101814"/>
    <x v="587"/>
    <s v="CUST1280"/>
    <s v="Pooja Joshi"/>
    <x v="2"/>
    <s v="Telangana"/>
    <s v="Nizamabad"/>
    <x v="1"/>
    <s v="Storage"/>
    <x v="9"/>
    <n v="4"/>
    <n v="483.6"/>
    <n v="0.1"/>
    <n v="1740.96"/>
    <n v="845.46"/>
    <n v="895.5"/>
    <x v="0"/>
    <n v="0.51437138130686522"/>
    <x v="1"/>
    <x v="7"/>
    <x v="7"/>
    <s v="Q3"/>
  </r>
  <r>
    <s v="ORD101739"/>
    <x v="588"/>
    <s v="CUST1558"/>
    <s v="Aarav Joshi"/>
    <x v="2"/>
    <s v="Telangana"/>
    <s v="Warangal"/>
    <x v="3"/>
    <s v="Kitchen"/>
    <x v="13"/>
    <n v="1"/>
    <n v="3199.36"/>
    <n v="0.15"/>
    <n v="2719.46"/>
    <n v="1884.62"/>
    <n v="834.84"/>
    <x v="1"/>
    <n v="0.30698741661947587"/>
    <x v="1"/>
    <x v="7"/>
    <x v="7"/>
    <s v="Q3"/>
  </r>
  <r>
    <s v="ORD102306"/>
    <x v="588"/>
    <s v="CUST1368"/>
    <s v="Ishaan Verma"/>
    <x v="3"/>
    <s v="West Bengal"/>
    <s v="Durgapur"/>
    <x v="0"/>
    <s v="Computers"/>
    <x v="3"/>
    <n v="2"/>
    <n v="15916.08"/>
    <n v="0.15"/>
    <n v="27057.34"/>
    <n v="23394.42"/>
    <n v="3662.92"/>
    <x v="2"/>
    <n v="0.13537620475626949"/>
    <x v="1"/>
    <x v="7"/>
    <x v="7"/>
    <s v="Q3"/>
  </r>
  <r>
    <s v="ORD101642"/>
    <x v="588"/>
    <s v="CUST1634"/>
    <s v="Priya Iyer"/>
    <x v="2"/>
    <s v="Telangana"/>
    <s v="Karimnagar"/>
    <x v="2"/>
    <s v="Living Room"/>
    <x v="4"/>
    <n v="5"/>
    <n v="5239.34"/>
    <n v="0.15"/>
    <n v="22267.19"/>
    <n v="16406.169999999998"/>
    <n v="5861.02"/>
    <x v="0"/>
    <n v="0.26321327477782341"/>
    <x v="1"/>
    <x v="7"/>
    <x v="7"/>
    <s v="Q3"/>
  </r>
  <r>
    <s v="ORD102381"/>
    <x v="588"/>
    <s v="CUST1646"/>
    <s v="Sneha Rao"/>
    <x v="1"/>
    <s v="Delhi"/>
    <s v="New Delhi"/>
    <x v="1"/>
    <s v="Storage"/>
    <x v="2"/>
    <n v="3"/>
    <n v="677.7"/>
    <n v="0.1"/>
    <n v="1829.79"/>
    <n v="964.35"/>
    <n v="865.44"/>
    <x v="4"/>
    <n v="0.47297230829767362"/>
    <x v="1"/>
    <x v="7"/>
    <x v="7"/>
    <s v="Q3"/>
  </r>
  <r>
    <s v="ORD102370"/>
    <x v="589"/>
    <s v="CUST1370"/>
    <s v="Diya Joshi"/>
    <x v="2"/>
    <s v="Karnataka"/>
    <s v="Mangaluru"/>
    <x v="0"/>
    <s v="Accessories"/>
    <x v="6"/>
    <n v="3"/>
    <n v="776.99"/>
    <n v="0.1"/>
    <n v="2097.87"/>
    <n v="1388.15"/>
    <n v="709.72"/>
    <x v="0"/>
    <n v="0.3383050427338205"/>
    <x v="1"/>
    <x v="7"/>
    <x v="7"/>
    <s v="Q3"/>
  </r>
  <r>
    <s v="ORD102121"/>
    <x v="589"/>
    <s v="CUST1377"/>
    <s v="Neha Sharma"/>
    <x v="2"/>
    <s v="Karnataka"/>
    <s v="Hubballi"/>
    <x v="1"/>
    <s v="Stationery"/>
    <x v="17"/>
    <n v="1"/>
    <n v="311.47000000000003"/>
    <n v="0.1"/>
    <n v="280.32"/>
    <n v="135.32"/>
    <n v="145"/>
    <x v="2"/>
    <n v="0.51726598173515981"/>
    <x v="1"/>
    <x v="7"/>
    <x v="7"/>
    <s v="Q3"/>
  </r>
  <r>
    <s v="ORD100875"/>
    <x v="589"/>
    <s v="CUST1277"/>
    <s v="Rohan Malhotra"/>
    <x v="3"/>
    <s v="West Bengal"/>
    <s v="Siliguri"/>
    <x v="3"/>
    <s v="Cleaning"/>
    <x v="15"/>
    <n v="3"/>
    <n v="7169.83"/>
    <n v="0.1"/>
    <n v="19358.54"/>
    <n v="13432.73"/>
    <n v="5925.81"/>
    <x v="0"/>
    <n v="0.30610831188715681"/>
    <x v="1"/>
    <x v="7"/>
    <x v="7"/>
    <s v="Q3"/>
  </r>
  <r>
    <s v="ORD101778"/>
    <x v="589"/>
    <s v="CUST1135"/>
    <s v="Pooja Rao"/>
    <x v="2"/>
    <s v="Telangana"/>
    <s v="Hyderabad"/>
    <x v="1"/>
    <s v="Stationery"/>
    <x v="1"/>
    <n v="2"/>
    <n v="247.93"/>
    <n v="0.05"/>
    <n v="471.07"/>
    <n v="193.7"/>
    <n v="277.37"/>
    <x v="3"/>
    <n v="0.58880845734179632"/>
    <x v="1"/>
    <x v="7"/>
    <x v="7"/>
    <s v="Q3"/>
  </r>
  <r>
    <s v="ORD101382"/>
    <x v="590"/>
    <s v="CUST1269"/>
    <s v="Diya Nair"/>
    <x v="1"/>
    <s v="Delhi"/>
    <s v="New Delhi"/>
    <x v="1"/>
    <s v="Storage"/>
    <x v="9"/>
    <n v="3"/>
    <n v="528.53"/>
    <n v="0.05"/>
    <n v="1506.31"/>
    <n v="701.55"/>
    <n v="804.76"/>
    <x v="0"/>
    <n v="0.53425921623039085"/>
    <x v="1"/>
    <x v="8"/>
    <x v="8"/>
    <s v="Q3"/>
  </r>
  <r>
    <s v="ORD100905"/>
    <x v="590"/>
    <s v="CUST1030"/>
    <s v="Aarav Reddy"/>
    <x v="1"/>
    <s v="Delhi"/>
    <s v="New Delhi"/>
    <x v="1"/>
    <s v="Storage"/>
    <x v="9"/>
    <n v="2"/>
    <n v="491.46"/>
    <n v="0.1"/>
    <n v="884.63"/>
    <n v="437.67"/>
    <n v="446.96"/>
    <x v="2"/>
    <n v="0.5052507828131535"/>
    <x v="1"/>
    <x v="8"/>
    <x v="8"/>
    <s v="Q3"/>
  </r>
  <r>
    <s v="ORD100035"/>
    <x v="590"/>
    <s v="CUST1521"/>
    <s v="Varun Patel"/>
    <x v="3"/>
    <s v="West Bengal"/>
    <s v="Kolkata"/>
    <x v="0"/>
    <s v="Accessories"/>
    <x v="5"/>
    <n v="1"/>
    <n v="2378.7800000000002"/>
    <n v="0.15"/>
    <n v="2021.96"/>
    <n v="1344.29"/>
    <n v="677.67"/>
    <x v="1"/>
    <n v="0.33515499812063537"/>
    <x v="1"/>
    <x v="8"/>
    <x v="8"/>
    <s v="Q3"/>
  </r>
  <r>
    <s v="ORD102239"/>
    <x v="590"/>
    <s v="CUST1372"/>
    <s v="Nikhil Rao"/>
    <x v="0"/>
    <s v="Maharashtra"/>
    <s v="Nagpur"/>
    <x v="2"/>
    <s v="Living Room"/>
    <x v="16"/>
    <n v="2"/>
    <n v="3854.07"/>
    <n v="0"/>
    <n v="7708.14"/>
    <n v="4667.04"/>
    <n v="3041.1"/>
    <x v="1"/>
    <n v="0.39453097634448769"/>
    <x v="1"/>
    <x v="8"/>
    <x v="8"/>
    <s v="Q3"/>
  </r>
  <r>
    <s v="ORD100401"/>
    <x v="590"/>
    <s v="CUST1268"/>
    <s v="Vikram Rao"/>
    <x v="3"/>
    <s v="West Bengal"/>
    <s v="Kolkata"/>
    <x v="2"/>
    <s v="Living Room"/>
    <x v="16"/>
    <n v="2"/>
    <n v="4180.3900000000003"/>
    <n v="0.15"/>
    <n v="7106.66"/>
    <n v="5398.98"/>
    <n v="1707.68"/>
    <x v="2"/>
    <n v="0.24029290834231551"/>
    <x v="1"/>
    <x v="8"/>
    <x v="8"/>
    <s v="Q3"/>
  </r>
  <r>
    <s v="ORD100114"/>
    <x v="590"/>
    <s v="CUST1620"/>
    <s v="Ananya Kumar"/>
    <x v="0"/>
    <s v="Maharashtra"/>
    <s v="Nashik"/>
    <x v="2"/>
    <s v="Office"/>
    <x v="10"/>
    <n v="1"/>
    <n v="7378.84"/>
    <n v="0"/>
    <n v="7378.84"/>
    <n v="4715.67"/>
    <n v="2663.17"/>
    <x v="2"/>
    <n v="0.36091987358446592"/>
    <x v="1"/>
    <x v="8"/>
    <x v="8"/>
    <s v="Q3"/>
  </r>
  <r>
    <s v="ORD100310"/>
    <x v="590"/>
    <s v="CUST1578"/>
    <s v="Vikram Iyer"/>
    <x v="2"/>
    <s v="Tamil Nadu"/>
    <s v="Coimbatore"/>
    <x v="2"/>
    <s v="Office"/>
    <x v="14"/>
    <n v="2"/>
    <n v="8073.13"/>
    <n v="0.05"/>
    <n v="15338.95"/>
    <n v="10976.44"/>
    <n v="4362.51"/>
    <x v="2"/>
    <n v="0.28440734209316798"/>
    <x v="1"/>
    <x v="8"/>
    <x v="8"/>
    <s v="Q3"/>
  </r>
  <r>
    <s v="ORD100695"/>
    <x v="590"/>
    <s v="CUST1175"/>
    <s v="Sanjana Naidu"/>
    <x v="3"/>
    <s v="West Bengal"/>
    <s v="Kolkata"/>
    <x v="0"/>
    <s v="Audio"/>
    <x v="8"/>
    <n v="1"/>
    <n v="3106.18"/>
    <n v="0"/>
    <n v="3106.18"/>
    <n v="1610.67"/>
    <n v="1495.51"/>
    <x v="1"/>
    <n v="0.48146276133385713"/>
    <x v="1"/>
    <x v="8"/>
    <x v="8"/>
    <s v="Q3"/>
  </r>
  <r>
    <s v="ORD101233"/>
    <x v="591"/>
    <s v="CUST1486"/>
    <s v="Diya Nair"/>
    <x v="2"/>
    <s v="Telangana"/>
    <s v="Karimnagar"/>
    <x v="1"/>
    <s v="Storage"/>
    <x v="9"/>
    <n v="2"/>
    <n v="498.04"/>
    <n v="0"/>
    <n v="996.08"/>
    <n v="445.86"/>
    <n v="550.22"/>
    <x v="3"/>
    <n v="0.55238535057425109"/>
    <x v="1"/>
    <x v="8"/>
    <x v="8"/>
    <s v="Q3"/>
  </r>
  <r>
    <s v="ORD100110"/>
    <x v="591"/>
    <s v="CUST1264"/>
    <s v="Ananya Mehta"/>
    <x v="2"/>
    <s v="Karnataka"/>
    <s v="Bengaluru"/>
    <x v="3"/>
    <s v="Kitchen"/>
    <x v="7"/>
    <n v="3"/>
    <n v="1754.97"/>
    <n v="0.1"/>
    <n v="4738.42"/>
    <n v="2813.77"/>
    <n v="1924.65"/>
    <x v="1"/>
    <n v="0.40617969702981171"/>
    <x v="1"/>
    <x v="8"/>
    <x v="8"/>
    <s v="Q3"/>
  </r>
  <r>
    <s v="ORD100277"/>
    <x v="591"/>
    <s v="CUST1478"/>
    <s v="Ishaan Verma"/>
    <x v="3"/>
    <s v="West Bengal"/>
    <s v="Siliguri"/>
    <x v="1"/>
    <s v="Storage"/>
    <x v="9"/>
    <n v="1"/>
    <n v="472.43"/>
    <n v="0"/>
    <n v="472.43"/>
    <n v="218.61"/>
    <n v="253.82"/>
    <x v="2"/>
    <n v="0.53726477996740252"/>
    <x v="1"/>
    <x v="8"/>
    <x v="8"/>
    <s v="Q3"/>
  </r>
  <r>
    <s v="ORD100264"/>
    <x v="591"/>
    <s v="CUST1040"/>
    <s v="Sneha Rao"/>
    <x v="1"/>
    <s v="Delhi"/>
    <s v="New Delhi"/>
    <x v="0"/>
    <s v="Audio"/>
    <x v="11"/>
    <n v="2"/>
    <n v="2007.92"/>
    <n v="0.05"/>
    <n v="3815.05"/>
    <n v="2291.34"/>
    <n v="1523.71"/>
    <x v="0"/>
    <n v="0.39939450334858001"/>
    <x v="1"/>
    <x v="8"/>
    <x v="8"/>
    <s v="Q3"/>
  </r>
  <r>
    <s v="ORD102165"/>
    <x v="592"/>
    <s v="CUST1566"/>
    <s v="Kiran Rao"/>
    <x v="1"/>
    <s v="Delhi"/>
    <s v="New Delhi"/>
    <x v="3"/>
    <s v="Cleaning"/>
    <x v="12"/>
    <n v="2"/>
    <n v="13628.29"/>
    <n v="0.1"/>
    <n v="24530.92"/>
    <n v="19531.95"/>
    <n v="4998.97"/>
    <x v="0"/>
    <n v="0.20378241011751699"/>
    <x v="1"/>
    <x v="8"/>
    <x v="8"/>
    <s v="Q3"/>
  </r>
  <r>
    <s v="ORD100914"/>
    <x v="592"/>
    <s v="CUST1473"/>
    <s v="Ananya Rao"/>
    <x v="0"/>
    <s v="Maharashtra"/>
    <s v="Nagpur"/>
    <x v="3"/>
    <s v="Cleaning"/>
    <x v="15"/>
    <n v="1"/>
    <n v="7620.33"/>
    <n v="0.05"/>
    <n v="7239.31"/>
    <n v="4756.62"/>
    <n v="2482.69"/>
    <x v="3"/>
    <n v="0.34294566747383382"/>
    <x v="1"/>
    <x v="8"/>
    <x v="8"/>
    <s v="Q3"/>
  </r>
  <r>
    <s v="ORD101534"/>
    <x v="593"/>
    <s v="CUST1606"/>
    <s v="Nikhil Iyer"/>
    <x v="2"/>
    <s v="Tamil Nadu"/>
    <s v="Coimbatore"/>
    <x v="2"/>
    <s v="Office"/>
    <x v="14"/>
    <n v="1"/>
    <n v="7993.66"/>
    <n v="0"/>
    <n v="7993.66"/>
    <n v="5521.09"/>
    <n v="2472.5700000000002"/>
    <x v="0"/>
    <n v="0.30931638323371269"/>
    <x v="1"/>
    <x v="8"/>
    <x v="8"/>
    <s v="Q3"/>
  </r>
  <r>
    <s v="ORD100288"/>
    <x v="593"/>
    <s v="CUST1372"/>
    <s v="Arjun Sharma"/>
    <x v="2"/>
    <s v="Tamil Nadu"/>
    <s v="Coimbatore"/>
    <x v="3"/>
    <s v="Cleaning"/>
    <x v="12"/>
    <n v="1"/>
    <n v="13060.52"/>
    <n v="0.05"/>
    <n v="12407.49"/>
    <n v="9389.56"/>
    <n v="3017.93"/>
    <x v="2"/>
    <n v="0.24323453011044141"/>
    <x v="1"/>
    <x v="8"/>
    <x v="8"/>
    <s v="Q3"/>
  </r>
  <r>
    <s v="ORD101998"/>
    <x v="593"/>
    <s v="CUST1537"/>
    <s v="Ishaan Patel"/>
    <x v="2"/>
    <s v="Telangana"/>
    <s v="Nizamabad"/>
    <x v="0"/>
    <s v="Audio"/>
    <x v="11"/>
    <n v="1"/>
    <n v="2096.36"/>
    <n v="0.1"/>
    <n v="1886.72"/>
    <n v="1259.6400000000001"/>
    <n v="627.08000000000004"/>
    <x v="0"/>
    <n v="0.33236516282225242"/>
    <x v="1"/>
    <x v="8"/>
    <x v="8"/>
    <s v="Q3"/>
  </r>
  <r>
    <s v="ORD101665"/>
    <x v="593"/>
    <s v="CUST1365"/>
    <s v="Kavya Gupta"/>
    <x v="2"/>
    <s v="Tamil Nadu"/>
    <s v="Madurai"/>
    <x v="3"/>
    <s v="Kitchen"/>
    <x v="7"/>
    <n v="2"/>
    <n v="1831.02"/>
    <n v="0.15"/>
    <n v="3112.73"/>
    <n v="2025.46"/>
    <n v="1087.27"/>
    <x v="3"/>
    <n v="0.34929788320863042"/>
    <x v="1"/>
    <x v="8"/>
    <x v="8"/>
    <s v="Q3"/>
  </r>
  <r>
    <s v="ORD101911"/>
    <x v="594"/>
    <s v="CUST1443"/>
    <s v="Sanjana Naidu"/>
    <x v="0"/>
    <s v="Maharashtra"/>
    <s v="Mumbai"/>
    <x v="2"/>
    <s v="Office"/>
    <x v="14"/>
    <n v="2"/>
    <n v="8960.49"/>
    <n v="0"/>
    <n v="17920.98"/>
    <n v="12234.26"/>
    <n v="5686.72"/>
    <x v="0"/>
    <n v="0.31732193217112009"/>
    <x v="1"/>
    <x v="8"/>
    <x v="8"/>
    <s v="Q3"/>
  </r>
  <r>
    <s v="ORD100943"/>
    <x v="595"/>
    <s v="CUST1066"/>
    <s v="Priya Patel"/>
    <x v="2"/>
    <s v="Karnataka"/>
    <s v="Hubballi"/>
    <x v="2"/>
    <s v="Office"/>
    <x v="10"/>
    <n v="3"/>
    <n v="7183.53"/>
    <n v="0.2"/>
    <n v="17240.47"/>
    <n v="13987.54"/>
    <n v="3252.93"/>
    <x v="0"/>
    <n v="0.18867989097745011"/>
    <x v="1"/>
    <x v="8"/>
    <x v="8"/>
    <s v="Q3"/>
  </r>
  <r>
    <s v="ORD101952"/>
    <x v="595"/>
    <s v="CUST1329"/>
    <s v="Nikhil Nair"/>
    <x v="2"/>
    <s v="Telangana"/>
    <s v="Warangal"/>
    <x v="3"/>
    <s v="Cleaning"/>
    <x v="12"/>
    <n v="1"/>
    <n v="13777.53"/>
    <n v="0.1"/>
    <n v="12399.78"/>
    <n v="10155.61"/>
    <n v="2244.17"/>
    <x v="1"/>
    <n v="0.18098466263111121"/>
    <x v="1"/>
    <x v="8"/>
    <x v="8"/>
    <s v="Q3"/>
  </r>
  <r>
    <s v="ORD100426"/>
    <x v="595"/>
    <s v="CUST1209"/>
    <s v="Kavya Malhotra"/>
    <x v="2"/>
    <s v="Karnataka"/>
    <s v="Bengaluru"/>
    <x v="3"/>
    <s v="Cleaning"/>
    <x v="15"/>
    <n v="3"/>
    <n v="7377.97"/>
    <n v="0.1"/>
    <n v="19920.52"/>
    <n v="13995.41"/>
    <n v="5925.11"/>
    <x v="1"/>
    <n v="0.29743751669133128"/>
    <x v="1"/>
    <x v="8"/>
    <x v="8"/>
    <s v="Q3"/>
  </r>
  <r>
    <s v="ORD100947"/>
    <x v="595"/>
    <s v="CUST1153"/>
    <s v="Aisha Singh"/>
    <x v="2"/>
    <s v="Telangana"/>
    <s v="Warangal"/>
    <x v="1"/>
    <s v="Stationery"/>
    <x v="17"/>
    <n v="2"/>
    <n v="288.57"/>
    <n v="0.2"/>
    <n v="461.71"/>
    <n v="246.57"/>
    <n v="215.14"/>
    <x v="1"/>
    <n v="0.46596348357193912"/>
    <x v="1"/>
    <x v="8"/>
    <x v="8"/>
    <s v="Q3"/>
  </r>
  <r>
    <s v="ORD102144"/>
    <x v="595"/>
    <s v="CUST1507"/>
    <s v="Kiran Kumar"/>
    <x v="3"/>
    <s v="West Bengal"/>
    <s v="Kolkata"/>
    <x v="1"/>
    <s v="Storage"/>
    <x v="9"/>
    <n v="1"/>
    <n v="483.2"/>
    <n v="0.05"/>
    <n v="459.04"/>
    <n v="220.43"/>
    <n v="238.61"/>
    <x v="4"/>
    <n v="0.51980219588706866"/>
    <x v="1"/>
    <x v="8"/>
    <x v="8"/>
    <s v="Q3"/>
  </r>
  <r>
    <s v="ORD100089"/>
    <x v="595"/>
    <s v="CUST1562"/>
    <s v="Meera Rao"/>
    <x v="0"/>
    <s v="Maharashtra"/>
    <s v="Nashik"/>
    <x v="2"/>
    <s v="Living Room"/>
    <x v="4"/>
    <n v="1"/>
    <n v="4844.5200000000004"/>
    <n v="0.05"/>
    <n v="4602.29"/>
    <n v="2950.4"/>
    <n v="1651.89"/>
    <x v="0"/>
    <n v="0.35892783809799039"/>
    <x v="1"/>
    <x v="8"/>
    <x v="8"/>
    <s v="Q3"/>
  </r>
  <r>
    <s v="ORD100598"/>
    <x v="596"/>
    <s v="CUST1114"/>
    <s v="Rohan Naidu"/>
    <x v="0"/>
    <s v="Maharashtra"/>
    <s v="Nagpur"/>
    <x v="0"/>
    <s v="Computers"/>
    <x v="0"/>
    <n v="2"/>
    <n v="57937.01"/>
    <n v="0"/>
    <n v="115874.02"/>
    <n v="103741.86"/>
    <n v="12132.16"/>
    <x v="2"/>
    <n v="0.1047012954241166"/>
    <x v="1"/>
    <x v="8"/>
    <x v="8"/>
    <s v="Q3"/>
  </r>
  <r>
    <s v="ORD100167"/>
    <x v="596"/>
    <s v="CUST1253"/>
    <s v="Vikram Malhotra"/>
    <x v="2"/>
    <s v="Telangana"/>
    <s v="Karimnagar"/>
    <x v="1"/>
    <s v="Stationery"/>
    <x v="1"/>
    <n v="5"/>
    <n v="257.83999999999997"/>
    <n v="0"/>
    <n v="1289.2"/>
    <n v="491.69"/>
    <n v="797.51"/>
    <x v="3"/>
    <n v="0.61860843934222776"/>
    <x v="1"/>
    <x v="8"/>
    <x v="8"/>
    <s v="Q3"/>
  </r>
  <r>
    <s v="ORD100061"/>
    <x v="596"/>
    <s v="CUST1476"/>
    <s v="Rahul Sharma"/>
    <x v="2"/>
    <s v="Telangana"/>
    <s v="Hyderabad"/>
    <x v="3"/>
    <s v="Kitchen"/>
    <x v="7"/>
    <n v="1"/>
    <n v="1763.19"/>
    <n v="0.05"/>
    <n v="1675.03"/>
    <n v="927.21"/>
    <n v="747.82"/>
    <x v="0"/>
    <n v="0.44645170534259088"/>
    <x v="1"/>
    <x v="8"/>
    <x v="8"/>
    <s v="Q3"/>
  </r>
  <r>
    <s v="ORD101648"/>
    <x v="596"/>
    <s v="CUST1542"/>
    <s v="Rohan Nair"/>
    <x v="2"/>
    <s v="Karnataka"/>
    <s v="Mysuru"/>
    <x v="1"/>
    <s v="Stationery"/>
    <x v="17"/>
    <n v="3"/>
    <n v="289.74"/>
    <n v="0.1"/>
    <n v="782.3"/>
    <n v="351.61"/>
    <n v="430.69"/>
    <x v="3"/>
    <n v="0.55054326984532787"/>
    <x v="1"/>
    <x v="8"/>
    <x v="8"/>
    <s v="Q3"/>
  </r>
  <r>
    <s v="ORD100067"/>
    <x v="597"/>
    <s v="CUST1399"/>
    <s v="Arjun Das"/>
    <x v="2"/>
    <s v="Karnataka"/>
    <s v="Bengaluru"/>
    <x v="3"/>
    <s v="Kitchen"/>
    <x v="7"/>
    <n v="3"/>
    <n v="1835.74"/>
    <n v="0.1"/>
    <n v="4956.5"/>
    <n v="3036.45"/>
    <n v="1920.05"/>
    <x v="2"/>
    <n v="0.38738020780792898"/>
    <x v="1"/>
    <x v="8"/>
    <x v="8"/>
    <s v="Q3"/>
  </r>
  <r>
    <s v="ORD102395"/>
    <x v="597"/>
    <s v="CUST1578"/>
    <s v="Arjun Malhotra"/>
    <x v="2"/>
    <s v="Telangana"/>
    <s v="Hyderabad"/>
    <x v="2"/>
    <s v="Office"/>
    <x v="14"/>
    <n v="2"/>
    <n v="8045.39"/>
    <n v="0.05"/>
    <n v="15286.24"/>
    <n v="10560.63"/>
    <n v="4725.6099999999997"/>
    <x v="3"/>
    <n v="0.30914142392112121"/>
    <x v="1"/>
    <x v="8"/>
    <x v="8"/>
    <s v="Q3"/>
  </r>
  <r>
    <s v="ORD102500"/>
    <x v="597"/>
    <s v="CUST1321"/>
    <s v="Sanjana Patel"/>
    <x v="2"/>
    <s v="Telangana"/>
    <s v="Hyderabad"/>
    <x v="0"/>
    <s v="Audio"/>
    <x v="8"/>
    <n v="2"/>
    <n v="3092.5"/>
    <n v="0.1"/>
    <n v="5566.5"/>
    <n v="3339.12"/>
    <n v="2227.38"/>
    <x v="1"/>
    <n v="0.40014012395580711"/>
    <x v="1"/>
    <x v="8"/>
    <x v="8"/>
    <s v="Q3"/>
  </r>
  <r>
    <s v="ORD101379"/>
    <x v="597"/>
    <s v="CUST1345"/>
    <s v="Aisha Sharma"/>
    <x v="0"/>
    <s v="Maharashtra"/>
    <s v="Pune"/>
    <x v="1"/>
    <s v="Storage"/>
    <x v="2"/>
    <n v="4"/>
    <n v="717.36"/>
    <n v="0.05"/>
    <n v="2725.97"/>
    <n v="1356.99"/>
    <n v="1368.98"/>
    <x v="2"/>
    <n v="0.50219921715939653"/>
    <x v="1"/>
    <x v="8"/>
    <x v="8"/>
    <s v="Q3"/>
  </r>
  <r>
    <s v="ORD100926"/>
    <x v="597"/>
    <s v="CUST1383"/>
    <s v="Meera Das"/>
    <x v="2"/>
    <s v="Telangana"/>
    <s v="Karimnagar"/>
    <x v="2"/>
    <s v="Living Room"/>
    <x v="4"/>
    <n v="3"/>
    <n v="4709.43"/>
    <n v="0.1"/>
    <n v="12715.46"/>
    <n v="8400.57"/>
    <n v="4314.8900000000003"/>
    <x v="0"/>
    <n v="0.33934202930920321"/>
    <x v="1"/>
    <x v="8"/>
    <x v="8"/>
    <s v="Q3"/>
  </r>
  <r>
    <s v="ORD100966"/>
    <x v="597"/>
    <s v="CUST1415"/>
    <s v="Kavya Malhotra"/>
    <x v="3"/>
    <s v="West Bengal"/>
    <s v="Siliguri"/>
    <x v="1"/>
    <s v="Stationery"/>
    <x v="17"/>
    <n v="2"/>
    <n v="295.33"/>
    <n v="0.05"/>
    <n v="561.13"/>
    <n v="244.8"/>
    <n v="316.33"/>
    <x v="2"/>
    <n v="0.5637374583429865"/>
    <x v="1"/>
    <x v="8"/>
    <x v="8"/>
    <s v="Q3"/>
  </r>
  <r>
    <s v="ORD101193"/>
    <x v="598"/>
    <s v="CUST1450"/>
    <s v="Priya Malhotra"/>
    <x v="2"/>
    <s v="Tamil Nadu"/>
    <s v="Coimbatore"/>
    <x v="1"/>
    <s v="Stationery"/>
    <x v="1"/>
    <n v="2"/>
    <n v="256.04000000000002"/>
    <n v="0.05"/>
    <n v="486.48"/>
    <n v="197.41"/>
    <n v="289.07"/>
    <x v="0"/>
    <n v="0.59420736720934053"/>
    <x v="1"/>
    <x v="8"/>
    <x v="8"/>
    <s v="Q3"/>
  </r>
  <r>
    <s v="ORD101431"/>
    <x v="598"/>
    <s v="CUST1011"/>
    <s v="Aditya Nair"/>
    <x v="0"/>
    <s v="Maharashtra"/>
    <s v="Mumbai"/>
    <x v="0"/>
    <s v="Computers"/>
    <x v="3"/>
    <n v="3"/>
    <n v="16921.87"/>
    <n v="0"/>
    <n v="50765.61"/>
    <n v="36619.870000000003"/>
    <n v="14145.74"/>
    <x v="1"/>
    <n v="0.27864808479598691"/>
    <x v="1"/>
    <x v="8"/>
    <x v="8"/>
    <s v="Q3"/>
  </r>
  <r>
    <s v="ORD102114"/>
    <x v="599"/>
    <s v="CUST1596"/>
    <s v="Rahul Naidu"/>
    <x v="0"/>
    <s v="Maharashtra"/>
    <s v="Pune"/>
    <x v="3"/>
    <s v="Cleaning"/>
    <x v="15"/>
    <n v="2"/>
    <n v="7436.96"/>
    <n v="0.15"/>
    <n v="12642.83"/>
    <n v="9866.4699999999993"/>
    <n v="2776.36"/>
    <x v="0"/>
    <n v="0.21959956750189641"/>
    <x v="1"/>
    <x v="8"/>
    <x v="8"/>
    <s v="Q3"/>
  </r>
  <r>
    <s v="ORD101753"/>
    <x v="599"/>
    <s v="CUST1572"/>
    <s v="Aarav Singh"/>
    <x v="0"/>
    <s v="Maharashtra"/>
    <s v="Mumbai"/>
    <x v="2"/>
    <s v="Office"/>
    <x v="14"/>
    <n v="2"/>
    <n v="8051.44"/>
    <n v="0.15"/>
    <n v="13687.45"/>
    <n v="10609.24"/>
    <n v="3078.21"/>
    <x v="4"/>
    <n v="0.22489287632100941"/>
    <x v="1"/>
    <x v="8"/>
    <x v="8"/>
    <s v="Q3"/>
  </r>
  <r>
    <s v="ORD100286"/>
    <x v="599"/>
    <s v="CUST1411"/>
    <s v="Kavya Mehta"/>
    <x v="2"/>
    <s v="Karnataka"/>
    <s v="Hubballi"/>
    <x v="0"/>
    <s v="Accessories"/>
    <x v="5"/>
    <n v="5"/>
    <n v="2369.64"/>
    <n v="0.1"/>
    <n v="10663.38"/>
    <n v="6616.52"/>
    <n v="4046.86"/>
    <x v="4"/>
    <n v="0.37951006153771127"/>
    <x v="1"/>
    <x v="8"/>
    <x v="8"/>
    <s v="Q3"/>
  </r>
  <r>
    <s v="ORD100917"/>
    <x v="599"/>
    <s v="CUST1556"/>
    <s v="Diya Joshi"/>
    <x v="2"/>
    <s v="Tamil Nadu"/>
    <s v="Madurai"/>
    <x v="3"/>
    <s v="Cleaning"/>
    <x v="15"/>
    <n v="2"/>
    <n v="7690.57"/>
    <n v="0.05"/>
    <n v="14612.08"/>
    <n v="9998.2000000000007"/>
    <n v="4613.88"/>
    <x v="1"/>
    <n v="0.31575792084357601"/>
    <x v="1"/>
    <x v="8"/>
    <x v="8"/>
    <s v="Q3"/>
  </r>
  <r>
    <s v="ORD101056"/>
    <x v="599"/>
    <s v="CUST1037"/>
    <s v="Ananya Singh"/>
    <x v="0"/>
    <s v="Maharashtra"/>
    <s v="Nagpur"/>
    <x v="3"/>
    <s v="Cleaning"/>
    <x v="15"/>
    <n v="2"/>
    <n v="7400.18"/>
    <n v="0.15"/>
    <n v="12580.31"/>
    <n v="9872.24"/>
    <n v="2708.07"/>
    <x v="0"/>
    <n v="0.21526258096978529"/>
    <x v="1"/>
    <x v="8"/>
    <x v="8"/>
    <s v="Q3"/>
  </r>
  <r>
    <s v="ORD100974"/>
    <x v="600"/>
    <s v="CUST1275"/>
    <s v="Sanjana Mehta"/>
    <x v="2"/>
    <s v="Tamil Nadu"/>
    <s v="Coimbatore"/>
    <x v="0"/>
    <s v="Audio"/>
    <x v="11"/>
    <n v="6"/>
    <n v="1943.09"/>
    <n v="0.1"/>
    <n v="10492.69"/>
    <n v="6692.43"/>
    <n v="3800.26"/>
    <x v="3"/>
    <n v="0.36218167123969158"/>
    <x v="1"/>
    <x v="8"/>
    <x v="8"/>
    <s v="Q3"/>
  </r>
  <r>
    <s v="ORD101144"/>
    <x v="600"/>
    <s v="CUST1643"/>
    <s v="Aarav Verma"/>
    <x v="2"/>
    <s v="Telangana"/>
    <s v="Hyderabad"/>
    <x v="0"/>
    <s v="Computers"/>
    <x v="0"/>
    <n v="1"/>
    <n v="55515.34"/>
    <n v="0.15"/>
    <n v="47188.04"/>
    <n v="49753.04"/>
    <n v="-2565"/>
    <x v="0"/>
    <n v="-5.4356993848441247E-2"/>
    <x v="1"/>
    <x v="8"/>
    <x v="8"/>
    <s v="Q3"/>
  </r>
  <r>
    <s v="ORD101667"/>
    <x v="600"/>
    <s v="CUST1392"/>
    <s v="Pooja Patel"/>
    <x v="0"/>
    <s v="Maharashtra"/>
    <s v="Nagpur"/>
    <x v="1"/>
    <s v="Stationery"/>
    <x v="1"/>
    <n v="3"/>
    <n v="245.03"/>
    <n v="0"/>
    <n v="735.09"/>
    <n v="280.51"/>
    <n v="454.58"/>
    <x v="1"/>
    <n v="0.61840046796990844"/>
    <x v="1"/>
    <x v="8"/>
    <x v="8"/>
    <s v="Q3"/>
  </r>
  <r>
    <s v="ORD102236"/>
    <x v="600"/>
    <s v="CUST1183"/>
    <s v="Ananya Naidu"/>
    <x v="2"/>
    <s v="Tamil Nadu"/>
    <s v="Chennai"/>
    <x v="1"/>
    <s v="Stationery"/>
    <x v="1"/>
    <n v="3"/>
    <n v="263.42"/>
    <n v="0"/>
    <n v="790.26"/>
    <n v="310.93"/>
    <n v="479.33"/>
    <x v="1"/>
    <n v="0.60654721230987274"/>
    <x v="1"/>
    <x v="8"/>
    <x v="8"/>
    <s v="Q3"/>
  </r>
  <r>
    <s v="ORD100039"/>
    <x v="601"/>
    <s v="CUST1048"/>
    <s v="Kavya Kumar"/>
    <x v="2"/>
    <s v="Tamil Nadu"/>
    <s v="Madurai"/>
    <x v="3"/>
    <s v="Cleaning"/>
    <x v="12"/>
    <n v="3"/>
    <n v="13050.04"/>
    <n v="0.15"/>
    <n v="33277.599999999999"/>
    <n v="28487.82"/>
    <n v="4789.78"/>
    <x v="0"/>
    <n v="0.1439340577445489"/>
    <x v="1"/>
    <x v="8"/>
    <x v="8"/>
    <s v="Q3"/>
  </r>
  <r>
    <s v="ORD100913"/>
    <x v="601"/>
    <s v="CUST1189"/>
    <s v="Rahul Gupta"/>
    <x v="2"/>
    <s v="Karnataka"/>
    <s v="Hubballi"/>
    <x v="1"/>
    <s v="Stationery"/>
    <x v="17"/>
    <n v="2"/>
    <n v="285.38"/>
    <n v="0.15"/>
    <n v="485.15"/>
    <n v="230.67"/>
    <n v="254.48"/>
    <x v="0"/>
    <n v="0.52453880243223749"/>
    <x v="1"/>
    <x v="8"/>
    <x v="8"/>
    <s v="Q3"/>
  </r>
  <r>
    <s v="ORD100172"/>
    <x v="601"/>
    <s v="CUST1246"/>
    <s v="Rahul Mehta"/>
    <x v="3"/>
    <s v="West Bengal"/>
    <s v="Kolkata"/>
    <x v="2"/>
    <s v="Office"/>
    <x v="14"/>
    <n v="1"/>
    <n v="8435.61"/>
    <n v="0.05"/>
    <n v="8013.83"/>
    <n v="5940.74"/>
    <n v="2073.09"/>
    <x v="2"/>
    <n v="0.2586890413198184"/>
    <x v="1"/>
    <x v="8"/>
    <x v="8"/>
    <s v="Q3"/>
  </r>
  <r>
    <s v="ORD100539"/>
    <x v="601"/>
    <s v="CUST1384"/>
    <s v="Arjun Das"/>
    <x v="1"/>
    <s v="Delhi"/>
    <s v="New Delhi"/>
    <x v="2"/>
    <s v="Office"/>
    <x v="10"/>
    <n v="1"/>
    <n v="6645.47"/>
    <n v="0.15"/>
    <n v="5648.65"/>
    <n v="4249.4399999999996"/>
    <n v="1399.21"/>
    <x v="1"/>
    <n v="0.24770697423278129"/>
    <x v="1"/>
    <x v="8"/>
    <x v="8"/>
    <s v="Q3"/>
  </r>
  <r>
    <s v="ORD100533"/>
    <x v="602"/>
    <s v="CUST1546"/>
    <s v="Ishaan Malhotra"/>
    <x v="3"/>
    <s v="West Bengal"/>
    <s v="Siliguri"/>
    <x v="3"/>
    <s v="Cleaning"/>
    <x v="15"/>
    <n v="3"/>
    <n v="7700.75"/>
    <n v="0.1"/>
    <n v="20792.03"/>
    <n v="15234.37"/>
    <n v="5557.66"/>
    <x v="1"/>
    <n v="0.26729761355673298"/>
    <x v="1"/>
    <x v="8"/>
    <x v="8"/>
    <s v="Q3"/>
  </r>
  <r>
    <s v="ORD100223"/>
    <x v="602"/>
    <s v="CUST1115"/>
    <s v="Aarav Malhotra"/>
    <x v="2"/>
    <s v="Tamil Nadu"/>
    <s v="Chennai"/>
    <x v="2"/>
    <s v="Living Room"/>
    <x v="16"/>
    <n v="2"/>
    <n v="4123.45"/>
    <n v="0.05"/>
    <n v="7834.55"/>
    <n v="5217.9799999999996"/>
    <n v="2616.5700000000002"/>
    <x v="0"/>
    <n v="0.33397833953449779"/>
    <x v="1"/>
    <x v="8"/>
    <x v="8"/>
    <s v="Q3"/>
  </r>
  <r>
    <s v="ORD100219"/>
    <x v="602"/>
    <s v="CUST1444"/>
    <s v="Kavya Iyer"/>
    <x v="2"/>
    <s v="Telangana"/>
    <s v="Karimnagar"/>
    <x v="2"/>
    <s v="Living Room"/>
    <x v="4"/>
    <n v="6"/>
    <n v="4871.16"/>
    <n v="0.05"/>
    <n v="27765.61"/>
    <n v="17472.490000000002"/>
    <n v="10293.120000000001"/>
    <x v="3"/>
    <n v="0.37071470787063571"/>
    <x v="1"/>
    <x v="8"/>
    <x v="8"/>
    <s v="Q3"/>
  </r>
  <r>
    <s v="ORD100318"/>
    <x v="603"/>
    <s v="CUST1448"/>
    <s v="Meera Verma"/>
    <x v="3"/>
    <s v="West Bengal"/>
    <s v="Kolkata"/>
    <x v="0"/>
    <s v="Audio"/>
    <x v="11"/>
    <n v="4"/>
    <n v="1973.41"/>
    <n v="0"/>
    <n v="7893.64"/>
    <n v="4714.1000000000004"/>
    <n v="3179.54"/>
    <x v="2"/>
    <n v="0.40279769535980858"/>
    <x v="1"/>
    <x v="8"/>
    <x v="8"/>
    <s v="Q3"/>
  </r>
  <r>
    <s v="ORD100836"/>
    <x v="603"/>
    <s v="CUST1041"/>
    <s v="Pooja Singh"/>
    <x v="2"/>
    <s v="Tamil Nadu"/>
    <s v="Chennai"/>
    <x v="0"/>
    <s v="Computers"/>
    <x v="0"/>
    <n v="1"/>
    <n v="57272.33"/>
    <n v="0.05"/>
    <n v="54408.71"/>
    <n v="50689.56"/>
    <n v="3719.15"/>
    <x v="0"/>
    <n v="6.835578347657939E-2"/>
    <x v="1"/>
    <x v="8"/>
    <x v="8"/>
    <s v="Q3"/>
  </r>
  <r>
    <s v="ORD102283"/>
    <x v="603"/>
    <s v="CUST1541"/>
    <s v="Vikram Kumar"/>
    <x v="2"/>
    <s v="Telangana"/>
    <s v="Hyderabad"/>
    <x v="0"/>
    <s v="Accessories"/>
    <x v="5"/>
    <n v="2"/>
    <n v="2627.92"/>
    <n v="0.1"/>
    <n v="4730.26"/>
    <n v="2952.55"/>
    <n v="1777.71"/>
    <x v="4"/>
    <n v="0.37581655131007602"/>
    <x v="1"/>
    <x v="8"/>
    <x v="8"/>
    <s v="Q3"/>
  </r>
  <r>
    <s v="ORD102126"/>
    <x v="603"/>
    <s v="CUST1603"/>
    <s v="Sneha Patel"/>
    <x v="2"/>
    <s v="Telangana"/>
    <s v="Karimnagar"/>
    <x v="2"/>
    <s v="Office"/>
    <x v="10"/>
    <n v="3"/>
    <n v="6728.16"/>
    <n v="0.1"/>
    <n v="18166.03"/>
    <n v="12933.98"/>
    <n v="5232.05"/>
    <x v="1"/>
    <n v="0.28801284595478488"/>
    <x v="1"/>
    <x v="8"/>
    <x v="8"/>
    <s v="Q3"/>
  </r>
  <r>
    <s v="ORD100820"/>
    <x v="603"/>
    <s v="CUST1113"/>
    <s v="Vikram Naidu"/>
    <x v="2"/>
    <s v="Tamil Nadu"/>
    <s v="Salem"/>
    <x v="1"/>
    <s v="Stationery"/>
    <x v="17"/>
    <n v="2"/>
    <n v="301.33"/>
    <n v="0"/>
    <n v="602.66"/>
    <n v="253.88"/>
    <n v="348.78"/>
    <x v="2"/>
    <n v="0.57873427803404909"/>
    <x v="1"/>
    <x v="8"/>
    <x v="8"/>
    <s v="Q3"/>
  </r>
  <r>
    <s v="ORD102281"/>
    <x v="604"/>
    <s v="CUST1480"/>
    <s v="Meera Das"/>
    <x v="0"/>
    <s v="Maharashtra"/>
    <s v="Mumbai"/>
    <x v="3"/>
    <s v="Cleaning"/>
    <x v="12"/>
    <n v="2"/>
    <n v="12281.49"/>
    <n v="0.1"/>
    <n v="22106.68"/>
    <n v="18242.61"/>
    <n v="3864.07"/>
    <x v="0"/>
    <n v="0.17479196333415961"/>
    <x v="1"/>
    <x v="8"/>
    <x v="8"/>
    <s v="Q3"/>
  </r>
  <r>
    <s v="ORD102404"/>
    <x v="604"/>
    <s v="CUST1571"/>
    <s v="Neha Iyer"/>
    <x v="1"/>
    <s v="Delhi"/>
    <s v="Delhi"/>
    <x v="3"/>
    <s v="Kitchen"/>
    <x v="13"/>
    <n v="4"/>
    <n v="3115.6"/>
    <n v="0.1"/>
    <n v="11216.16"/>
    <n v="6988.63"/>
    <n v="4227.53"/>
    <x v="4"/>
    <n v="0.37691420236515882"/>
    <x v="1"/>
    <x v="8"/>
    <x v="8"/>
    <s v="Q3"/>
  </r>
  <r>
    <s v="ORD100553"/>
    <x v="605"/>
    <s v="CUST1155"/>
    <s v="Vikram Nair"/>
    <x v="2"/>
    <s v="Tamil Nadu"/>
    <s v="Madurai"/>
    <x v="3"/>
    <s v="Kitchen"/>
    <x v="13"/>
    <n v="2"/>
    <n v="3259.5"/>
    <n v="0.1"/>
    <n v="5867.1"/>
    <n v="3709.44"/>
    <n v="2157.66"/>
    <x v="3"/>
    <n v="0.36775579076545478"/>
    <x v="1"/>
    <x v="8"/>
    <x v="8"/>
    <s v="Q3"/>
  </r>
  <r>
    <s v="ORD102124"/>
    <x v="606"/>
    <s v="CUST1171"/>
    <s v="Ishaan Malhotra"/>
    <x v="3"/>
    <s v="West Bengal"/>
    <s v="Durgapur"/>
    <x v="0"/>
    <s v="Accessories"/>
    <x v="5"/>
    <n v="2"/>
    <n v="2502.29"/>
    <n v="0.1"/>
    <n v="4504.12"/>
    <n v="2846.98"/>
    <n v="1657.14"/>
    <x v="0"/>
    <n v="0.36791648535118959"/>
    <x v="1"/>
    <x v="8"/>
    <x v="8"/>
    <s v="Q3"/>
  </r>
  <r>
    <s v="ORD102318"/>
    <x v="606"/>
    <s v="CUST1126"/>
    <s v="Pooja Das"/>
    <x v="0"/>
    <s v="Maharashtra"/>
    <s v="Pune"/>
    <x v="0"/>
    <s v="Computers"/>
    <x v="3"/>
    <n v="3"/>
    <n v="15178.35"/>
    <n v="0"/>
    <n v="45535.05"/>
    <n v="34490.79"/>
    <n v="11044.26"/>
    <x v="1"/>
    <n v="0.2425441500558361"/>
    <x v="1"/>
    <x v="8"/>
    <x v="8"/>
    <s v="Q3"/>
  </r>
  <r>
    <s v="ORD102000"/>
    <x v="606"/>
    <s v="CUST1491"/>
    <s v="Aditya Patel"/>
    <x v="2"/>
    <s v="Tamil Nadu"/>
    <s v="Madurai"/>
    <x v="1"/>
    <s v="Stationery"/>
    <x v="1"/>
    <n v="3"/>
    <n v="234.65"/>
    <n v="0.05"/>
    <n v="668.75"/>
    <n v="277.04000000000002"/>
    <n v="391.71"/>
    <x v="2"/>
    <n v="0.58573457943925233"/>
    <x v="1"/>
    <x v="8"/>
    <x v="8"/>
    <s v="Q3"/>
  </r>
  <r>
    <s v="ORD102152"/>
    <x v="607"/>
    <s v="CUST1563"/>
    <s v="Priya Verma"/>
    <x v="3"/>
    <s v="West Bengal"/>
    <s v="Siliguri"/>
    <x v="1"/>
    <s v="Storage"/>
    <x v="2"/>
    <n v="2"/>
    <n v="726.17"/>
    <n v="0.05"/>
    <n v="1379.72"/>
    <n v="656.76"/>
    <n v="722.96"/>
    <x v="0"/>
    <n v="0.52399037485866695"/>
    <x v="1"/>
    <x v="8"/>
    <x v="8"/>
    <s v="Q3"/>
  </r>
  <r>
    <s v="ORD100831"/>
    <x v="607"/>
    <s v="CUST1564"/>
    <s v="Aarav Reddy"/>
    <x v="2"/>
    <s v="Telangana"/>
    <s v="Warangal"/>
    <x v="0"/>
    <s v="Computers"/>
    <x v="3"/>
    <n v="1"/>
    <n v="15819.75"/>
    <n v="0.1"/>
    <n v="14237.77"/>
    <n v="11552.09"/>
    <n v="2685.68"/>
    <x v="0"/>
    <n v="0.18863066336933379"/>
    <x v="1"/>
    <x v="8"/>
    <x v="8"/>
    <s v="Q3"/>
  </r>
  <r>
    <s v="ORD101281"/>
    <x v="607"/>
    <s v="CUST1048"/>
    <s v="Vikram Mehta"/>
    <x v="3"/>
    <s v="West Bengal"/>
    <s v="Kolkata"/>
    <x v="0"/>
    <s v="Computers"/>
    <x v="0"/>
    <n v="4"/>
    <n v="61795.51"/>
    <n v="0.15"/>
    <n v="210104.73"/>
    <n v="212817.89"/>
    <n v="-2713.16"/>
    <x v="0"/>
    <n v="-1.291336944199209E-2"/>
    <x v="1"/>
    <x v="8"/>
    <x v="8"/>
    <s v="Q3"/>
  </r>
  <r>
    <s v="ORD102442"/>
    <x v="607"/>
    <s v="CUST1395"/>
    <s v="Rohan Singh"/>
    <x v="2"/>
    <s v="Karnataka"/>
    <s v="Hubballi"/>
    <x v="1"/>
    <s v="Storage"/>
    <x v="2"/>
    <n v="2"/>
    <n v="660.32"/>
    <n v="0.2"/>
    <n v="1056.51"/>
    <n v="626.70000000000005"/>
    <n v="429.81"/>
    <x v="4"/>
    <n v="0.40682056961126728"/>
    <x v="1"/>
    <x v="8"/>
    <x v="8"/>
    <s v="Q3"/>
  </r>
  <r>
    <s v="ORD101422"/>
    <x v="608"/>
    <s v="CUST1577"/>
    <s v="Diya Mehta"/>
    <x v="3"/>
    <s v="West Bengal"/>
    <s v="Durgapur"/>
    <x v="2"/>
    <s v="Office"/>
    <x v="10"/>
    <n v="5"/>
    <n v="6850.84"/>
    <n v="0.15"/>
    <n v="29116.07"/>
    <n v="22235.94"/>
    <n v="6880.13"/>
    <x v="1"/>
    <n v="0.23630009132413821"/>
    <x v="1"/>
    <x v="8"/>
    <x v="8"/>
    <s v="Q3"/>
  </r>
  <r>
    <s v="ORD102334"/>
    <x v="609"/>
    <s v="CUST1607"/>
    <s v="Kavya Verma"/>
    <x v="3"/>
    <s v="West Bengal"/>
    <s v="Kolkata"/>
    <x v="3"/>
    <s v="Cleaning"/>
    <x v="15"/>
    <n v="3"/>
    <n v="7773.56"/>
    <n v="0.05"/>
    <n v="22154.65"/>
    <n v="15472.84"/>
    <n v="6681.81"/>
    <x v="2"/>
    <n v="0.30159853574757439"/>
    <x v="1"/>
    <x v="8"/>
    <x v="8"/>
    <s v="Q3"/>
  </r>
  <r>
    <s v="ORD101333"/>
    <x v="609"/>
    <s v="CUST1261"/>
    <s v="Nikhil Nair"/>
    <x v="3"/>
    <s v="West Bengal"/>
    <s v="Durgapur"/>
    <x v="2"/>
    <s v="Living Room"/>
    <x v="16"/>
    <n v="1"/>
    <n v="4091.15"/>
    <n v="0.05"/>
    <n v="3886.59"/>
    <n v="2483.4499999999998"/>
    <n v="1403.14"/>
    <x v="2"/>
    <n v="0.36102084346432223"/>
    <x v="1"/>
    <x v="8"/>
    <x v="8"/>
    <s v="Q3"/>
  </r>
  <r>
    <s v="ORD102293"/>
    <x v="609"/>
    <s v="CUST1356"/>
    <s v="Ananya Gupta"/>
    <x v="0"/>
    <s v="Maharashtra"/>
    <s v="Nashik"/>
    <x v="0"/>
    <s v="Audio"/>
    <x v="8"/>
    <n v="2"/>
    <n v="3064.4"/>
    <n v="0.15"/>
    <n v="5209.4799999999996"/>
    <n v="3229.39"/>
    <n v="1980.09"/>
    <x v="2"/>
    <n v="0.38009359859333369"/>
    <x v="1"/>
    <x v="8"/>
    <x v="8"/>
    <s v="Q3"/>
  </r>
  <r>
    <s v="ORD100357"/>
    <x v="609"/>
    <s v="CUST1243"/>
    <s v="Kavya Rao"/>
    <x v="2"/>
    <s v="Tamil Nadu"/>
    <s v="Coimbatore"/>
    <x v="3"/>
    <s v="Kitchen"/>
    <x v="7"/>
    <n v="3"/>
    <n v="1861.58"/>
    <n v="0.05"/>
    <n v="5305.5"/>
    <n v="2910.68"/>
    <n v="2394.8200000000002"/>
    <x v="3"/>
    <n v="0.45138441240222421"/>
    <x v="1"/>
    <x v="8"/>
    <x v="8"/>
    <s v="Q3"/>
  </r>
  <r>
    <s v="ORD101311"/>
    <x v="610"/>
    <s v="CUST1067"/>
    <s v="Kavya Rao"/>
    <x v="2"/>
    <s v="Karnataka"/>
    <s v="Hubballi"/>
    <x v="1"/>
    <s v="Storage"/>
    <x v="9"/>
    <n v="5"/>
    <n v="479.27"/>
    <n v="0.1"/>
    <n v="2156.7199999999998"/>
    <n v="1063.42"/>
    <n v="1093.3"/>
    <x v="0"/>
    <n v="0.50692718572647355"/>
    <x v="1"/>
    <x v="8"/>
    <x v="8"/>
    <s v="Q3"/>
  </r>
  <r>
    <s v="ORD101893"/>
    <x v="610"/>
    <s v="CUST1096"/>
    <s v="Aditya Sharma"/>
    <x v="2"/>
    <s v="Tamil Nadu"/>
    <s v="Madurai"/>
    <x v="0"/>
    <s v="Accessories"/>
    <x v="6"/>
    <n v="3"/>
    <n v="781.03"/>
    <n v="0.1"/>
    <n v="2108.7800000000002"/>
    <n v="1395.28"/>
    <n v="713.5"/>
    <x v="0"/>
    <n v="0.33834729085063397"/>
    <x v="1"/>
    <x v="8"/>
    <x v="8"/>
    <s v="Q3"/>
  </r>
  <r>
    <s v="ORD101299"/>
    <x v="611"/>
    <s v="CUST1262"/>
    <s v="Nikhil Verma"/>
    <x v="3"/>
    <s v="West Bengal"/>
    <s v="Durgapur"/>
    <x v="0"/>
    <s v="Audio"/>
    <x v="11"/>
    <n v="5"/>
    <n v="1988.38"/>
    <n v="0.1"/>
    <n v="8947.7099999999991"/>
    <n v="5790.7"/>
    <n v="3157.01"/>
    <x v="0"/>
    <n v="0.35282882435841129"/>
    <x v="1"/>
    <x v="8"/>
    <x v="8"/>
    <s v="Q3"/>
  </r>
  <r>
    <s v="ORD101689"/>
    <x v="611"/>
    <s v="CUST1054"/>
    <s v="Varun Iyer"/>
    <x v="3"/>
    <s v="West Bengal"/>
    <s v="Siliguri"/>
    <x v="0"/>
    <s v="Accessories"/>
    <x v="5"/>
    <n v="1"/>
    <n v="2520.92"/>
    <n v="0.15"/>
    <n v="2142.7800000000002"/>
    <n v="1341.49"/>
    <n v="801.29"/>
    <x v="0"/>
    <n v="0.3739487954899709"/>
    <x v="1"/>
    <x v="8"/>
    <x v="8"/>
    <s v="Q3"/>
  </r>
  <r>
    <s v="ORD101592"/>
    <x v="611"/>
    <s v="CUST1389"/>
    <s v="Ananya Mehta"/>
    <x v="0"/>
    <s v="Maharashtra"/>
    <s v="Nashik"/>
    <x v="0"/>
    <s v="Computers"/>
    <x v="0"/>
    <n v="1"/>
    <n v="56209.11"/>
    <n v="0.1"/>
    <n v="50588.2"/>
    <n v="49882.73"/>
    <n v="705.47"/>
    <x v="0"/>
    <n v="1.394534693861414E-2"/>
    <x v="1"/>
    <x v="8"/>
    <x v="8"/>
    <s v="Q3"/>
  </r>
  <r>
    <s v="ORD101653"/>
    <x v="611"/>
    <s v="CUST1512"/>
    <s v="Rohan Kumar"/>
    <x v="1"/>
    <s v="Delhi"/>
    <s v="Delhi"/>
    <x v="2"/>
    <s v="Living Room"/>
    <x v="16"/>
    <n v="4"/>
    <n v="4235.55"/>
    <n v="0.05"/>
    <n v="16095.09"/>
    <n v="11046.73"/>
    <n v="5048.3599999999997"/>
    <x v="0"/>
    <n v="0.31365838898695192"/>
    <x v="1"/>
    <x v="8"/>
    <x v="8"/>
    <s v="Q3"/>
  </r>
  <r>
    <s v="ORD100396"/>
    <x v="612"/>
    <s v="CUST1388"/>
    <s v="Ananya Singh"/>
    <x v="0"/>
    <s v="Maharashtra"/>
    <s v="Nagpur"/>
    <x v="1"/>
    <s v="Storage"/>
    <x v="9"/>
    <n v="3"/>
    <n v="489.79"/>
    <n v="0.05"/>
    <n v="1395.9"/>
    <n v="665.72"/>
    <n v="730.18"/>
    <x v="0"/>
    <n v="0.52308904649330179"/>
    <x v="1"/>
    <x v="8"/>
    <x v="8"/>
    <s v="Q3"/>
  </r>
  <r>
    <s v="ORD100627"/>
    <x v="612"/>
    <s v="CUST1165"/>
    <s v="Varun Mehta"/>
    <x v="1"/>
    <s v="Delhi"/>
    <s v="Delhi"/>
    <x v="3"/>
    <s v="Kitchen"/>
    <x v="7"/>
    <n v="1"/>
    <n v="1722.66"/>
    <n v="0"/>
    <n v="1722.66"/>
    <n v="937.85"/>
    <n v="784.81"/>
    <x v="0"/>
    <n v="0.4555803234532641"/>
    <x v="1"/>
    <x v="8"/>
    <x v="8"/>
    <s v="Q3"/>
  </r>
  <r>
    <s v="ORD102332"/>
    <x v="612"/>
    <s v="CUST1614"/>
    <s v="Ananya Nair"/>
    <x v="0"/>
    <s v="Maharashtra"/>
    <s v="Mumbai"/>
    <x v="1"/>
    <s v="Storage"/>
    <x v="9"/>
    <n v="1"/>
    <n v="491.72"/>
    <n v="0.05"/>
    <n v="467.13"/>
    <n v="226.16"/>
    <n v="240.97"/>
    <x v="0"/>
    <n v="0.51585211825401922"/>
    <x v="1"/>
    <x v="8"/>
    <x v="8"/>
    <s v="Q3"/>
  </r>
  <r>
    <s v="ORD102025"/>
    <x v="612"/>
    <s v="CUST1260"/>
    <s v="Pooja Das"/>
    <x v="2"/>
    <s v="Karnataka"/>
    <s v="Bengaluru"/>
    <x v="1"/>
    <s v="Stationery"/>
    <x v="1"/>
    <n v="5"/>
    <n v="260.17"/>
    <n v="0"/>
    <n v="1300.8499999999999"/>
    <n v="503.36"/>
    <n v="797.49"/>
    <x v="2"/>
    <n v="0.61305300380520433"/>
    <x v="1"/>
    <x v="8"/>
    <x v="8"/>
    <s v="Q3"/>
  </r>
  <r>
    <s v="ORD101254"/>
    <x v="613"/>
    <s v="CUST1454"/>
    <s v="Ananya Mehta"/>
    <x v="2"/>
    <s v="Karnataka"/>
    <s v="Mysuru"/>
    <x v="2"/>
    <s v="Office"/>
    <x v="10"/>
    <n v="4"/>
    <n v="6861"/>
    <n v="0"/>
    <n v="27444"/>
    <n v="17238.310000000001"/>
    <n v="10205.69"/>
    <x v="2"/>
    <n v="0.37187326920274022"/>
    <x v="1"/>
    <x v="8"/>
    <x v="8"/>
    <s v="Q3"/>
  </r>
  <r>
    <s v="ORD102119"/>
    <x v="613"/>
    <s v="CUST1401"/>
    <s v="Ananya Patel"/>
    <x v="1"/>
    <s v="Delhi"/>
    <s v="New Delhi"/>
    <x v="1"/>
    <s v="Storage"/>
    <x v="2"/>
    <n v="4"/>
    <n v="692.66"/>
    <n v="0.15"/>
    <n v="2355.04"/>
    <n v="1260.67"/>
    <n v="1094.3699999999999"/>
    <x v="4"/>
    <n v="0.4646927440722875"/>
    <x v="1"/>
    <x v="8"/>
    <x v="8"/>
    <s v="Q3"/>
  </r>
  <r>
    <s v="ORD101831"/>
    <x v="614"/>
    <s v="CUST1238"/>
    <s v="Varun Sharma"/>
    <x v="2"/>
    <s v="Tamil Nadu"/>
    <s v="Madurai"/>
    <x v="1"/>
    <s v="Stationery"/>
    <x v="1"/>
    <n v="1"/>
    <n v="262.82"/>
    <n v="0"/>
    <n v="262.82"/>
    <n v="96.36"/>
    <n v="166.46"/>
    <x v="3"/>
    <n v="0.63336123582680171"/>
    <x v="1"/>
    <x v="8"/>
    <x v="8"/>
    <s v="Q3"/>
  </r>
  <r>
    <s v="ORD102166"/>
    <x v="614"/>
    <s v="CUST1067"/>
    <s v="Kavya Iyer"/>
    <x v="2"/>
    <s v="Tamil Nadu"/>
    <s v="Salem"/>
    <x v="0"/>
    <s v="Accessories"/>
    <x v="6"/>
    <n v="1"/>
    <n v="786.89"/>
    <n v="0.1"/>
    <n v="708.2"/>
    <n v="486.08"/>
    <n v="222.12"/>
    <x v="1"/>
    <n v="0.31364021462863589"/>
    <x v="1"/>
    <x v="8"/>
    <x v="8"/>
    <s v="Q3"/>
  </r>
  <r>
    <s v="ORD100204"/>
    <x v="614"/>
    <s v="CUST1034"/>
    <s v="Priya Mehta"/>
    <x v="2"/>
    <s v="Tamil Nadu"/>
    <s v="Coimbatore"/>
    <x v="2"/>
    <s v="Office"/>
    <x v="14"/>
    <n v="4"/>
    <n v="8393.3799999999992"/>
    <n v="0"/>
    <n v="33573.519999999997"/>
    <n v="23643.01"/>
    <n v="9930.51"/>
    <x v="0"/>
    <n v="0.29578399881811618"/>
    <x v="1"/>
    <x v="8"/>
    <x v="8"/>
    <s v="Q3"/>
  </r>
  <r>
    <s v="ORD102349"/>
    <x v="615"/>
    <s v="CUST1589"/>
    <s v="Ishaan Verma"/>
    <x v="2"/>
    <s v="Telangana"/>
    <s v="Hyderabad"/>
    <x v="1"/>
    <s v="Storage"/>
    <x v="9"/>
    <n v="3"/>
    <n v="527.39"/>
    <n v="0"/>
    <n v="1582.17"/>
    <n v="737.94"/>
    <n v="844.23"/>
    <x v="1"/>
    <n v="0.53358994292648698"/>
    <x v="1"/>
    <x v="8"/>
    <x v="8"/>
    <s v="Q3"/>
  </r>
  <r>
    <s v="ORD101457"/>
    <x v="615"/>
    <s v="CUST1023"/>
    <s v="Pooja Malhotra"/>
    <x v="2"/>
    <s v="Karnataka"/>
    <s v="Bengaluru"/>
    <x v="2"/>
    <s v="Living Room"/>
    <x v="16"/>
    <n v="4"/>
    <n v="4134.93"/>
    <n v="0.05"/>
    <n v="15712.73"/>
    <n v="10355.14"/>
    <n v="5357.59"/>
    <x v="2"/>
    <n v="0.34097130161340522"/>
    <x v="1"/>
    <x v="8"/>
    <x v="8"/>
    <s v="Q3"/>
  </r>
  <r>
    <s v="ORD101212"/>
    <x v="615"/>
    <s v="CUST1642"/>
    <s v="Nikhil Patel"/>
    <x v="3"/>
    <s v="West Bengal"/>
    <s v="Siliguri"/>
    <x v="0"/>
    <s v="Accessories"/>
    <x v="5"/>
    <n v="3"/>
    <n v="2476.21"/>
    <n v="0.1"/>
    <n v="6685.77"/>
    <n v="4112.91"/>
    <n v="2572.86"/>
    <x v="2"/>
    <n v="0.38482628029381799"/>
    <x v="1"/>
    <x v="8"/>
    <x v="8"/>
    <s v="Q3"/>
  </r>
  <r>
    <s v="ORD102123"/>
    <x v="616"/>
    <s v="CUST1237"/>
    <s v="Kavya Naidu"/>
    <x v="0"/>
    <s v="Maharashtra"/>
    <s v="Nagpur"/>
    <x v="2"/>
    <s v="Office"/>
    <x v="14"/>
    <n v="2"/>
    <n v="8934.2999999999993"/>
    <n v="0"/>
    <n v="17868.599999999999"/>
    <n v="12214.18"/>
    <n v="5654.42"/>
    <x v="0"/>
    <n v="0.31644448921571922"/>
    <x v="1"/>
    <x v="8"/>
    <x v="8"/>
    <s v="Q3"/>
  </r>
  <r>
    <s v="ORD101482"/>
    <x v="616"/>
    <s v="CUST1411"/>
    <s v="Pooja Mehta"/>
    <x v="2"/>
    <s v="Tamil Nadu"/>
    <s v="Salem"/>
    <x v="1"/>
    <s v="Storage"/>
    <x v="2"/>
    <n v="3"/>
    <n v="722.74"/>
    <n v="0.15"/>
    <n v="1842.99"/>
    <n v="1008.13"/>
    <n v="834.86"/>
    <x v="3"/>
    <n v="0.45299214862804471"/>
    <x v="1"/>
    <x v="8"/>
    <x v="8"/>
    <s v="Q3"/>
  </r>
  <r>
    <s v="ORD102197"/>
    <x v="617"/>
    <s v="CUST1043"/>
    <s v="Kavya Joshi"/>
    <x v="3"/>
    <s v="West Bengal"/>
    <s v="Kolkata"/>
    <x v="3"/>
    <s v="Kitchen"/>
    <x v="7"/>
    <n v="3"/>
    <n v="1894.93"/>
    <n v="0.1"/>
    <n v="5116.3100000000004"/>
    <n v="3110.29"/>
    <n v="2006.02"/>
    <x v="3"/>
    <n v="0.39208335695061469"/>
    <x v="1"/>
    <x v="8"/>
    <x v="8"/>
    <s v="Q3"/>
  </r>
  <r>
    <s v="ORD102209"/>
    <x v="617"/>
    <s v="CUST1377"/>
    <s v="Neha Patel"/>
    <x v="1"/>
    <s v="Delhi"/>
    <s v="Delhi"/>
    <x v="0"/>
    <s v="Accessories"/>
    <x v="6"/>
    <n v="2"/>
    <n v="773.8"/>
    <n v="0.05"/>
    <n v="1470.22"/>
    <n v="962.95"/>
    <n v="507.27"/>
    <x v="0"/>
    <n v="0.34502999551087588"/>
    <x v="1"/>
    <x v="8"/>
    <x v="8"/>
    <s v="Q3"/>
  </r>
  <r>
    <s v="ORD102214"/>
    <x v="617"/>
    <s v="CUST1468"/>
    <s v="Diya Reddy"/>
    <x v="0"/>
    <s v="Maharashtra"/>
    <s v="Nagpur"/>
    <x v="1"/>
    <s v="Storage"/>
    <x v="2"/>
    <n v="5"/>
    <n v="705"/>
    <n v="0"/>
    <n v="3525"/>
    <n v="1710.96"/>
    <n v="1814.04"/>
    <x v="1"/>
    <n v="0.51462127659574464"/>
    <x v="1"/>
    <x v="8"/>
    <x v="8"/>
    <s v="Q3"/>
  </r>
  <r>
    <s v="ORD100654"/>
    <x v="617"/>
    <s v="CUST1197"/>
    <s v="Neha Singh"/>
    <x v="2"/>
    <s v="Tamil Nadu"/>
    <s v="Salem"/>
    <x v="0"/>
    <s v="Accessories"/>
    <x v="5"/>
    <n v="2"/>
    <n v="2547.61"/>
    <n v="0"/>
    <n v="5095.22"/>
    <n v="2887.34"/>
    <n v="2207.88"/>
    <x v="1"/>
    <n v="0.43332378189754323"/>
    <x v="1"/>
    <x v="8"/>
    <x v="8"/>
    <s v="Q3"/>
  </r>
  <r>
    <s v="ORD101060"/>
    <x v="617"/>
    <s v="CUST1357"/>
    <s v="Sanjana Das"/>
    <x v="3"/>
    <s v="West Bengal"/>
    <s v="Kolkata"/>
    <x v="2"/>
    <s v="Living Room"/>
    <x v="4"/>
    <n v="1"/>
    <n v="5122.25"/>
    <n v="0"/>
    <n v="5122.25"/>
    <n v="3029.16"/>
    <n v="2093.09"/>
    <x v="0"/>
    <n v="0.40862706818292738"/>
    <x v="1"/>
    <x v="8"/>
    <x v="8"/>
    <s v="Q3"/>
  </r>
  <r>
    <s v="ORD102368"/>
    <x v="617"/>
    <s v="CUST1617"/>
    <s v="Arjun Patel"/>
    <x v="2"/>
    <s v="Tamil Nadu"/>
    <s v="Salem"/>
    <x v="3"/>
    <s v="Kitchen"/>
    <x v="7"/>
    <n v="2"/>
    <n v="1838.84"/>
    <n v="0.2"/>
    <n v="2942.14"/>
    <n v="2026.64"/>
    <n v="915.5"/>
    <x v="2"/>
    <n v="0.31116806134310399"/>
    <x v="1"/>
    <x v="8"/>
    <x v="8"/>
    <s v="Q3"/>
  </r>
  <r>
    <s v="ORD102146"/>
    <x v="618"/>
    <s v="CUST1228"/>
    <s v="Sanjana Sharma"/>
    <x v="2"/>
    <s v="Tamil Nadu"/>
    <s v="Madurai"/>
    <x v="1"/>
    <s v="Storage"/>
    <x v="2"/>
    <n v="3"/>
    <n v="711.69"/>
    <n v="0.1"/>
    <n v="1921.56"/>
    <n v="1014.82"/>
    <n v="906.74"/>
    <x v="2"/>
    <n v="0.47187701659068682"/>
    <x v="1"/>
    <x v="8"/>
    <x v="8"/>
    <s v="Q3"/>
  </r>
  <r>
    <s v="ORD101729"/>
    <x v="618"/>
    <s v="CUST1562"/>
    <s v="Pooja Singh"/>
    <x v="2"/>
    <s v="Telangana"/>
    <s v="Karimnagar"/>
    <x v="0"/>
    <s v="Audio"/>
    <x v="11"/>
    <n v="5"/>
    <n v="2053.23"/>
    <n v="0"/>
    <n v="10266.15"/>
    <n v="5813.42"/>
    <n v="4452.7299999999996"/>
    <x v="0"/>
    <n v="0.43372929481840811"/>
    <x v="1"/>
    <x v="8"/>
    <x v="8"/>
    <s v="Q3"/>
  </r>
  <r>
    <s v="ORD100230"/>
    <x v="619"/>
    <s v="CUST1496"/>
    <s v="Kiran Malhotra"/>
    <x v="3"/>
    <s v="West Bengal"/>
    <s v="Durgapur"/>
    <x v="3"/>
    <s v="Cleaning"/>
    <x v="15"/>
    <n v="1"/>
    <n v="7905.68"/>
    <n v="0.15"/>
    <n v="6719.83"/>
    <n v="4938.1000000000004"/>
    <n v="1781.73"/>
    <x v="3"/>
    <n v="0.26514510039688499"/>
    <x v="1"/>
    <x v="8"/>
    <x v="8"/>
    <s v="Q3"/>
  </r>
  <r>
    <s v="ORD101626"/>
    <x v="619"/>
    <s v="CUST1171"/>
    <s v="Aarav Joshi"/>
    <x v="1"/>
    <s v="Delhi"/>
    <s v="New Delhi"/>
    <x v="1"/>
    <s v="Storage"/>
    <x v="9"/>
    <n v="2"/>
    <n v="499.11"/>
    <n v="0.2"/>
    <n v="798.58"/>
    <n v="461.36"/>
    <n v="337.22"/>
    <x v="3"/>
    <n v="0.42227453730371411"/>
    <x v="1"/>
    <x v="8"/>
    <x v="8"/>
    <s v="Q3"/>
  </r>
  <r>
    <s v="ORD101995"/>
    <x v="619"/>
    <s v="CUST1528"/>
    <s v="Ananya Sharma"/>
    <x v="2"/>
    <s v="Telangana"/>
    <s v="Hyderabad"/>
    <x v="0"/>
    <s v="Computers"/>
    <x v="3"/>
    <n v="4"/>
    <n v="16667.599999999999"/>
    <n v="0.2"/>
    <n v="53336.32"/>
    <n v="50532.29"/>
    <n v="2804.03"/>
    <x v="2"/>
    <n v="5.2572618433367732E-2"/>
    <x v="1"/>
    <x v="8"/>
    <x v="8"/>
    <s v="Q3"/>
  </r>
  <r>
    <s v="ORD101846"/>
    <x v="620"/>
    <s v="CUST1166"/>
    <s v="Ishaan Malhotra"/>
    <x v="2"/>
    <s v="Tamil Nadu"/>
    <s v="Chennai"/>
    <x v="3"/>
    <s v="Kitchen"/>
    <x v="13"/>
    <n v="1"/>
    <n v="3475.87"/>
    <n v="0.05"/>
    <n v="3302.08"/>
    <n v="1949.84"/>
    <n v="1352.24"/>
    <x v="0"/>
    <n v="0.40951158057951348"/>
    <x v="1"/>
    <x v="9"/>
    <x v="9"/>
    <s v="Q4"/>
  </r>
  <r>
    <s v="ORD101691"/>
    <x v="620"/>
    <s v="CUST1580"/>
    <s v="Rahul Joshi"/>
    <x v="0"/>
    <s v="Maharashtra"/>
    <s v="Nashik"/>
    <x v="0"/>
    <s v="Accessories"/>
    <x v="6"/>
    <n v="5"/>
    <n v="837.89"/>
    <n v="0.2"/>
    <n v="3351.56"/>
    <n v="2626.33"/>
    <n v="725.23"/>
    <x v="0"/>
    <n v="0.21638580243230021"/>
    <x v="1"/>
    <x v="9"/>
    <x v="9"/>
    <s v="Q4"/>
  </r>
  <r>
    <s v="ORD101765"/>
    <x v="620"/>
    <s v="CUST1151"/>
    <s v="Rahul Joshi"/>
    <x v="2"/>
    <s v="Karnataka"/>
    <s v="Hubballi"/>
    <x v="0"/>
    <s v="Accessories"/>
    <x v="6"/>
    <n v="3"/>
    <n v="780.18"/>
    <n v="0"/>
    <n v="2340.54"/>
    <n v="1492.58"/>
    <n v="847.96"/>
    <x v="0"/>
    <n v="0.36229246242320151"/>
    <x v="1"/>
    <x v="9"/>
    <x v="9"/>
    <s v="Q4"/>
  </r>
  <r>
    <s v="ORD101919"/>
    <x v="620"/>
    <s v="CUST1137"/>
    <s v="Aisha Joshi"/>
    <x v="2"/>
    <s v="Telangana"/>
    <s v="Warangal"/>
    <x v="1"/>
    <s v="Stationery"/>
    <x v="1"/>
    <n v="3"/>
    <n v="248.06"/>
    <n v="0.1"/>
    <n v="669.76"/>
    <n v="293.19"/>
    <n v="376.57"/>
    <x v="1"/>
    <n v="0.56224617773530816"/>
    <x v="1"/>
    <x v="9"/>
    <x v="9"/>
    <s v="Q4"/>
  </r>
  <r>
    <s v="ORD100621"/>
    <x v="620"/>
    <s v="CUST1597"/>
    <s v="Neha Nair"/>
    <x v="2"/>
    <s v="Tamil Nadu"/>
    <s v="Salem"/>
    <x v="1"/>
    <s v="Stationery"/>
    <x v="1"/>
    <n v="4"/>
    <n v="245.47"/>
    <n v="0.15"/>
    <n v="834.6"/>
    <n v="380.77"/>
    <n v="453.83"/>
    <x v="0"/>
    <n v="0.54376947040498436"/>
    <x v="1"/>
    <x v="9"/>
    <x v="9"/>
    <s v="Q4"/>
  </r>
  <r>
    <s v="ORD100118"/>
    <x v="621"/>
    <s v="CUST1041"/>
    <s v="Priya Gupta"/>
    <x v="2"/>
    <s v="Karnataka"/>
    <s v="Mangaluru"/>
    <x v="2"/>
    <s v="Office"/>
    <x v="10"/>
    <n v="3"/>
    <n v="7413.37"/>
    <n v="0"/>
    <n v="22240.11"/>
    <n v="13984.18"/>
    <n v="8255.93"/>
    <x v="0"/>
    <n v="0.37121803804027947"/>
    <x v="1"/>
    <x v="9"/>
    <x v="9"/>
    <s v="Q4"/>
  </r>
  <r>
    <s v="ORD101606"/>
    <x v="621"/>
    <s v="CUST1064"/>
    <s v="Aisha Gupta"/>
    <x v="1"/>
    <s v="Delhi"/>
    <s v="New Delhi"/>
    <x v="0"/>
    <s v="Audio"/>
    <x v="11"/>
    <n v="1"/>
    <n v="2028.57"/>
    <n v="0.15"/>
    <n v="1724.28"/>
    <n v="1201.1300000000001"/>
    <n v="523.15"/>
    <x v="1"/>
    <n v="0.30340199967522669"/>
    <x v="1"/>
    <x v="9"/>
    <x v="9"/>
    <s v="Q4"/>
  </r>
  <r>
    <s v="ORD102067"/>
    <x v="622"/>
    <s v="CUST1039"/>
    <s v="Sneha Mehta"/>
    <x v="1"/>
    <s v="Delhi"/>
    <s v="Delhi"/>
    <x v="0"/>
    <s v="Accessories"/>
    <x v="5"/>
    <n v="3"/>
    <n v="2460.46"/>
    <n v="0.1"/>
    <n v="6643.24"/>
    <n v="3978.39"/>
    <n v="2664.85"/>
    <x v="1"/>
    <n v="0.40113709575448131"/>
    <x v="1"/>
    <x v="9"/>
    <x v="9"/>
    <s v="Q4"/>
  </r>
  <r>
    <s v="ORD100383"/>
    <x v="622"/>
    <s v="CUST1617"/>
    <s v="Sneha Das"/>
    <x v="2"/>
    <s v="Karnataka"/>
    <s v="Hubballi"/>
    <x v="1"/>
    <s v="Stationery"/>
    <x v="1"/>
    <n v="2"/>
    <n v="250.58"/>
    <n v="0.2"/>
    <n v="400.93"/>
    <n v="186.95"/>
    <n v="213.98"/>
    <x v="1"/>
    <n v="0.53370912628139577"/>
    <x v="1"/>
    <x v="9"/>
    <x v="9"/>
    <s v="Q4"/>
  </r>
  <r>
    <s v="ORD101453"/>
    <x v="623"/>
    <s v="CUST1426"/>
    <s v="Varun Malhotra"/>
    <x v="0"/>
    <s v="Maharashtra"/>
    <s v="Mumbai"/>
    <x v="1"/>
    <s v="Stationery"/>
    <x v="1"/>
    <n v="4"/>
    <n v="238.63"/>
    <n v="0.05"/>
    <n v="906.79"/>
    <n v="352.73"/>
    <n v="554.05999999999995"/>
    <x v="4"/>
    <n v="0.61101247256806979"/>
    <x v="1"/>
    <x v="9"/>
    <x v="9"/>
    <s v="Q4"/>
  </r>
  <r>
    <s v="ORD100747"/>
    <x v="623"/>
    <s v="CUST1273"/>
    <s v="Kiran Verma"/>
    <x v="3"/>
    <s v="West Bengal"/>
    <s v="Siliguri"/>
    <x v="0"/>
    <s v="Accessories"/>
    <x v="5"/>
    <n v="2"/>
    <n v="2540.36"/>
    <n v="0.05"/>
    <n v="4826.68"/>
    <n v="2896.05"/>
    <n v="1930.63"/>
    <x v="1"/>
    <n v="0.3999912983665791"/>
    <x v="1"/>
    <x v="9"/>
    <x v="9"/>
    <s v="Q4"/>
  </r>
  <r>
    <s v="ORD101039"/>
    <x v="623"/>
    <s v="CUST1471"/>
    <s v="Aisha Sharma"/>
    <x v="1"/>
    <s v="Delhi"/>
    <s v="Delhi"/>
    <x v="3"/>
    <s v="Cleaning"/>
    <x v="12"/>
    <n v="4"/>
    <n v="13711.7"/>
    <n v="0.1"/>
    <n v="49362.12"/>
    <n v="38474.43"/>
    <n v="10887.69"/>
    <x v="2"/>
    <n v="0.2205677146767602"/>
    <x v="1"/>
    <x v="9"/>
    <x v="9"/>
    <s v="Q4"/>
  </r>
  <r>
    <s v="ORD100465"/>
    <x v="624"/>
    <s v="CUST1075"/>
    <s v="Rohan Rao"/>
    <x v="1"/>
    <s v="Delhi"/>
    <s v="New Delhi"/>
    <x v="0"/>
    <s v="Audio"/>
    <x v="8"/>
    <n v="1"/>
    <n v="3134.22"/>
    <n v="0"/>
    <n v="3134.22"/>
    <n v="1603.11"/>
    <n v="1531.11"/>
    <x v="3"/>
    <n v="0.48851388862300671"/>
    <x v="1"/>
    <x v="9"/>
    <x v="9"/>
    <s v="Q4"/>
  </r>
  <r>
    <s v="ORD100949"/>
    <x v="624"/>
    <s v="CUST1287"/>
    <s v="Varun Rao"/>
    <x v="3"/>
    <s v="West Bengal"/>
    <s v="Siliguri"/>
    <x v="1"/>
    <s v="Stationery"/>
    <x v="17"/>
    <n v="3"/>
    <n v="300.58"/>
    <n v="0.05"/>
    <n v="856.65"/>
    <n v="386.49"/>
    <n v="470.16"/>
    <x v="0"/>
    <n v="0.54883558045876379"/>
    <x v="1"/>
    <x v="9"/>
    <x v="9"/>
    <s v="Q4"/>
  </r>
  <r>
    <s v="ORD100790"/>
    <x v="625"/>
    <s v="CUST1203"/>
    <s v="Arjun Iyer"/>
    <x v="2"/>
    <s v="Tamil Nadu"/>
    <s v="Coimbatore"/>
    <x v="2"/>
    <s v="Living Room"/>
    <x v="16"/>
    <n v="3"/>
    <n v="3833.31"/>
    <n v="0"/>
    <n v="11499.93"/>
    <n v="7451.49"/>
    <n v="4048.44"/>
    <x v="1"/>
    <n v="0.35204040372419659"/>
    <x v="1"/>
    <x v="9"/>
    <x v="9"/>
    <s v="Q4"/>
  </r>
  <r>
    <s v="ORD100748"/>
    <x v="625"/>
    <s v="CUST1325"/>
    <s v="Rahul Singh"/>
    <x v="2"/>
    <s v="Tamil Nadu"/>
    <s v="Salem"/>
    <x v="1"/>
    <s v="Storage"/>
    <x v="2"/>
    <n v="5"/>
    <n v="693.4"/>
    <n v="0.15"/>
    <n v="2946.95"/>
    <n v="1599.98"/>
    <n v="1346.97"/>
    <x v="3"/>
    <n v="0.45707256655185868"/>
    <x v="1"/>
    <x v="9"/>
    <x v="9"/>
    <s v="Q4"/>
  </r>
  <r>
    <s v="ORD102084"/>
    <x v="625"/>
    <s v="CUST1309"/>
    <s v="Ishaan Malhotra"/>
    <x v="1"/>
    <s v="Delhi"/>
    <s v="Delhi"/>
    <x v="2"/>
    <s v="Living Room"/>
    <x v="16"/>
    <n v="1"/>
    <n v="4105.1499999999996"/>
    <n v="0.15"/>
    <n v="3489.38"/>
    <n v="2680.05"/>
    <n v="809.33"/>
    <x v="2"/>
    <n v="0.23194091787079649"/>
    <x v="1"/>
    <x v="9"/>
    <x v="9"/>
    <s v="Q4"/>
  </r>
  <r>
    <s v="ORD101390"/>
    <x v="626"/>
    <s v="CUST1607"/>
    <s v="Ananya Malhotra"/>
    <x v="1"/>
    <s v="Delhi"/>
    <s v="New Delhi"/>
    <x v="2"/>
    <s v="Living Room"/>
    <x v="16"/>
    <n v="1"/>
    <n v="4221.79"/>
    <n v="0.15"/>
    <n v="3588.52"/>
    <n v="2652.6"/>
    <n v="935.92"/>
    <x v="2"/>
    <n v="0.2608094701994137"/>
    <x v="1"/>
    <x v="9"/>
    <x v="9"/>
    <s v="Q4"/>
  </r>
  <r>
    <s v="ORD101583"/>
    <x v="626"/>
    <s v="CUST1170"/>
    <s v="Vikram Singh"/>
    <x v="3"/>
    <s v="West Bengal"/>
    <s v="Kolkata"/>
    <x v="0"/>
    <s v="Audio"/>
    <x v="8"/>
    <n v="1"/>
    <n v="3046.4"/>
    <n v="0.05"/>
    <n v="2894.08"/>
    <n v="1567.66"/>
    <n v="1326.42"/>
    <x v="2"/>
    <n v="0.45832181556833262"/>
    <x v="1"/>
    <x v="9"/>
    <x v="9"/>
    <s v="Q4"/>
  </r>
  <r>
    <s v="ORD100855"/>
    <x v="626"/>
    <s v="CUST1100"/>
    <s v="Arjun Malhotra"/>
    <x v="2"/>
    <s v="Tamil Nadu"/>
    <s v="Chennai"/>
    <x v="1"/>
    <s v="Storage"/>
    <x v="2"/>
    <n v="4"/>
    <n v="658.94"/>
    <n v="0.1"/>
    <n v="2372.1799999999998"/>
    <n v="1244.99"/>
    <n v="1127.19"/>
    <x v="1"/>
    <n v="0.47517051825746792"/>
    <x v="1"/>
    <x v="9"/>
    <x v="9"/>
    <s v="Q4"/>
  </r>
  <r>
    <s v="ORD101502"/>
    <x v="626"/>
    <s v="CUST1298"/>
    <s v="Neha Reddy"/>
    <x v="2"/>
    <s v="Karnataka"/>
    <s v="Mangaluru"/>
    <x v="2"/>
    <s v="Office"/>
    <x v="10"/>
    <n v="4"/>
    <n v="6938.49"/>
    <n v="0.1"/>
    <n v="24978.560000000001"/>
    <n v="18074.37"/>
    <n v="6904.19"/>
    <x v="0"/>
    <n v="0.27640464462322878"/>
    <x v="1"/>
    <x v="9"/>
    <x v="9"/>
    <s v="Q4"/>
  </r>
  <r>
    <s v="ORD100956"/>
    <x v="627"/>
    <s v="CUST1127"/>
    <s v="Varun Malhotra"/>
    <x v="0"/>
    <s v="Maharashtra"/>
    <s v="Mumbai"/>
    <x v="2"/>
    <s v="Office"/>
    <x v="10"/>
    <n v="3"/>
    <n v="7065.14"/>
    <n v="0.05"/>
    <n v="20135.650000000001"/>
    <n v="13793.5"/>
    <n v="6342.15"/>
    <x v="0"/>
    <n v="0.31497120778321042"/>
    <x v="1"/>
    <x v="9"/>
    <x v="9"/>
    <s v="Q4"/>
  </r>
  <r>
    <s v="ORD101035"/>
    <x v="627"/>
    <s v="CUST1245"/>
    <s v="Neha Verma"/>
    <x v="3"/>
    <s v="West Bengal"/>
    <s v="Siliguri"/>
    <x v="3"/>
    <s v="Kitchen"/>
    <x v="13"/>
    <n v="4"/>
    <n v="3395.73"/>
    <n v="0.05"/>
    <n v="12903.77"/>
    <n v="7779.11"/>
    <n v="5124.66"/>
    <x v="2"/>
    <n v="0.39714440043491162"/>
    <x v="1"/>
    <x v="9"/>
    <x v="9"/>
    <s v="Q4"/>
  </r>
  <r>
    <s v="ORD101963"/>
    <x v="627"/>
    <s v="CUST1423"/>
    <s v="Aditya Sharma"/>
    <x v="1"/>
    <s v="Delhi"/>
    <s v="New Delhi"/>
    <x v="0"/>
    <s v="Accessories"/>
    <x v="6"/>
    <n v="2"/>
    <n v="809.54"/>
    <n v="0.05"/>
    <n v="1538.13"/>
    <n v="992.26"/>
    <n v="545.87"/>
    <x v="1"/>
    <n v="0.35489197922152221"/>
    <x v="1"/>
    <x v="9"/>
    <x v="9"/>
    <s v="Q4"/>
  </r>
  <r>
    <s v="ORD100327"/>
    <x v="628"/>
    <s v="CUST1361"/>
    <s v="Vikram Reddy"/>
    <x v="2"/>
    <s v="Karnataka"/>
    <s v="Hubballi"/>
    <x v="0"/>
    <s v="Audio"/>
    <x v="8"/>
    <n v="1"/>
    <n v="2946.72"/>
    <n v="0.15"/>
    <n v="2504.71"/>
    <n v="1550.51"/>
    <n v="954.2"/>
    <x v="0"/>
    <n v="0.38096226708880471"/>
    <x v="1"/>
    <x v="9"/>
    <x v="9"/>
    <s v="Q4"/>
  </r>
  <r>
    <s v="ORD101737"/>
    <x v="628"/>
    <s v="CUST1088"/>
    <s v="Neha Rao"/>
    <x v="2"/>
    <s v="Telangana"/>
    <s v="Warangal"/>
    <x v="3"/>
    <s v="Cleaning"/>
    <x v="15"/>
    <n v="1"/>
    <n v="7388.88"/>
    <n v="0.05"/>
    <n v="7019.44"/>
    <n v="4816.3100000000004"/>
    <n v="2203.13"/>
    <x v="0"/>
    <n v="0.3138612196984375"/>
    <x v="1"/>
    <x v="9"/>
    <x v="9"/>
    <s v="Q4"/>
  </r>
  <r>
    <s v="ORD101318"/>
    <x v="628"/>
    <s v="CUST1479"/>
    <s v="Ishaan Reddy"/>
    <x v="0"/>
    <s v="Maharashtra"/>
    <s v="Mumbai"/>
    <x v="1"/>
    <s v="Stationery"/>
    <x v="17"/>
    <n v="1"/>
    <n v="287"/>
    <n v="0"/>
    <n v="287"/>
    <n v="116.66"/>
    <n v="170.34"/>
    <x v="1"/>
    <n v="0.59351916376306624"/>
    <x v="1"/>
    <x v="9"/>
    <x v="9"/>
    <s v="Q4"/>
  </r>
  <r>
    <s v="ORD101719"/>
    <x v="629"/>
    <s v="CUST1479"/>
    <s v="Aisha Mehta"/>
    <x v="2"/>
    <s v="Karnataka"/>
    <s v="Hubballi"/>
    <x v="3"/>
    <s v="Cleaning"/>
    <x v="12"/>
    <n v="4"/>
    <n v="13048.06"/>
    <n v="0.05"/>
    <n v="49582.63"/>
    <n v="38288.6"/>
    <n v="11294.03"/>
    <x v="0"/>
    <n v="0.2277819873612997"/>
    <x v="1"/>
    <x v="9"/>
    <x v="9"/>
    <s v="Q4"/>
  </r>
  <r>
    <s v="ORD100207"/>
    <x v="629"/>
    <s v="CUST1172"/>
    <s v="Aisha Kumar"/>
    <x v="2"/>
    <s v="Karnataka"/>
    <s v="Bengaluru"/>
    <x v="0"/>
    <s v="Accessories"/>
    <x v="6"/>
    <n v="4"/>
    <n v="806.54"/>
    <n v="0.05"/>
    <n v="3064.85"/>
    <n v="1942.78"/>
    <n v="1122.07"/>
    <x v="3"/>
    <n v="0.36610927125307918"/>
    <x v="1"/>
    <x v="9"/>
    <x v="9"/>
    <s v="Q4"/>
  </r>
  <r>
    <s v="ORD102391"/>
    <x v="629"/>
    <s v="CUST1401"/>
    <s v="Sanjana Naidu"/>
    <x v="1"/>
    <s v="Delhi"/>
    <s v="New Delhi"/>
    <x v="3"/>
    <s v="Cleaning"/>
    <x v="15"/>
    <n v="3"/>
    <n v="7193.22"/>
    <n v="0.1"/>
    <n v="19421.689999999999"/>
    <n v="13769.84"/>
    <n v="5651.85"/>
    <x v="2"/>
    <n v="0.29100711627052028"/>
    <x v="1"/>
    <x v="9"/>
    <x v="9"/>
    <s v="Q4"/>
  </r>
  <r>
    <s v="ORD101618"/>
    <x v="629"/>
    <s v="CUST1404"/>
    <s v="Vikram Verma"/>
    <x v="1"/>
    <s v="Delhi"/>
    <s v="Delhi"/>
    <x v="3"/>
    <s v="Kitchen"/>
    <x v="7"/>
    <n v="4"/>
    <n v="1727.44"/>
    <n v="0.05"/>
    <n v="6564.27"/>
    <n v="3754.15"/>
    <n v="2810.12"/>
    <x v="4"/>
    <n v="0.42809329902639592"/>
    <x v="1"/>
    <x v="9"/>
    <x v="9"/>
    <s v="Q4"/>
  </r>
  <r>
    <s v="ORD101167"/>
    <x v="630"/>
    <s v="CUST1191"/>
    <s v="Rohan Rao"/>
    <x v="0"/>
    <s v="Maharashtra"/>
    <s v="Nagpur"/>
    <x v="3"/>
    <s v="Cleaning"/>
    <x v="15"/>
    <n v="1"/>
    <n v="7323.92"/>
    <n v="0.05"/>
    <n v="6957.72"/>
    <n v="4785.0200000000004"/>
    <n v="2172.6999999999998"/>
    <x v="4"/>
    <n v="0.31227183617621862"/>
    <x v="1"/>
    <x v="9"/>
    <x v="9"/>
    <s v="Q4"/>
  </r>
  <r>
    <s v="ORD101211"/>
    <x v="630"/>
    <s v="CUST1039"/>
    <s v="Pooja Naidu"/>
    <x v="2"/>
    <s v="Karnataka"/>
    <s v="Bengaluru"/>
    <x v="0"/>
    <s v="Computers"/>
    <x v="3"/>
    <n v="5"/>
    <n v="15280.55"/>
    <n v="0.1"/>
    <n v="68762.48"/>
    <n v="56409.14"/>
    <n v="12353.34"/>
    <x v="0"/>
    <n v="0.1796523336563777"/>
    <x v="1"/>
    <x v="9"/>
    <x v="9"/>
    <s v="Q4"/>
  </r>
  <r>
    <s v="ORD100145"/>
    <x v="630"/>
    <s v="CUST1222"/>
    <s v="Ishaan Verma"/>
    <x v="1"/>
    <s v="Delhi"/>
    <s v="New Delhi"/>
    <x v="3"/>
    <s v="Kitchen"/>
    <x v="7"/>
    <n v="2"/>
    <n v="1893.02"/>
    <n v="0.1"/>
    <n v="3407.44"/>
    <n v="1972.41"/>
    <n v="1435.03"/>
    <x v="0"/>
    <n v="0.4211460803418402"/>
    <x v="1"/>
    <x v="9"/>
    <x v="9"/>
    <s v="Q4"/>
  </r>
  <r>
    <s v="ORD102447"/>
    <x v="630"/>
    <s v="CUST1259"/>
    <s v="Diya Singh"/>
    <x v="2"/>
    <s v="Telangana"/>
    <s v="Nizamabad"/>
    <x v="0"/>
    <s v="Computers"/>
    <x v="0"/>
    <n v="3"/>
    <n v="57975.55"/>
    <n v="0"/>
    <n v="173926.65"/>
    <n v="155650.21"/>
    <n v="18276.439999999999"/>
    <x v="0"/>
    <n v="0.1050813087011105"/>
    <x v="1"/>
    <x v="9"/>
    <x v="9"/>
    <s v="Q4"/>
  </r>
  <r>
    <s v="ORD102445"/>
    <x v="630"/>
    <s v="CUST1092"/>
    <s v="Meera Kumar"/>
    <x v="3"/>
    <s v="West Bengal"/>
    <s v="Siliguri"/>
    <x v="0"/>
    <s v="Accessories"/>
    <x v="5"/>
    <n v="2"/>
    <n v="2452.27"/>
    <n v="0.15"/>
    <n v="4168.8599999999997"/>
    <n v="2759.05"/>
    <n v="1409.81"/>
    <x v="3"/>
    <n v="0.33817638395148802"/>
    <x v="1"/>
    <x v="9"/>
    <x v="9"/>
    <s v="Q4"/>
  </r>
  <r>
    <s v="ORD101927"/>
    <x v="631"/>
    <s v="CUST1277"/>
    <s v="Rahul Rao"/>
    <x v="2"/>
    <s v="Karnataka"/>
    <s v="Mangaluru"/>
    <x v="3"/>
    <s v="Kitchen"/>
    <x v="13"/>
    <n v="3"/>
    <n v="3424.44"/>
    <n v="0.1"/>
    <n v="9245.99"/>
    <n v="5698.92"/>
    <n v="3547.07"/>
    <x v="0"/>
    <n v="0.38363333726296478"/>
    <x v="1"/>
    <x v="9"/>
    <x v="9"/>
    <s v="Q4"/>
  </r>
  <r>
    <s v="ORD101784"/>
    <x v="631"/>
    <s v="CUST1163"/>
    <s v="Ananya Mehta"/>
    <x v="0"/>
    <s v="Maharashtra"/>
    <s v="Mumbai"/>
    <x v="0"/>
    <s v="Computers"/>
    <x v="3"/>
    <n v="2"/>
    <n v="15321.46"/>
    <n v="0.1"/>
    <n v="27578.63"/>
    <n v="22280.240000000002"/>
    <n v="5298.39"/>
    <x v="0"/>
    <n v="0.19211940549621209"/>
    <x v="1"/>
    <x v="9"/>
    <x v="9"/>
    <s v="Q4"/>
  </r>
  <r>
    <s v="ORD100082"/>
    <x v="631"/>
    <s v="CUST1591"/>
    <s v="Rahul Verma"/>
    <x v="3"/>
    <s v="West Bengal"/>
    <s v="Durgapur"/>
    <x v="2"/>
    <s v="Living Room"/>
    <x v="16"/>
    <n v="2"/>
    <n v="3871.88"/>
    <n v="0.15"/>
    <n v="6582.2"/>
    <n v="4810.3999999999996"/>
    <n v="1771.8"/>
    <x v="1"/>
    <n v="0.26918051715231989"/>
    <x v="1"/>
    <x v="9"/>
    <x v="9"/>
    <s v="Q4"/>
  </r>
  <r>
    <s v="ORD100620"/>
    <x v="632"/>
    <s v="CUST1566"/>
    <s v="Ananya Nair"/>
    <x v="0"/>
    <s v="Maharashtra"/>
    <s v="Pune"/>
    <x v="0"/>
    <s v="Audio"/>
    <x v="11"/>
    <n v="5"/>
    <n v="1890.99"/>
    <n v="0.05"/>
    <n v="8982.2000000000007"/>
    <n v="5408.36"/>
    <n v="3573.84"/>
    <x v="2"/>
    <n v="0.39788025205406252"/>
    <x v="1"/>
    <x v="9"/>
    <x v="9"/>
    <s v="Q4"/>
  </r>
  <r>
    <s v="ORD101763"/>
    <x v="632"/>
    <s v="CUST1488"/>
    <s v="Aditya Joshi"/>
    <x v="1"/>
    <s v="Delhi"/>
    <s v="Delhi"/>
    <x v="0"/>
    <s v="Audio"/>
    <x v="8"/>
    <n v="3"/>
    <n v="3079.11"/>
    <n v="0"/>
    <n v="9237.33"/>
    <n v="4968.2700000000004"/>
    <n v="4269.0600000000004"/>
    <x v="4"/>
    <n v="0.46215302473766767"/>
    <x v="1"/>
    <x v="9"/>
    <x v="9"/>
    <s v="Q4"/>
  </r>
  <r>
    <s v="ORD101807"/>
    <x v="633"/>
    <s v="CUST1327"/>
    <s v="Rahul Malhotra"/>
    <x v="1"/>
    <s v="Delhi"/>
    <s v="Delhi"/>
    <x v="3"/>
    <s v="Cleaning"/>
    <x v="12"/>
    <n v="3"/>
    <n v="12844.34"/>
    <n v="0"/>
    <n v="38533.019999999997"/>
    <n v="26645.78"/>
    <n v="11887.24"/>
    <x v="0"/>
    <n v="0.30849489606576391"/>
    <x v="1"/>
    <x v="9"/>
    <x v="9"/>
    <s v="Q4"/>
  </r>
  <r>
    <s v="ORD101798"/>
    <x v="633"/>
    <s v="CUST1526"/>
    <s v="Nikhil Reddy"/>
    <x v="1"/>
    <s v="Delhi"/>
    <s v="Delhi"/>
    <x v="3"/>
    <s v="Kitchen"/>
    <x v="7"/>
    <n v="1"/>
    <n v="1877.77"/>
    <n v="0.15"/>
    <n v="1596.1"/>
    <n v="1052.6500000000001"/>
    <n v="543.45000000000005"/>
    <x v="3"/>
    <n v="0.3404861850761231"/>
    <x v="1"/>
    <x v="9"/>
    <x v="9"/>
    <s v="Q4"/>
  </r>
  <r>
    <s v="ORD101937"/>
    <x v="633"/>
    <s v="CUST1545"/>
    <s v="Ananya Reddy"/>
    <x v="2"/>
    <s v="Karnataka"/>
    <s v="Hubballi"/>
    <x v="1"/>
    <s v="Storage"/>
    <x v="2"/>
    <n v="5"/>
    <n v="678.41"/>
    <n v="0.05"/>
    <n v="3222.45"/>
    <n v="1644.84"/>
    <n v="1577.61"/>
    <x v="0"/>
    <n v="0.48956849602010888"/>
    <x v="1"/>
    <x v="9"/>
    <x v="9"/>
    <s v="Q4"/>
  </r>
  <r>
    <s v="ORD102483"/>
    <x v="633"/>
    <s v="CUST1571"/>
    <s v="Diya Joshi"/>
    <x v="2"/>
    <s v="Karnataka"/>
    <s v="Mysuru"/>
    <x v="0"/>
    <s v="Computers"/>
    <x v="0"/>
    <n v="3"/>
    <n v="58411.74"/>
    <n v="0"/>
    <n v="175235.22"/>
    <n v="150454.81"/>
    <n v="24780.41"/>
    <x v="0"/>
    <n v="0.14141226860673331"/>
    <x v="1"/>
    <x v="9"/>
    <x v="9"/>
    <s v="Q4"/>
  </r>
  <r>
    <s v="ORD100179"/>
    <x v="634"/>
    <s v="CUST1184"/>
    <s v="Diya Rao"/>
    <x v="2"/>
    <s v="Telangana"/>
    <s v="Nizamabad"/>
    <x v="0"/>
    <s v="Computers"/>
    <x v="0"/>
    <n v="1"/>
    <n v="62227.76"/>
    <n v="0"/>
    <n v="62227.76"/>
    <n v="53246.51"/>
    <n v="8981.25"/>
    <x v="2"/>
    <n v="0.14432867260528101"/>
    <x v="1"/>
    <x v="9"/>
    <x v="9"/>
    <s v="Q4"/>
  </r>
  <r>
    <s v="ORD102426"/>
    <x v="635"/>
    <s v="CUST1570"/>
    <s v="Aarav Verma"/>
    <x v="3"/>
    <s v="West Bengal"/>
    <s v="Kolkata"/>
    <x v="0"/>
    <s v="Computers"/>
    <x v="3"/>
    <n v="2"/>
    <n v="15995.1"/>
    <n v="0.05"/>
    <n v="30390.69"/>
    <n v="24829.98"/>
    <n v="5560.71"/>
    <x v="0"/>
    <n v="0.18297412793194229"/>
    <x v="1"/>
    <x v="9"/>
    <x v="9"/>
    <s v="Q4"/>
  </r>
  <r>
    <s v="ORD101633"/>
    <x v="635"/>
    <s v="CUST1105"/>
    <s v="Pooja Reddy"/>
    <x v="2"/>
    <s v="Tamil Nadu"/>
    <s v="Salem"/>
    <x v="1"/>
    <s v="Stationery"/>
    <x v="1"/>
    <n v="2"/>
    <n v="239.2"/>
    <n v="0.05"/>
    <n v="454.48"/>
    <n v="178.47"/>
    <n v="276.01"/>
    <x v="1"/>
    <n v="0.60730945256116875"/>
    <x v="1"/>
    <x v="9"/>
    <x v="9"/>
    <s v="Q4"/>
  </r>
  <r>
    <s v="ORD100867"/>
    <x v="635"/>
    <s v="CUST1543"/>
    <s v="Pooja Gupta"/>
    <x v="1"/>
    <s v="Delhi"/>
    <s v="Delhi"/>
    <x v="1"/>
    <s v="Storage"/>
    <x v="9"/>
    <n v="4"/>
    <n v="474.54"/>
    <n v="0"/>
    <n v="1898.16"/>
    <n v="831.58"/>
    <n v="1066.58"/>
    <x v="3"/>
    <n v="0.56190205251401348"/>
    <x v="1"/>
    <x v="9"/>
    <x v="9"/>
    <s v="Q4"/>
  </r>
  <r>
    <s v="ORD101239"/>
    <x v="635"/>
    <s v="CUST1451"/>
    <s v="Vikram Reddy"/>
    <x v="1"/>
    <s v="Delhi"/>
    <s v="New Delhi"/>
    <x v="0"/>
    <s v="Computers"/>
    <x v="3"/>
    <n v="2"/>
    <n v="16291.76"/>
    <n v="0.2"/>
    <n v="26066.82"/>
    <n v="23674.12"/>
    <n v="2392.6999999999998"/>
    <x v="0"/>
    <n v="9.17910201551244E-2"/>
    <x v="1"/>
    <x v="9"/>
    <x v="9"/>
    <s v="Q4"/>
  </r>
  <r>
    <s v="ORD101922"/>
    <x v="636"/>
    <s v="CUST1485"/>
    <s v="Aisha Singh"/>
    <x v="0"/>
    <s v="Maharashtra"/>
    <s v="Mumbai"/>
    <x v="0"/>
    <s v="Accessories"/>
    <x v="5"/>
    <n v="1"/>
    <n v="2628.45"/>
    <n v="0.1"/>
    <n v="2365.61"/>
    <n v="1477.93"/>
    <n v="887.68"/>
    <x v="0"/>
    <n v="0.37524359467536911"/>
    <x v="1"/>
    <x v="9"/>
    <x v="9"/>
    <s v="Q4"/>
  </r>
  <r>
    <s v="ORD101396"/>
    <x v="636"/>
    <s v="CUST1524"/>
    <s v="Kiran Rao"/>
    <x v="2"/>
    <s v="Karnataka"/>
    <s v="Mysuru"/>
    <x v="1"/>
    <s v="Stationery"/>
    <x v="1"/>
    <n v="2"/>
    <n v="263.8"/>
    <n v="0.2"/>
    <n v="422.08"/>
    <n v="205.9"/>
    <n v="216.18"/>
    <x v="2"/>
    <n v="0.51217778620166798"/>
    <x v="1"/>
    <x v="9"/>
    <x v="9"/>
    <s v="Q4"/>
  </r>
  <r>
    <s v="ORD100682"/>
    <x v="636"/>
    <s v="CUST1502"/>
    <s v="Ananya Iyer"/>
    <x v="1"/>
    <s v="Delhi"/>
    <s v="Delhi"/>
    <x v="2"/>
    <s v="Living Room"/>
    <x v="4"/>
    <n v="4"/>
    <n v="4778.51"/>
    <n v="0.1"/>
    <n v="17202.64"/>
    <n v="11299.69"/>
    <n v="5902.95"/>
    <x v="2"/>
    <n v="0.34314209911966997"/>
    <x v="1"/>
    <x v="9"/>
    <x v="9"/>
    <s v="Q4"/>
  </r>
  <r>
    <s v="ORD100358"/>
    <x v="636"/>
    <s v="CUST1247"/>
    <s v="Ishaan Nair"/>
    <x v="2"/>
    <s v="Karnataka"/>
    <s v="Bengaluru"/>
    <x v="1"/>
    <s v="Storage"/>
    <x v="9"/>
    <n v="3"/>
    <n v="480.1"/>
    <n v="0"/>
    <n v="1440.3"/>
    <n v="655.16"/>
    <n v="785.14"/>
    <x v="1"/>
    <n v="0.54512254391446224"/>
    <x v="1"/>
    <x v="9"/>
    <x v="9"/>
    <s v="Q4"/>
  </r>
  <r>
    <s v="ORD100856"/>
    <x v="637"/>
    <s v="CUST1156"/>
    <s v="Nikhil Das"/>
    <x v="2"/>
    <s v="Karnataka"/>
    <s v="Mysuru"/>
    <x v="3"/>
    <s v="Cleaning"/>
    <x v="15"/>
    <n v="2"/>
    <n v="7875.47"/>
    <n v="0.15"/>
    <n v="13388.3"/>
    <n v="9845.82"/>
    <n v="3542.48"/>
    <x v="1"/>
    <n v="0.26459520626218408"/>
    <x v="1"/>
    <x v="9"/>
    <x v="9"/>
    <s v="Q4"/>
  </r>
  <r>
    <s v="ORD101972"/>
    <x v="638"/>
    <s v="CUST1554"/>
    <s v="Kiran Nair"/>
    <x v="2"/>
    <s v="Tamil Nadu"/>
    <s v="Coimbatore"/>
    <x v="1"/>
    <s v="Stationery"/>
    <x v="17"/>
    <n v="2"/>
    <n v="299.92"/>
    <n v="0.05"/>
    <n v="569.85"/>
    <n v="251.16"/>
    <n v="318.69"/>
    <x v="1"/>
    <n v="0.55925243485127663"/>
    <x v="1"/>
    <x v="9"/>
    <x v="9"/>
    <s v="Q4"/>
  </r>
  <r>
    <s v="ORD100600"/>
    <x v="638"/>
    <s v="CUST1419"/>
    <s v="Aditya Joshi"/>
    <x v="2"/>
    <s v="Tamil Nadu"/>
    <s v="Salem"/>
    <x v="2"/>
    <s v="Office"/>
    <x v="14"/>
    <n v="2"/>
    <n v="8555.7199999999993"/>
    <n v="0.2"/>
    <n v="13689.15"/>
    <n v="11812.07"/>
    <n v="1877.08"/>
    <x v="4"/>
    <n v="0.13712173509677369"/>
    <x v="1"/>
    <x v="9"/>
    <x v="9"/>
    <s v="Q4"/>
  </r>
  <r>
    <s v="ORD101204"/>
    <x v="638"/>
    <s v="CUST1496"/>
    <s v="Rohan Rao"/>
    <x v="1"/>
    <s v="Delhi"/>
    <s v="Delhi"/>
    <x v="1"/>
    <s v="Storage"/>
    <x v="2"/>
    <n v="1"/>
    <n v="687.35"/>
    <n v="0"/>
    <n v="687.35"/>
    <n v="323.77"/>
    <n v="363.58"/>
    <x v="0"/>
    <n v="0.52895904560995122"/>
    <x v="1"/>
    <x v="9"/>
    <x v="9"/>
    <s v="Q4"/>
  </r>
  <r>
    <s v="ORD101252"/>
    <x v="638"/>
    <s v="CUST1202"/>
    <s v="Kiran Das"/>
    <x v="3"/>
    <s v="West Bengal"/>
    <s v="Kolkata"/>
    <x v="1"/>
    <s v="Stationery"/>
    <x v="1"/>
    <n v="1"/>
    <n v="260.74"/>
    <n v="0.2"/>
    <n v="208.59"/>
    <n v="99.46"/>
    <n v="109.13"/>
    <x v="4"/>
    <n v="0.5231794429263148"/>
    <x v="1"/>
    <x v="9"/>
    <x v="9"/>
    <s v="Q4"/>
  </r>
  <r>
    <s v="ORD100309"/>
    <x v="639"/>
    <s v="CUST1586"/>
    <s v="Neha Kumar"/>
    <x v="0"/>
    <s v="Maharashtra"/>
    <s v="Nashik"/>
    <x v="3"/>
    <s v="Cleaning"/>
    <x v="15"/>
    <n v="4"/>
    <n v="7254.54"/>
    <n v="0.2"/>
    <n v="23214.53"/>
    <n v="19513.400000000001"/>
    <n v="3701.13"/>
    <x v="2"/>
    <n v="0.15943161459654789"/>
    <x v="1"/>
    <x v="9"/>
    <x v="9"/>
    <s v="Q4"/>
  </r>
  <r>
    <s v="ORD101515"/>
    <x v="639"/>
    <s v="CUST1252"/>
    <s v="Priya Joshi"/>
    <x v="2"/>
    <s v="Tamil Nadu"/>
    <s v="Chennai"/>
    <x v="2"/>
    <s v="Living Room"/>
    <x v="16"/>
    <n v="1"/>
    <n v="4130.9399999999996"/>
    <n v="0"/>
    <n v="4130.9399999999996"/>
    <n v="2573.87"/>
    <n v="1557.07"/>
    <x v="0"/>
    <n v="0.37692873776912761"/>
    <x v="1"/>
    <x v="9"/>
    <x v="9"/>
    <s v="Q4"/>
  </r>
  <r>
    <s v="ORD102396"/>
    <x v="639"/>
    <s v="CUST1121"/>
    <s v="Sneha Singh"/>
    <x v="2"/>
    <s v="Karnataka"/>
    <s v="Bengaluru"/>
    <x v="0"/>
    <s v="Computers"/>
    <x v="3"/>
    <n v="4"/>
    <n v="15656.91"/>
    <n v="0"/>
    <n v="62627.64"/>
    <n v="48497.06"/>
    <n v="14130.58"/>
    <x v="4"/>
    <n v="0.2256284924675431"/>
    <x v="1"/>
    <x v="9"/>
    <x v="9"/>
    <s v="Q4"/>
  </r>
  <r>
    <s v="ORD101663"/>
    <x v="639"/>
    <s v="CUST1354"/>
    <s v="Neha Patel"/>
    <x v="2"/>
    <s v="Telangana"/>
    <s v="Nizamabad"/>
    <x v="2"/>
    <s v="Office"/>
    <x v="14"/>
    <n v="2"/>
    <n v="8965.65"/>
    <n v="0.15"/>
    <n v="15241.6"/>
    <n v="12532.25"/>
    <n v="2709.35"/>
    <x v="2"/>
    <n v="0.17776020890195249"/>
    <x v="1"/>
    <x v="9"/>
    <x v="9"/>
    <s v="Q4"/>
  </r>
  <r>
    <s v="ORD100888"/>
    <x v="640"/>
    <s v="CUST1199"/>
    <s v="Sneha Verma"/>
    <x v="2"/>
    <s v="Telangana"/>
    <s v="Warangal"/>
    <x v="3"/>
    <s v="Cleaning"/>
    <x v="12"/>
    <n v="2"/>
    <n v="13741.7"/>
    <n v="0.1"/>
    <n v="24735.06"/>
    <n v="19868.45"/>
    <n v="4866.6099999999997"/>
    <x v="0"/>
    <n v="0.19674947220665731"/>
    <x v="1"/>
    <x v="9"/>
    <x v="9"/>
    <s v="Q4"/>
  </r>
  <r>
    <s v="ORD102199"/>
    <x v="640"/>
    <s v="CUST1088"/>
    <s v="Aarav Malhotra"/>
    <x v="2"/>
    <s v="Telangana"/>
    <s v="Nizamabad"/>
    <x v="1"/>
    <s v="Storage"/>
    <x v="9"/>
    <n v="1"/>
    <n v="512.16999999999996"/>
    <n v="0"/>
    <n v="512.16999999999996"/>
    <n v="230.52"/>
    <n v="281.64999999999998"/>
    <x v="0"/>
    <n v="0.54991506726282291"/>
    <x v="1"/>
    <x v="9"/>
    <x v="9"/>
    <s v="Q4"/>
  </r>
  <r>
    <s v="ORD101290"/>
    <x v="641"/>
    <s v="CUST1627"/>
    <s v="Rahul Das"/>
    <x v="3"/>
    <s v="West Bengal"/>
    <s v="Durgapur"/>
    <x v="2"/>
    <s v="Living Room"/>
    <x v="16"/>
    <n v="2"/>
    <n v="3863.76"/>
    <n v="0.2"/>
    <n v="6182.02"/>
    <n v="4746.6400000000003"/>
    <n v="1435.38"/>
    <x v="2"/>
    <n v="0.2321862433314677"/>
    <x v="1"/>
    <x v="9"/>
    <x v="9"/>
    <s v="Q4"/>
  </r>
  <r>
    <s v="ORD102042"/>
    <x v="641"/>
    <s v="CUST1399"/>
    <s v="Meera Malhotra"/>
    <x v="2"/>
    <s v="Tamil Nadu"/>
    <s v="Salem"/>
    <x v="0"/>
    <s v="Accessories"/>
    <x v="6"/>
    <n v="1"/>
    <n v="802.31"/>
    <n v="0.1"/>
    <n v="722.08"/>
    <n v="482.75"/>
    <n v="239.33"/>
    <x v="2"/>
    <n v="0.33144526922224682"/>
    <x v="1"/>
    <x v="9"/>
    <x v="9"/>
    <s v="Q4"/>
  </r>
  <r>
    <s v="ORD102227"/>
    <x v="642"/>
    <s v="CUST1029"/>
    <s v="Aditya Patel"/>
    <x v="1"/>
    <s v="Delhi"/>
    <s v="New Delhi"/>
    <x v="2"/>
    <s v="Office"/>
    <x v="10"/>
    <n v="1"/>
    <n v="6743.2"/>
    <n v="0"/>
    <n v="6743.2"/>
    <n v="4464.54"/>
    <n v="2278.66"/>
    <x v="0"/>
    <n v="0.33791968205006517"/>
    <x v="1"/>
    <x v="9"/>
    <x v="9"/>
    <s v="Q4"/>
  </r>
  <r>
    <s v="ORD100076"/>
    <x v="643"/>
    <s v="CUST1153"/>
    <s v="Ananya Iyer"/>
    <x v="1"/>
    <s v="Delhi"/>
    <s v="Delhi"/>
    <x v="1"/>
    <s v="Storage"/>
    <x v="2"/>
    <n v="4"/>
    <n v="724.24"/>
    <n v="0.1"/>
    <n v="2607.2600000000002"/>
    <n v="1312.44"/>
    <n v="1294.82"/>
    <x v="4"/>
    <n v="0.4966209737425496"/>
    <x v="1"/>
    <x v="9"/>
    <x v="9"/>
    <s v="Q4"/>
  </r>
  <r>
    <s v="ORD101292"/>
    <x v="643"/>
    <s v="CUST1376"/>
    <s v="Arjun Rao"/>
    <x v="3"/>
    <s v="West Bengal"/>
    <s v="Durgapur"/>
    <x v="1"/>
    <s v="Stationery"/>
    <x v="17"/>
    <n v="1"/>
    <n v="288.95"/>
    <n v="0.1"/>
    <n v="260.06"/>
    <n v="121.66"/>
    <n v="138.4"/>
    <x v="0"/>
    <n v="0.53218488041221257"/>
    <x v="1"/>
    <x v="9"/>
    <x v="9"/>
    <s v="Q4"/>
  </r>
  <r>
    <s v="ORD100842"/>
    <x v="644"/>
    <s v="CUST1526"/>
    <s v="Ananya Mehta"/>
    <x v="1"/>
    <s v="Delhi"/>
    <s v="New Delhi"/>
    <x v="1"/>
    <s v="Stationery"/>
    <x v="17"/>
    <n v="2"/>
    <n v="316.91000000000003"/>
    <n v="0.1"/>
    <n v="570.44000000000005"/>
    <n v="267.88"/>
    <n v="302.56"/>
    <x v="4"/>
    <n v="0.53039758782694058"/>
    <x v="1"/>
    <x v="9"/>
    <x v="9"/>
    <s v="Q4"/>
  </r>
  <r>
    <s v="ORD100569"/>
    <x v="644"/>
    <s v="CUST1115"/>
    <s v="Rahul Das"/>
    <x v="3"/>
    <s v="West Bengal"/>
    <s v="Siliguri"/>
    <x v="3"/>
    <s v="Kitchen"/>
    <x v="13"/>
    <n v="3"/>
    <n v="3371.16"/>
    <n v="0.05"/>
    <n v="9607.81"/>
    <n v="5875.43"/>
    <n v="3732.38"/>
    <x v="0"/>
    <n v="0.38847354391895761"/>
    <x v="1"/>
    <x v="9"/>
    <x v="9"/>
    <s v="Q4"/>
  </r>
  <r>
    <s v="ORD101072"/>
    <x v="644"/>
    <s v="CUST1248"/>
    <s v="Meera Malhotra"/>
    <x v="2"/>
    <s v="Tamil Nadu"/>
    <s v="Madurai"/>
    <x v="1"/>
    <s v="Storage"/>
    <x v="2"/>
    <n v="3"/>
    <n v="694.73"/>
    <n v="0.05"/>
    <n v="1979.98"/>
    <n v="1003.95"/>
    <n v="976.03"/>
    <x v="0"/>
    <n v="0.49294942373155282"/>
    <x v="1"/>
    <x v="9"/>
    <x v="9"/>
    <s v="Q4"/>
  </r>
  <r>
    <s v="ORD102181"/>
    <x v="644"/>
    <s v="CUST1111"/>
    <s v="Rahul Joshi"/>
    <x v="2"/>
    <s v="Telangana"/>
    <s v="Karimnagar"/>
    <x v="0"/>
    <s v="Audio"/>
    <x v="11"/>
    <n v="1"/>
    <n v="1957.88"/>
    <n v="0.15"/>
    <n v="1664.2"/>
    <n v="1096.28"/>
    <n v="567.91999999999996"/>
    <x v="1"/>
    <n v="0.34125706044946519"/>
    <x v="1"/>
    <x v="9"/>
    <x v="9"/>
    <s v="Q4"/>
  </r>
  <r>
    <s v="ORD100284"/>
    <x v="644"/>
    <s v="CUST1634"/>
    <s v="Sneha Gupta"/>
    <x v="1"/>
    <s v="Delhi"/>
    <s v="Delhi"/>
    <x v="1"/>
    <s v="Stationery"/>
    <x v="17"/>
    <n v="2"/>
    <n v="314.5"/>
    <n v="0.05"/>
    <n v="597.54999999999995"/>
    <n v="268.02"/>
    <n v="329.53"/>
    <x v="2"/>
    <n v="0.55146849636013717"/>
    <x v="1"/>
    <x v="9"/>
    <x v="9"/>
    <s v="Q4"/>
  </r>
  <r>
    <s v="ORD102313"/>
    <x v="644"/>
    <s v="CUST1200"/>
    <s v="Rahul Rao"/>
    <x v="1"/>
    <s v="Delhi"/>
    <s v="Delhi"/>
    <x v="0"/>
    <s v="Audio"/>
    <x v="8"/>
    <n v="2"/>
    <n v="3072.95"/>
    <n v="0.1"/>
    <n v="5531.31"/>
    <n v="3107.01"/>
    <n v="2424.3000000000002"/>
    <x v="2"/>
    <n v="0.43828677112655051"/>
    <x v="1"/>
    <x v="9"/>
    <x v="9"/>
    <s v="Q4"/>
  </r>
  <r>
    <s v="ORD101593"/>
    <x v="644"/>
    <s v="CUST1151"/>
    <s v="Kavya Nair"/>
    <x v="2"/>
    <s v="Tamil Nadu"/>
    <s v="Chennai"/>
    <x v="3"/>
    <s v="Cleaning"/>
    <x v="12"/>
    <n v="3"/>
    <n v="13385.35"/>
    <n v="0.1"/>
    <n v="36140.449999999997"/>
    <n v="29843.4"/>
    <n v="6297.05"/>
    <x v="0"/>
    <n v="0.17423828424936599"/>
    <x v="1"/>
    <x v="9"/>
    <x v="9"/>
    <s v="Q4"/>
  </r>
  <r>
    <s v="ORD100430"/>
    <x v="645"/>
    <s v="CUST1202"/>
    <s v="Vikram Patel"/>
    <x v="1"/>
    <s v="Delhi"/>
    <s v="New Delhi"/>
    <x v="2"/>
    <s v="Office"/>
    <x v="10"/>
    <n v="1"/>
    <n v="6828.78"/>
    <n v="0.15"/>
    <n v="5804.46"/>
    <n v="4269.09"/>
    <n v="1535.37"/>
    <x v="0"/>
    <n v="0.26451556217115801"/>
    <x v="1"/>
    <x v="9"/>
    <x v="9"/>
    <s v="Q4"/>
  </r>
  <r>
    <s v="ORD101207"/>
    <x v="645"/>
    <s v="CUST1162"/>
    <s v="Rohan Gupta"/>
    <x v="2"/>
    <s v="Telangana"/>
    <s v="Karimnagar"/>
    <x v="1"/>
    <s v="Storage"/>
    <x v="2"/>
    <n v="2"/>
    <n v="682.77"/>
    <n v="0.1"/>
    <n v="1228.99"/>
    <n v="661.74"/>
    <n v="567.25"/>
    <x v="3"/>
    <n v="0.46155786458799503"/>
    <x v="1"/>
    <x v="9"/>
    <x v="9"/>
    <s v="Q4"/>
  </r>
  <r>
    <s v="ORD102471"/>
    <x v="645"/>
    <s v="CUST1642"/>
    <s v="Kiran Joshi"/>
    <x v="2"/>
    <s v="Telangana"/>
    <s v="Nizamabad"/>
    <x v="3"/>
    <s v="Cleaning"/>
    <x v="15"/>
    <n v="4"/>
    <n v="7284.06"/>
    <n v="0.15"/>
    <n v="24765.8"/>
    <n v="18728.98"/>
    <n v="6036.82"/>
    <x v="1"/>
    <n v="0.24375630910368329"/>
    <x v="1"/>
    <x v="9"/>
    <x v="9"/>
    <s v="Q4"/>
  </r>
  <r>
    <s v="ORD101096"/>
    <x v="646"/>
    <s v="CUST1372"/>
    <s v="Pooja Kumar"/>
    <x v="3"/>
    <s v="West Bengal"/>
    <s v="Durgapur"/>
    <x v="2"/>
    <s v="Office"/>
    <x v="14"/>
    <n v="3"/>
    <n v="8560.41"/>
    <n v="0.05"/>
    <n v="24397.17"/>
    <n v="17119.599999999999"/>
    <n v="7277.57"/>
    <x v="3"/>
    <n v="0.29829566298058341"/>
    <x v="1"/>
    <x v="9"/>
    <x v="9"/>
    <s v="Q4"/>
  </r>
  <r>
    <s v="ORD100711"/>
    <x v="646"/>
    <s v="CUST1519"/>
    <s v="Aarav Mehta"/>
    <x v="2"/>
    <s v="Tamil Nadu"/>
    <s v="Salem"/>
    <x v="2"/>
    <s v="Living Room"/>
    <x v="4"/>
    <n v="2"/>
    <n v="4954.53"/>
    <n v="0.05"/>
    <n v="9413.61"/>
    <n v="6021.95"/>
    <n v="3391.66"/>
    <x v="3"/>
    <n v="0.36029323500761129"/>
    <x v="1"/>
    <x v="9"/>
    <x v="9"/>
    <s v="Q4"/>
  </r>
  <r>
    <s v="ORD101701"/>
    <x v="646"/>
    <s v="CUST1404"/>
    <s v="Kavya Reddy"/>
    <x v="1"/>
    <s v="Delhi"/>
    <s v="Delhi"/>
    <x v="0"/>
    <s v="Accessories"/>
    <x v="6"/>
    <n v="1"/>
    <n v="822.85"/>
    <n v="0.1"/>
    <n v="740.57"/>
    <n v="498.61"/>
    <n v="241.96"/>
    <x v="2"/>
    <n v="0.32672130926178478"/>
    <x v="1"/>
    <x v="9"/>
    <x v="9"/>
    <s v="Q4"/>
  </r>
  <r>
    <s v="ORD100171"/>
    <x v="647"/>
    <s v="CUST1561"/>
    <s v="Aditya Iyer"/>
    <x v="2"/>
    <s v="Telangana"/>
    <s v="Nizamabad"/>
    <x v="2"/>
    <s v="Office"/>
    <x v="14"/>
    <n v="2"/>
    <n v="8194.94"/>
    <n v="0.1"/>
    <n v="14750.89"/>
    <n v="11413.12"/>
    <n v="3337.77"/>
    <x v="3"/>
    <n v="0.22627583827145339"/>
    <x v="1"/>
    <x v="9"/>
    <x v="9"/>
    <s v="Q4"/>
  </r>
  <r>
    <s v="ORD101631"/>
    <x v="647"/>
    <s v="CUST1123"/>
    <s v="Nikhil Kumar"/>
    <x v="2"/>
    <s v="Telangana"/>
    <s v="Nizamabad"/>
    <x v="0"/>
    <s v="Audio"/>
    <x v="11"/>
    <n v="2"/>
    <n v="2085.81"/>
    <n v="0.1"/>
    <n v="3754.46"/>
    <n v="2410.35"/>
    <n v="1344.11"/>
    <x v="2"/>
    <n v="0.35800354778050641"/>
    <x v="1"/>
    <x v="9"/>
    <x v="9"/>
    <s v="Q4"/>
  </r>
  <r>
    <s v="ORD101722"/>
    <x v="647"/>
    <s v="CUST1106"/>
    <s v="Vikram Iyer"/>
    <x v="0"/>
    <s v="Maharashtra"/>
    <s v="Nagpur"/>
    <x v="2"/>
    <s v="Living Room"/>
    <x v="4"/>
    <n v="1"/>
    <n v="5201.93"/>
    <n v="0"/>
    <n v="5201.93"/>
    <n v="3253.09"/>
    <n v="1948.84"/>
    <x v="1"/>
    <n v="0.3746378747887803"/>
    <x v="1"/>
    <x v="9"/>
    <x v="9"/>
    <s v="Q4"/>
  </r>
  <r>
    <s v="ORD101688"/>
    <x v="648"/>
    <s v="CUST1253"/>
    <s v="Aditya Sharma"/>
    <x v="2"/>
    <s v="Tamil Nadu"/>
    <s v="Chennai"/>
    <x v="1"/>
    <s v="Stationery"/>
    <x v="17"/>
    <n v="2"/>
    <n v="294.92"/>
    <n v="0.05"/>
    <n v="560.35"/>
    <n v="244.6"/>
    <n v="315.75"/>
    <x v="4"/>
    <n v="0.56348710627286513"/>
    <x v="1"/>
    <x v="9"/>
    <x v="9"/>
    <s v="Q4"/>
  </r>
  <r>
    <s v="ORD100349"/>
    <x v="648"/>
    <s v="CUST1074"/>
    <s v="Kavya Nair"/>
    <x v="2"/>
    <s v="Karnataka"/>
    <s v="Bengaluru"/>
    <x v="1"/>
    <s v="Storage"/>
    <x v="9"/>
    <n v="4"/>
    <n v="475.09"/>
    <n v="0.2"/>
    <n v="1520.29"/>
    <n v="861.47"/>
    <n v="658.82"/>
    <x v="0"/>
    <n v="0.43335153161567858"/>
    <x v="1"/>
    <x v="9"/>
    <x v="9"/>
    <s v="Q4"/>
  </r>
  <r>
    <s v="ORD100346"/>
    <x v="648"/>
    <s v="CUST1160"/>
    <s v="Meera Sharma"/>
    <x v="2"/>
    <s v="Karnataka"/>
    <s v="Mangaluru"/>
    <x v="3"/>
    <s v="Kitchen"/>
    <x v="7"/>
    <n v="3"/>
    <n v="1760.48"/>
    <n v="0.1"/>
    <n v="4753.3"/>
    <n v="2757.49"/>
    <n v="1995.81"/>
    <x v="3"/>
    <n v="0.41987882102960039"/>
    <x v="1"/>
    <x v="9"/>
    <x v="9"/>
    <s v="Q4"/>
  </r>
  <r>
    <s v="ORD101358"/>
    <x v="648"/>
    <s v="CUST1548"/>
    <s v="Meera Sharma"/>
    <x v="1"/>
    <s v="Delhi"/>
    <s v="New Delhi"/>
    <x v="0"/>
    <s v="Computers"/>
    <x v="0"/>
    <n v="2"/>
    <n v="61051.03"/>
    <n v="0"/>
    <n v="122102.06"/>
    <n v="110092.03"/>
    <n v="12010.03"/>
    <x v="2"/>
    <n v="9.8360584579817903E-2"/>
    <x v="1"/>
    <x v="9"/>
    <x v="9"/>
    <s v="Q4"/>
  </r>
  <r>
    <s v="ORD102295"/>
    <x v="649"/>
    <s v="CUST1040"/>
    <s v="Vikram Joshi"/>
    <x v="0"/>
    <s v="Maharashtra"/>
    <s v="Nashik"/>
    <x v="1"/>
    <s v="Stationery"/>
    <x v="1"/>
    <n v="1"/>
    <n v="263.39"/>
    <n v="0.1"/>
    <n v="237.05"/>
    <n v="103.54"/>
    <n v="133.51"/>
    <x v="2"/>
    <n v="0.56321451170639103"/>
    <x v="1"/>
    <x v="9"/>
    <x v="9"/>
    <s v="Q4"/>
  </r>
  <r>
    <s v="ORD100881"/>
    <x v="649"/>
    <s v="CUST1258"/>
    <s v="Kavya Joshi"/>
    <x v="0"/>
    <s v="Maharashtra"/>
    <s v="Nagpur"/>
    <x v="0"/>
    <s v="Computers"/>
    <x v="0"/>
    <n v="2"/>
    <n v="57537.65"/>
    <n v="0.15"/>
    <n v="97814.01"/>
    <n v="103618.99"/>
    <n v="-5804.98"/>
    <x v="0"/>
    <n v="-5.9347122155609403E-2"/>
    <x v="1"/>
    <x v="9"/>
    <x v="9"/>
    <s v="Q4"/>
  </r>
  <r>
    <s v="ORD100916"/>
    <x v="649"/>
    <s v="CUST1145"/>
    <s v="Kavya Rao"/>
    <x v="2"/>
    <s v="Karnataka"/>
    <s v="Mangaluru"/>
    <x v="0"/>
    <s v="Audio"/>
    <x v="8"/>
    <n v="3"/>
    <n v="2925.1"/>
    <n v="0.15"/>
    <n v="7459"/>
    <n v="4564.95"/>
    <n v="2894.05"/>
    <x v="3"/>
    <n v="0.38799436921839392"/>
    <x v="1"/>
    <x v="9"/>
    <x v="9"/>
    <s v="Q4"/>
  </r>
  <r>
    <s v="ORD100414"/>
    <x v="649"/>
    <s v="CUST1397"/>
    <s v="Nikhil Kumar"/>
    <x v="2"/>
    <s v="Karnataka"/>
    <s v="Mangaluru"/>
    <x v="1"/>
    <s v="Storage"/>
    <x v="9"/>
    <n v="6"/>
    <n v="524.08000000000004"/>
    <n v="0.2"/>
    <n v="2515.58"/>
    <n v="1443.92"/>
    <n v="1071.6600000000001"/>
    <x v="2"/>
    <n v="0.42600911121888402"/>
    <x v="1"/>
    <x v="9"/>
    <x v="9"/>
    <s v="Q4"/>
  </r>
  <r>
    <s v="ORD101772"/>
    <x v="649"/>
    <s v="CUST1074"/>
    <s v="Rahul Singh"/>
    <x v="0"/>
    <s v="Maharashtra"/>
    <s v="Mumbai"/>
    <x v="3"/>
    <s v="Kitchen"/>
    <x v="7"/>
    <n v="4"/>
    <n v="1867.77"/>
    <n v="0.15"/>
    <n v="6350.42"/>
    <n v="4156.91"/>
    <n v="2193.5100000000002"/>
    <x v="3"/>
    <n v="0.345411799534519"/>
    <x v="1"/>
    <x v="9"/>
    <x v="9"/>
    <s v="Q4"/>
  </r>
  <r>
    <s v="ORD100783"/>
    <x v="650"/>
    <s v="CUST1327"/>
    <s v="Vikram Singh"/>
    <x v="2"/>
    <s v="Karnataka"/>
    <s v="Bengaluru"/>
    <x v="3"/>
    <s v="Cleaning"/>
    <x v="15"/>
    <n v="2"/>
    <n v="7939.25"/>
    <n v="0.1"/>
    <n v="14290.65"/>
    <n v="10460.94"/>
    <n v="3829.71"/>
    <x v="0"/>
    <n v="0.2679871104533384"/>
    <x v="1"/>
    <x v="10"/>
    <x v="10"/>
    <s v="Q4"/>
  </r>
  <r>
    <s v="ORD101006"/>
    <x v="651"/>
    <s v="CUST1484"/>
    <s v="Kiran Iyer"/>
    <x v="2"/>
    <s v="Telangana"/>
    <s v="Karimnagar"/>
    <x v="3"/>
    <s v="Cleaning"/>
    <x v="12"/>
    <n v="2"/>
    <n v="13382.63"/>
    <n v="0.1"/>
    <n v="24088.73"/>
    <n v="19349.740000000002"/>
    <n v="4738.99"/>
    <x v="2"/>
    <n v="0.19673058729123541"/>
    <x v="1"/>
    <x v="10"/>
    <x v="10"/>
    <s v="Q4"/>
  </r>
  <r>
    <s v="ORD101635"/>
    <x v="651"/>
    <s v="CUST1188"/>
    <s v="Pooja Verma"/>
    <x v="3"/>
    <s v="West Bengal"/>
    <s v="Kolkata"/>
    <x v="1"/>
    <s v="Stationery"/>
    <x v="17"/>
    <n v="5"/>
    <n v="298.25"/>
    <n v="0.15"/>
    <n v="1267.56"/>
    <n v="609.83000000000004"/>
    <n v="657.73"/>
    <x v="0"/>
    <n v="0.51889456909337628"/>
    <x v="1"/>
    <x v="10"/>
    <x v="10"/>
    <s v="Q4"/>
  </r>
  <r>
    <s v="ORD101930"/>
    <x v="651"/>
    <s v="CUST1531"/>
    <s v="Ananya Naidu"/>
    <x v="2"/>
    <s v="Karnataka"/>
    <s v="Mysuru"/>
    <x v="1"/>
    <s v="Stationery"/>
    <x v="17"/>
    <n v="2"/>
    <n v="313.22000000000003"/>
    <n v="0.1"/>
    <n v="563.79999999999995"/>
    <n v="258.42"/>
    <n v="305.38"/>
    <x v="2"/>
    <n v="0.54164597374955659"/>
    <x v="1"/>
    <x v="10"/>
    <x v="10"/>
    <s v="Q4"/>
  </r>
  <r>
    <s v="ORD100715"/>
    <x v="651"/>
    <s v="CUST1080"/>
    <s v="Vikram Das"/>
    <x v="0"/>
    <s v="Maharashtra"/>
    <s v="Mumbai"/>
    <x v="2"/>
    <s v="Office"/>
    <x v="14"/>
    <n v="1"/>
    <n v="8175.69"/>
    <n v="0"/>
    <n v="8175.69"/>
    <n v="5697.73"/>
    <n v="2477.96"/>
    <x v="0"/>
    <n v="0.30308879128244842"/>
    <x v="1"/>
    <x v="10"/>
    <x v="10"/>
    <s v="Q4"/>
  </r>
  <r>
    <s v="ORD101057"/>
    <x v="651"/>
    <s v="CUST1211"/>
    <s v="Aditya Malhotra"/>
    <x v="2"/>
    <s v="Telangana"/>
    <s v="Hyderabad"/>
    <x v="0"/>
    <s v="Audio"/>
    <x v="8"/>
    <n v="3"/>
    <n v="3010.69"/>
    <n v="0.1"/>
    <n v="8128.86"/>
    <n v="4722.8100000000004"/>
    <n v="3406.05"/>
    <x v="2"/>
    <n v="0.41900709324554741"/>
    <x v="1"/>
    <x v="10"/>
    <x v="10"/>
    <s v="Q4"/>
  </r>
  <r>
    <s v="ORD101979"/>
    <x v="651"/>
    <s v="CUST1323"/>
    <s v="Meera Iyer"/>
    <x v="2"/>
    <s v="Telangana"/>
    <s v="Nizamabad"/>
    <x v="2"/>
    <s v="Office"/>
    <x v="14"/>
    <n v="3"/>
    <n v="8152.3"/>
    <n v="0.15"/>
    <n v="20788.37"/>
    <n v="17168.439999999999"/>
    <n v="3619.93"/>
    <x v="3"/>
    <n v="0.17413245963969279"/>
    <x v="1"/>
    <x v="10"/>
    <x v="10"/>
    <s v="Q4"/>
  </r>
  <r>
    <s v="ORD101530"/>
    <x v="651"/>
    <s v="CUST1512"/>
    <s v="Rahul Verma"/>
    <x v="2"/>
    <s v="Tamil Nadu"/>
    <s v="Chennai"/>
    <x v="2"/>
    <s v="Office"/>
    <x v="14"/>
    <n v="4"/>
    <n v="8382.35"/>
    <n v="0.1"/>
    <n v="30176.46"/>
    <n v="23172.15"/>
    <n v="7004.31"/>
    <x v="2"/>
    <n v="0.23211171886960899"/>
    <x v="1"/>
    <x v="10"/>
    <x v="10"/>
    <s v="Q4"/>
  </r>
  <r>
    <s v="ORD100292"/>
    <x v="651"/>
    <s v="CUST1614"/>
    <s v="Priya Verma"/>
    <x v="1"/>
    <s v="Delhi"/>
    <s v="New Delhi"/>
    <x v="2"/>
    <s v="Office"/>
    <x v="14"/>
    <n v="1"/>
    <n v="8185.92"/>
    <n v="0"/>
    <n v="8185.92"/>
    <n v="5510.04"/>
    <n v="2675.88"/>
    <x v="0"/>
    <n v="0.32688812008912871"/>
    <x v="1"/>
    <x v="10"/>
    <x v="10"/>
    <s v="Q4"/>
  </r>
  <r>
    <s v="ORD102207"/>
    <x v="652"/>
    <s v="CUST1266"/>
    <s v="Kavya Verma"/>
    <x v="2"/>
    <s v="Telangana"/>
    <s v="Karimnagar"/>
    <x v="2"/>
    <s v="Office"/>
    <x v="14"/>
    <n v="1"/>
    <n v="8645.08"/>
    <n v="0"/>
    <n v="8645.08"/>
    <n v="5871.48"/>
    <n v="2773.6"/>
    <x v="0"/>
    <n v="0.32082988243023769"/>
    <x v="1"/>
    <x v="10"/>
    <x v="10"/>
    <s v="Q4"/>
  </r>
  <r>
    <s v="ORD101484"/>
    <x v="652"/>
    <s v="CUST1128"/>
    <s v="Aisha Reddy"/>
    <x v="2"/>
    <s v="Karnataka"/>
    <s v="Mangaluru"/>
    <x v="1"/>
    <s v="Stationery"/>
    <x v="1"/>
    <n v="5"/>
    <n v="259.39999999999998"/>
    <n v="0.05"/>
    <n v="1232.1500000000001"/>
    <n v="500.11"/>
    <n v="732.04"/>
    <x v="1"/>
    <n v="0.5941159761392687"/>
    <x v="1"/>
    <x v="10"/>
    <x v="10"/>
    <s v="Q4"/>
  </r>
  <r>
    <s v="ORD101132"/>
    <x v="653"/>
    <s v="CUST1471"/>
    <s v="Aarav Kumar"/>
    <x v="0"/>
    <s v="Maharashtra"/>
    <s v="Pune"/>
    <x v="0"/>
    <s v="Accessories"/>
    <x v="6"/>
    <n v="2"/>
    <n v="757.87"/>
    <n v="0"/>
    <n v="1515.74"/>
    <n v="946.93"/>
    <n v="568.80999999999995"/>
    <x v="1"/>
    <n v="0.37526884558037649"/>
    <x v="1"/>
    <x v="10"/>
    <x v="10"/>
    <s v="Q4"/>
  </r>
  <r>
    <s v="ORD101675"/>
    <x v="653"/>
    <s v="CUST1305"/>
    <s v="Rohan Naidu"/>
    <x v="2"/>
    <s v="Karnataka"/>
    <s v="Mysuru"/>
    <x v="3"/>
    <s v="Kitchen"/>
    <x v="13"/>
    <n v="1"/>
    <n v="3180.91"/>
    <n v="0.15"/>
    <n v="2703.77"/>
    <n v="1769.18"/>
    <n v="934.59"/>
    <x v="2"/>
    <n v="0.34566179815590831"/>
    <x v="1"/>
    <x v="10"/>
    <x v="10"/>
    <s v="Q4"/>
  </r>
  <r>
    <s v="ORD101751"/>
    <x v="654"/>
    <s v="CUST1208"/>
    <s v="Pooja Naidu"/>
    <x v="2"/>
    <s v="Telangana"/>
    <s v="Nizamabad"/>
    <x v="0"/>
    <s v="Computers"/>
    <x v="0"/>
    <n v="2"/>
    <n v="60882.87"/>
    <n v="0"/>
    <n v="121765.74"/>
    <n v="102957.53"/>
    <n v="18808.21"/>
    <x v="0"/>
    <n v="0.15446224857665219"/>
    <x v="1"/>
    <x v="10"/>
    <x v="10"/>
    <s v="Q4"/>
  </r>
  <r>
    <s v="ORD100814"/>
    <x v="654"/>
    <s v="CUST1228"/>
    <s v="Aarav Iyer"/>
    <x v="2"/>
    <s v="Tamil Nadu"/>
    <s v="Chennai"/>
    <x v="1"/>
    <s v="Stationery"/>
    <x v="17"/>
    <n v="3"/>
    <n v="307.95999999999998"/>
    <n v="0.1"/>
    <n v="831.49"/>
    <n v="400"/>
    <n v="431.49"/>
    <x v="0"/>
    <n v="0.51893588618023068"/>
    <x v="1"/>
    <x v="10"/>
    <x v="10"/>
    <s v="Q4"/>
  </r>
  <r>
    <s v="ORD100343"/>
    <x v="654"/>
    <s v="CUST1100"/>
    <s v="Meera Reddy"/>
    <x v="0"/>
    <s v="Maharashtra"/>
    <s v="Mumbai"/>
    <x v="2"/>
    <s v="Office"/>
    <x v="10"/>
    <n v="3"/>
    <n v="6704.36"/>
    <n v="0.1"/>
    <n v="18101.77"/>
    <n v="12906.75"/>
    <n v="5195.0200000000004"/>
    <x v="0"/>
    <n v="0.28698961482772128"/>
    <x v="1"/>
    <x v="10"/>
    <x v="10"/>
    <s v="Q4"/>
  </r>
  <r>
    <s v="ORD101419"/>
    <x v="654"/>
    <s v="CUST1317"/>
    <s v="Vikram Sharma"/>
    <x v="2"/>
    <s v="Karnataka"/>
    <s v="Mysuru"/>
    <x v="3"/>
    <s v="Cleaning"/>
    <x v="15"/>
    <n v="2"/>
    <n v="7866.79"/>
    <n v="0.05"/>
    <n v="14946.9"/>
    <n v="10135.709999999999"/>
    <n v="4811.1899999999996"/>
    <x v="1"/>
    <n v="0.32188547458001321"/>
    <x v="1"/>
    <x v="10"/>
    <x v="10"/>
    <s v="Q4"/>
  </r>
  <r>
    <s v="ORD101337"/>
    <x v="654"/>
    <s v="CUST1405"/>
    <s v="Sanjana Reddy"/>
    <x v="3"/>
    <s v="West Bengal"/>
    <s v="Durgapur"/>
    <x v="2"/>
    <s v="Living Room"/>
    <x v="4"/>
    <n v="1"/>
    <n v="5194.13"/>
    <n v="0"/>
    <n v="5194.13"/>
    <n v="3158.35"/>
    <n v="2035.78"/>
    <x v="1"/>
    <n v="0.39193859221852362"/>
    <x v="1"/>
    <x v="10"/>
    <x v="10"/>
    <s v="Q4"/>
  </r>
  <r>
    <s v="ORD101384"/>
    <x v="654"/>
    <s v="CUST1308"/>
    <s v="Sneha Reddy"/>
    <x v="1"/>
    <s v="Delhi"/>
    <s v="New Delhi"/>
    <x v="3"/>
    <s v="Cleaning"/>
    <x v="12"/>
    <n v="2"/>
    <n v="13125.7"/>
    <n v="0.05"/>
    <n v="24938.83"/>
    <n v="18794.28"/>
    <n v="6144.55"/>
    <x v="0"/>
    <n v="0.2463848544618974"/>
    <x v="1"/>
    <x v="10"/>
    <x v="10"/>
    <s v="Q4"/>
  </r>
  <r>
    <s v="ORD100075"/>
    <x v="655"/>
    <s v="CUST1240"/>
    <s v="Ananya Nair"/>
    <x v="0"/>
    <s v="Maharashtra"/>
    <s v="Nashik"/>
    <x v="0"/>
    <s v="Computers"/>
    <x v="0"/>
    <n v="4"/>
    <n v="58097.75"/>
    <n v="0"/>
    <n v="232391"/>
    <n v="197120.64000000001"/>
    <n v="35270.36"/>
    <x v="1"/>
    <n v="0.15177162626779869"/>
    <x v="1"/>
    <x v="10"/>
    <x v="10"/>
    <s v="Q4"/>
  </r>
  <r>
    <s v="ORD101924"/>
    <x v="655"/>
    <s v="CUST1321"/>
    <s v="Meera Singh"/>
    <x v="0"/>
    <s v="Maharashtra"/>
    <s v="Mumbai"/>
    <x v="2"/>
    <s v="Office"/>
    <x v="10"/>
    <n v="4"/>
    <n v="6890.07"/>
    <n v="0.2"/>
    <n v="22048.22"/>
    <n v="16961.439999999999"/>
    <n v="5086.78"/>
    <x v="4"/>
    <n v="0.23071159485890469"/>
    <x v="1"/>
    <x v="10"/>
    <x v="10"/>
    <s v="Q4"/>
  </r>
  <r>
    <s v="ORD101185"/>
    <x v="655"/>
    <s v="CUST1419"/>
    <s v="Vikram Naidu"/>
    <x v="2"/>
    <s v="Karnataka"/>
    <s v="Mangaluru"/>
    <x v="1"/>
    <s v="Stationery"/>
    <x v="1"/>
    <n v="2"/>
    <n v="240.65"/>
    <n v="0.2"/>
    <n v="385.04"/>
    <n v="177.12"/>
    <n v="207.92"/>
    <x v="0"/>
    <n v="0.53999584458757521"/>
    <x v="1"/>
    <x v="10"/>
    <x v="10"/>
    <s v="Q4"/>
  </r>
  <r>
    <s v="ORD100459"/>
    <x v="655"/>
    <s v="CUST1355"/>
    <s v="Diya Gupta"/>
    <x v="1"/>
    <s v="Delhi"/>
    <s v="Delhi"/>
    <x v="3"/>
    <s v="Kitchen"/>
    <x v="7"/>
    <n v="3"/>
    <n v="1777.43"/>
    <n v="0.05"/>
    <n v="5065.68"/>
    <n v="2795.01"/>
    <n v="2270.67"/>
    <x v="4"/>
    <n v="0.44824584261145589"/>
    <x v="1"/>
    <x v="10"/>
    <x v="10"/>
    <s v="Q4"/>
  </r>
  <r>
    <s v="ORD101521"/>
    <x v="655"/>
    <s v="CUST1578"/>
    <s v="Aditya Naidu"/>
    <x v="3"/>
    <s v="West Bengal"/>
    <s v="Durgapur"/>
    <x v="0"/>
    <s v="Audio"/>
    <x v="11"/>
    <n v="1"/>
    <n v="2106.6999999999998"/>
    <n v="0.05"/>
    <n v="2001.36"/>
    <n v="1182.5899999999999"/>
    <n v="818.77"/>
    <x v="0"/>
    <n v="0.40910680737098781"/>
    <x v="1"/>
    <x v="10"/>
    <x v="10"/>
    <s v="Q4"/>
  </r>
  <r>
    <s v="ORD101264"/>
    <x v="655"/>
    <s v="CUST1514"/>
    <s v="Neha Sharma"/>
    <x v="2"/>
    <s v="Karnataka"/>
    <s v="Mysuru"/>
    <x v="2"/>
    <s v="Office"/>
    <x v="14"/>
    <n v="2"/>
    <n v="8374.99"/>
    <n v="0.1"/>
    <n v="15074.98"/>
    <n v="11791.9"/>
    <n v="3283.08"/>
    <x v="4"/>
    <n v="0.21778337351027999"/>
    <x v="1"/>
    <x v="10"/>
    <x v="10"/>
    <s v="Q4"/>
  </r>
  <r>
    <s v="ORD101016"/>
    <x v="655"/>
    <s v="CUST1415"/>
    <s v="Sneha Reddy"/>
    <x v="2"/>
    <s v="Karnataka"/>
    <s v="Mysuru"/>
    <x v="2"/>
    <s v="Office"/>
    <x v="10"/>
    <n v="4"/>
    <n v="7013.26"/>
    <n v="0.1"/>
    <n v="25247.74"/>
    <n v="17243.28"/>
    <n v="8004.46"/>
    <x v="2"/>
    <n v="0.31703669318521183"/>
    <x v="1"/>
    <x v="10"/>
    <x v="10"/>
    <s v="Q4"/>
  </r>
  <r>
    <s v="ORD100464"/>
    <x v="656"/>
    <s v="CUST1121"/>
    <s v="Nikhil Kumar"/>
    <x v="2"/>
    <s v="Tamil Nadu"/>
    <s v="Coimbatore"/>
    <x v="2"/>
    <s v="Office"/>
    <x v="14"/>
    <n v="3"/>
    <n v="8084.13"/>
    <n v="0.1"/>
    <n v="21827.15"/>
    <n v="15928.33"/>
    <n v="5898.82"/>
    <x v="2"/>
    <n v="0.27025149870688558"/>
    <x v="1"/>
    <x v="10"/>
    <x v="10"/>
    <s v="Q4"/>
  </r>
  <r>
    <s v="ORD100662"/>
    <x v="656"/>
    <s v="CUST1007"/>
    <s v="Sanjana Iyer"/>
    <x v="3"/>
    <s v="West Bengal"/>
    <s v="Siliguri"/>
    <x v="0"/>
    <s v="Accessories"/>
    <x v="5"/>
    <n v="2"/>
    <n v="2541.48"/>
    <n v="0.05"/>
    <n v="4828.8100000000004"/>
    <n v="2821.25"/>
    <n v="2007.56"/>
    <x v="1"/>
    <n v="0.41574632259293692"/>
    <x v="1"/>
    <x v="10"/>
    <x v="10"/>
    <s v="Q4"/>
  </r>
  <r>
    <s v="ORD100829"/>
    <x v="656"/>
    <s v="CUST1065"/>
    <s v="Aisha Malhotra"/>
    <x v="2"/>
    <s v="Karnataka"/>
    <s v="Hubballi"/>
    <x v="0"/>
    <s v="Audio"/>
    <x v="8"/>
    <n v="3"/>
    <n v="2849.76"/>
    <n v="0"/>
    <n v="8549.2800000000007"/>
    <n v="4350.32"/>
    <n v="4198.96"/>
    <x v="2"/>
    <n v="0.49114779256264851"/>
    <x v="1"/>
    <x v="10"/>
    <x v="10"/>
    <s v="Q4"/>
  </r>
  <r>
    <s v="ORD100446"/>
    <x v="656"/>
    <s v="CUST1227"/>
    <s v="Aditya Das"/>
    <x v="3"/>
    <s v="West Bengal"/>
    <s v="Durgapur"/>
    <x v="0"/>
    <s v="Computers"/>
    <x v="0"/>
    <n v="2"/>
    <n v="62257.34"/>
    <n v="0.15"/>
    <n v="105837.48"/>
    <n v="106311"/>
    <n v="-473.52"/>
    <x v="0"/>
    <n v="-4.4740294270044978E-3"/>
    <x v="1"/>
    <x v="10"/>
    <x v="10"/>
    <s v="Q4"/>
  </r>
  <r>
    <s v="ORD101718"/>
    <x v="656"/>
    <s v="CUST1469"/>
    <s v="Varun Nair"/>
    <x v="3"/>
    <s v="West Bengal"/>
    <s v="Kolkata"/>
    <x v="1"/>
    <s v="Stationery"/>
    <x v="1"/>
    <n v="1"/>
    <n v="249.68"/>
    <n v="0.05"/>
    <n v="237.2"/>
    <n v="96.72"/>
    <n v="140.47999999999999"/>
    <x v="2"/>
    <n v="0.59224283305227654"/>
    <x v="1"/>
    <x v="10"/>
    <x v="10"/>
    <s v="Q4"/>
  </r>
  <r>
    <s v="ORD101578"/>
    <x v="656"/>
    <s v="CUST1523"/>
    <s v="Rahul Patel"/>
    <x v="1"/>
    <s v="Delhi"/>
    <s v="New Delhi"/>
    <x v="2"/>
    <s v="Living Room"/>
    <x v="4"/>
    <n v="1"/>
    <n v="4768.7700000000004"/>
    <n v="0.1"/>
    <n v="4291.8900000000003"/>
    <n v="2838.58"/>
    <n v="1453.31"/>
    <x v="1"/>
    <n v="0.33861771853425882"/>
    <x v="1"/>
    <x v="10"/>
    <x v="10"/>
    <s v="Q4"/>
  </r>
  <r>
    <s v="ORD102163"/>
    <x v="657"/>
    <s v="CUST1045"/>
    <s v="Aditya Gupta"/>
    <x v="1"/>
    <s v="Delhi"/>
    <s v="New Delhi"/>
    <x v="3"/>
    <s v="Cleaning"/>
    <x v="15"/>
    <n v="5"/>
    <n v="7121"/>
    <n v="0"/>
    <n v="35605"/>
    <n v="22795.75"/>
    <n v="12809.25"/>
    <x v="0"/>
    <n v="0.35975986518747372"/>
    <x v="1"/>
    <x v="10"/>
    <x v="10"/>
    <s v="Q4"/>
  </r>
  <r>
    <s v="ORD100215"/>
    <x v="657"/>
    <s v="CUST1079"/>
    <s v="Arjun Gupta"/>
    <x v="2"/>
    <s v="Telangana"/>
    <s v="Nizamabad"/>
    <x v="1"/>
    <s v="Storage"/>
    <x v="9"/>
    <n v="2"/>
    <n v="505.11"/>
    <n v="0.1"/>
    <n v="909.2"/>
    <n v="463.24"/>
    <n v="445.96"/>
    <x v="2"/>
    <n v="0.49049714034315878"/>
    <x v="1"/>
    <x v="10"/>
    <x v="10"/>
    <s v="Q4"/>
  </r>
  <r>
    <s v="ORD102457"/>
    <x v="657"/>
    <s v="CUST1625"/>
    <s v="Pooja Das"/>
    <x v="1"/>
    <s v="Delhi"/>
    <s v="Delhi"/>
    <x v="2"/>
    <s v="Living Room"/>
    <x v="16"/>
    <n v="3"/>
    <n v="3986.47"/>
    <n v="0.05"/>
    <n v="11361.44"/>
    <n v="7417.15"/>
    <n v="3944.29"/>
    <x v="1"/>
    <n v="0.34716461997774928"/>
    <x v="1"/>
    <x v="10"/>
    <x v="10"/>
    <s v="Q4"/>
  </r>
  <r>
    <s v="ORD102415"/>
    <x v="657"/>
    <s v="CUST1606"/>
    <s v="Pooja Rao"/>
    <x v="1"/>
    <s v="Delhi"/>
    <s v="Delhi"/>
    <x v="1"/>
    <s v="Storage"/>
    <x v="2"/>
    <n v="1"/>
    <n v="674.18"/>
    <n v="0.1"/>
    <n v="606.76"/>
    <n v="316.33"/>
    <n v="290.43"/>
    <x v="0"/>
    <n v="0.47865712967235807"/>
    <x v="1"/>
    <x v="10"/>
    <x v="10"/>
    <s v="Q4"/>
  </r>
  <r>
    <s v="ORD100741"/>
    <x v="657"/>
    <s v="CUST1206"/>
    <s v="Nikhil Malhotra"/>
    <x v="0"/>
    <s v="Maharashtra"/>
    <s v="Nagpur"/>
    <x v="3"/>
    <s v="Cleaning"/>
    <x v="15"/>
    <n v="5"/>
    <n v="7167.55"/>
    <n v="0.2"/>
    <n v="28670.2"/>
    <n v="23846.18"/>
    <n v="4824.0200000000004"/>
    <x v="0"/>
    <n v="0.16825902853834299"/>
    <x v="1"/>
    <x v="10"/>
    <x v="10"/>
    <s v="Q4"/>
  </r>
  <r>
    <s v="ORD100443"/>
    <x v="657"/>
    <s v="CUST1204"/>
    <s v="Ishaan Joshi"/>
    <x v="2"/>
    <s v="Karnataka"/>
    <s v="Mysuru"/>
    <x v="0"/>
    <s v="Accessories"/>
    <x v="6"/>
    <n v="1"/>
    <n v="782.41"/>
    <n v="0.2"/>
    <n v="625.92999999999995"/>
    <n v="469.12"/>
    <n v="156.81"/>
    <x v="1"/>
    <n v="0.25052322144648759"/>
    <x v="1"/>
    <x v="10"/>
    <x v="10"/>
    <s v="Q4"/>
  </r>
  <r>
    <s v="ORD100502"/>
    <x v="657"/>
    <s v="CUST1446"/>
    <s v="Kiran Verma"/>
    <x v="2"/>
    <s v="Tamil Nadu"/>
    <s v="Salem"/>
    <x v="0"/>
    <s v="Computers"/>
    <x v="3"/>
    <n v="6"/>
    <n v="15582.65"/>
    <n v="0.15"/>
    <n v="79471.509999999995"/>
    <n v="71899.929999999993"/>
    <n v="7571.58"/>
    <x v="2"/>
    <n v="9.5274142897247088E-2"/>
    <x v="1"/>
    <x v="10"/>
    <x v="10"/>
    <s v="Q4"/>
  </r>
  <r>
    <s v="ORD101982"/>
    <x v="657"/>
    <s v="CUST1530"/>
    <s v="Kavya Kumar"/>
    <x v="2"/>
    <s v="Tamil Nadu"/>
    <s v="Coimbatore"/>
    <x v="3"/>
    <s v="Kitchen"/>
    <x v="7"/>
    <n v="2"/>
    <n v="1755.81"/>
    <n v="0.05"/>
    <n v="3336.04"/>
    <n v="1920.05"/>
    <n v="1415.99"/>
    <x v="0"/>
    <n v="0.42445234469610682"/>
    <x v="1"/>
    <x v="10"/>
    <x v="10"/>
    <s v="Q4"/>
  </r>
  <r>
    <s v="ORD100604"/>
    <x v="658"/>
    <s v="CUST1114"/>
    <s v="Meera Patel"/>
    <x v="0"/>
    <s v="Maharashtra"/>
    <s v="Nagpur"/>
    <x v="2"/>
    <s v="Office"/>
    <x v="10"/>
    <n v="1"/>
    <n v="7399.27"/>
    <n v="0.15"/>
    <n v="6289.38"/>
    <n v="4659.63"/>
    <n v="1629.75"/>
    <x v="2"/>
    <n v="0.25912729076633939"/>
    <x v="1"/>
    <x v="10"/>
    <x v="10"/>
    <s v="Q4"/>
  </r>
  <r>
    <s v="ORD101217"/>
    <x v="658"/>
    <s v="CUST1499"/>
    <s v="Aarav Malhotra"/>
    <x v="0"/>
    <s v="Maharashtra"/>
    <s v="Nagpur"/>
    <x v="1"/>
    <s v="Storage"/>
    <x v="9"/>
    <n v="2"/>
    <n v="515.29"/>
    <n v="0.1"/>
    <n v="927.52"/>
    <n v="481.41"/>
    <n v="446.11"/>
    <x v="2"/>
    <n v="0.48097076073831302"/>
    <x v="1"/>
    <x v="10"/>
    <x v="10"/>
    <s v="Q4"/>
  </r>
  <r>
    <s v="ORD101344"/>
    <x v="658"/>
    <s v="CUST1069"/>
    <s v="Vikram Iyer"/>
    <x v="3"/>
    <s v="West Bengal"/>
    <s v="Durgapur"/>
    <x v="1"/>
    <s v="Storage"/>
    <x v="2"/>
    <n v="2"/>
    <n v="736.08"/>
    <n v="0.15"/>
    <n v="1251.3399999999999"/>
    <n v="704.19"/>
    <n v="547.15"/>
    <x v="0"/>
    <n v="0.43725126664215958"/>
    <x v="1"/>
    <x v="10"/>
    <x v="10"/>
    <s v="Q4"/>
  </r>
  <r>
    <s v="ORD100655"/>
    <x v="658"/>
    <s v="CUST1492"/>
    <s v="Ishaan Iyer"/>
    <x v="2"/>
    <s v="Karnataka"/>
    <s v="Bengaluru"/>
    <x v="0"/>
    <s v="Computers"/>
    <x v="0"/>
    <n v="2"/>
    <n v="56695.8"/>
    <n v="0"/>
    <n v="113391.6"/>
    <n v="103239.12"/>
    <n v="10152.48"/>
    <x v="0"/>
    <n v="8.9534674526155364E-2"/>
    <x v="1"/>
    <x v="10"/>
    <x v="10"/>
    <s v="Q4"/>
  </r>
  <r>
    <s v="ORD100494"/>
    <x v="658"/>
    <s v="CUST1077"/>
    <s v="Arjun Nair"/>
    <x v="2"/>
    <s v="Tamil Nadu"/>
    <s v="Coimbatore"/>
    <x v="1"/>
    <s v="Storage"/>
    <x v="2"/>
    <n v="2"/>
    <n v="680.53"/>
    <n v="0.15"/>
    <n v="1156.9000000000001"/>
    <n v="640.67999999999995"/>
    <n v="516.22"/>
    <x v="0"/>
    <n v="0.44620969833174862"/>
    <x v="1"/>
    <x v="10"/>
    <x v="10"/>
    <s v="Q4"/>
  </r>
  <r>
    <s v="ORD100639"/>
    <x v="659"/>
    <s v="CUST1096"/>
    <s v="Aditya Sharma"/>
    <x v="2"/>
    <s v="Telangana"/>
    <s v="Hyderabad"/>
    <x v="3"/>
    <s v="Cleaning"/>
    <x v="15"/>
    <n v="3"/>
    <n v="7784.61"/>
    <n v="0.2"/>
    <n v="18683.060000000001"/>
    <n v="15699.56"/>
    <n v="2983.5"/>
    <x v="2"/>
    <n v="0.15969011500257449"/>
    <x v="1"/>
    <x v="10"/>
    <x v="10"/>
    <s v="Q4"/>
  </r>
  <r>
    <s v="ORD100582"/>
    <x v="660"/>
    <s v="CUST1346"/>
    <s v="Neha Joshi"/>
    <x v="1"/>
    <s v="Delhi"/>
    <s v="Delhi"/>
    <x v="0"/>
    <s v="Audio"/>
    <x v="8"/>
    <n v="4"/>
    <n v="3033.27"/>
    <n v="0"/>
    <n v="12133.08"/>
    <n v="6553.4"/>
    <n v="5579.68"/>
    <x v="2"/>
    <n v="0.45987333801474978"/>
    <x v="1"/>
    <x v="10"/>
    <x v="10"/>
    <s v="Q4"/>
  </r>
  <r>
    <s v="ORD101829"/>
    <x v="660"/>
    <s v="CUST1554"/>
    <s v="Nikhil Mehta"/>
    <x v="2"/>
    <s v="Telangana"/>
    <s v="Nizamabad"/>
    <x v="3"/>
    <s v="Kitchen"/>
    <x v="7"/>
    <n v="2"/>
    <n v="1740.19"/>
    <n v="0.1"/>
    <n v="3132.34"/>
    <n v="1885.56"/>
    <n v="1246.78"/>
    <x v="2"/>
    <n v="0.39803469610578668"/>
    <x v="1"/>
    <x v="10"/>
    <x v="10"/>
    <s v="Q4"/>
  </r>
  <r>
    <s v="ORD100599"/>
    <x v="660"/>
    <s v="CUST1540"/>
    <s v="Kavya Joshi"/>
    <x v="2"/>
    <s v="Tamil Nadu"/>
    <s v="Chennai"/>
    <x v="3"/>
    <s v="Kitchen"/>
    <x v="7"/>
    <n v="2"/>
    <n v="1780.93"/>
    <n v="0.15"/>
    <n v="3027.58"/>
    <n v="1990.7"/>
    <n v="1036.8800000000001"/>
    <x v="1"/>
    <n v="0.34247815086636862"/>
    <x v="1"/>
    <x v="10"/>
    <x v="10"/>
    <s v="Q4"/>
  </r>
  <r>
    <s v="ORD101511"/>
    <x v="660"/>
    <s v="CUST1022"/>
    <s v="Rohan Verma"/>
    <x v="0"/>
    <s v="Maharashtra"/>
    <s v="Mumbai"/>
    <x v="2"/>
    <s v="Office"/>
    <x v="10"/>
    <n v="2"/>
    <n v="7416.03"/>
    <n v="0.1"/>
    <n v="13348.85"/>
    <n v="9543.1299999999992"/>
    <n v="3805.72"/>
    <x v="0"/>
    <n v="0.28509721811242172"/>
    <x v="1"/>
    <x v="10"/>
    <x v="10"/>
    <s v="Q4"/>
  </r>
  <r>
    <s v="ORD101179"/>
    <x v="661"/>
    <s v="CUST1345"/>
    <s v="Kiran Das"/>
    <x v="2"/>
    <s v="Telangana"/>
    <s v="Hyderabad"/>
    <x v="2"/>
    <s v="Office"/>
    <x v="14"/>
    <n v="1"/>
    <n v="8797.14"/>
    <n v="0.1"/>
    <n v="7917.43"/>
    <n v="5869.8"/>
    <n v="2047.63"/>
    <x v="0"/>
    <n v="0.25862306329200258"/>
    <x v="1"/>
    <x v="10"/>
    <x v="10"/>
    <s v="Q4"/>
  </r>
  <r>
    <s v="ORD101726"/>
    <x v="661"/>
    <s v="CUST1074"/>
    <s v="Aarav Patel"/>
    <x v="2"/>
    <s v="Tamil Nadu"/>
    <s v="Chennai"/>
    <x v="2"/>
    <s v="Living Room"/>
    <x v="16"/>
    <n v="1"/>
    <n v="3785.54"/>
    <n v="0.1"/>
    <n v="3406.99"/>
    <n v="2447.2399999999998"/>
    <n v="959.75"/>
    <x v="2"/>
    <n v="0.28170026915253638"/>
    <x v="1"/>
    <x v="10"/>
    <x v="10"/>
    <s v="Q4"/>
  </r>
  <r>
    <s v="ORD100174"/>
    <x v="662"/>
    <s v="CUST1284"/>
    <s v="Kavya Malhotra"/>
    <x v="2"/>
    <s v="Karnataka"/>
    <s v="Hubballi"/>
    <x v="0"/>
    <s v="Audio"/>
    <x v="8"/>
    <n v="1"/>
    <n v="3006.04"/>
    <n v="0.1"/>
    <n v="2705.44"/>
    <n v="1564.17"/>
    <n v="1141.27"/>
    <x v="2"/>
    <n v="0.42184265775622448"/>
    <x v="1"/>
    <x v="10"/>
    <x v="10"/>
    <s v="Q4"/>
  </r>
  <r>
    <s v="ORD101986"/>
    <x v="662"/>
    <s v="CUST1200"/>
    <s v="Aarav Iyer"/>
    <x v="1"/>
    <s v="Delhi"/>
    <s v="New Delhi"/>
    <x v="3"/>
    <s v="Cleaning"/>
    <x v="12"/>
    <n v="3"/>
    <n v="13264.25"/>
    <n v="0"/>
    <n v="39792.75"/>
    <n v="27641.58"/>
    <n v="12151.17"/>
    <x v="0"/>
    <n v="0.3053614037733004"/>
    <x v="1"/>
    <x v="10"/>
    <x v="10"/>
    <s v="Q4"/>
  </r>
  <r>
    <s v="ORD100306"/>
    <x v="662"/>
    <s v="CUST1613"/>
    <s v="Neha Malhotra"/>
    <x v="3"/>
    <s v="West Bengal"/>
    <s v="Siliguri"/>
    <x v="0"/>
    <s v="Audio"/>
    <x v="11"/>
    <n v="2"/>
    <n v="1900.35"/>
    <n v="0.15"/>
    <n v="3230.59"/>
    <n v="2187.98"/>
    <n v="1042.6099999999999"/>
    <x v="2"/>
    <n v="0.32273052290758031"/>
    <x v="1"/>
    <x v="10"/>
    <x v="10"/>
    <s v="Q4"/>
  </r>
  <r>
    <s v="ORD101015"/>
    <x v="662"/>
    <s v="CUST1534"/>
    <s v="Aarav Joshi"/>
    <x v="3"/>
    <s v="West Bengal"/>
    <s v="Siliguri"/>
    <x v="0"/>
    <s v="Accessories"/>
    <x v="5"/>
    <n v="3"/>
    <n v="2552.84"/>
    <n v="0"/>
    <n v="7658.52"/>
    <n v="4159.3100000000004"/>
    <n v="3499.21"/>
    <x v="3"/>
    <n v="0.45690420603458631"/>
    <x v="1"/>
    <x v="10"/>
    <x v="10"/>
    <s v="Q4"/>
  </r>
  <r>
    <s v="ORD102435"/>
    <x v="662"/>
    <s v="CUST1122"/>
    <s v="Vikram Mehta"/>
    <x v="3"/>
    <s v="West Bengal"/>
    <s v="Durgapur"/>
    <x v="3"/>
    <s v="Kitchen"/>
    <x v="7"/>
    <n v="1"/>
    <n v="1877.23"/>
    <n v="0.05"/>
    <n v="1783.37"/>
    <n v="1027.18"/>
    <n v="756.19"/>
    <x v="2"/>
    <n v="0.42402305746984648"/>
    <x v="1"/>
    <x v="10"/>
    <x v="10"/>
    <s v="Q4"/>
  </r>
  <r>
    <s v="ORD100375"/>
    <x v="662"/>
    <s v="CUST1645"/>
    <s v="Arjun Malhotra"/>
    <x v="2"/>
    <s v="Telangana"/>
    <s v="Nizamabad"/>
    <x v="1"/>
    <s v="Stationery"/>
    <x v="1"/>
    <n v="1"/>
    <n v="239.25"/>
    <n v="0.1"/>
    <n v="215.33"/>
    <n v="87.7"/>
    <n v="127.63"/>
    <x v="4"/>
    <n v="0.59271815353178836"/>
    <x v="1"/>
    <x v="10"/>
    <x v="10"/>
    <s v="Q4"/>
  </r>
  <r>
    <s v="ORD101842"/>
    <x v="662"/>
    <s v="CUST1023"/>
    <s v="Rahul Iyer"/>
    <x v="1"/>
    <s v="Delhi"/>
    <s v="Delhi"/>
    <x v="0"/>
    <s v="Audio"/>
    <x v="8"/>
    <n v="3"/>
    <n v="3126.67"/>
    <n v="0.15"/>
    <n v="7973.01"/>
    <n v="4806.84"/>
    <n v="3166.17"/>
    <x v="0"/>
    <n v="0.39711100324720527"/>
    <x v="1"/>
    <x v="10"/>
    <x v="10"/>
    <s v="Q4"/>
  </r>
  <r>
    <s v="ORD101342"/>
    <x v="663"/>
    <s v="CUST1400"/>
    <s v="Varun Gupta"/>
    <x v="1"/>
    <s v="Delhi"/>
    <s v="New Delhi"/>
    <x v="3"/>
    <s v="Cleaning"/>
    <x v="12"/>
    <n v="4"/>
    <n v="12476.8"/>
    <n v="0.1"/>
    <n v="44916.480000000003"/>
    <n v="34992.25"/>
    <n v="9924.23"/>
    <x v="1"/>
    <n v="0.22094852490667119"/>
    <x v="1"/>
    <x v="10"/>
    <x v="10"/>
    <s v="Q4"/>
  </r>
  <r>
    <s v="ORD102299"/>
    <x v="664"/>
    <s v="CUST1239"/>
    <s v="Neha Joshi"/>
    <x v="2"/>
    <s v="Telangana"/>
    <s v="Nizamabad"/>
    <x v="0"/>
    <s v="Audio"/>
    <x v="11"/>
    <n v="4"/>
    <n v="1948.54"/>
    <n v="0.15"/>
    <n v="6625.04"/>
    <n v="4359.3500000000004"/>
    <n v="2265.69"/>
    <x v="1"/>
    <n v="0.34198887855771443"/>
    <x v="1"/>
    <x v="10"/>
    <x v="10"/>
    <s v="Q4"/>
  </r>
  <r>
    <s v="ORD100520"/>
    <x v="664"/>
    <s v="CUST1010"/>
    <s v="Kavya Sharma"/>
    <x v="2"/>
    <s v="Tamil Nadu"/>
    <s v="Madurai"/>
    <x v="1"/>
    <s v="Storage"/>
    <x v="2"/>
    <n v="1"/>
    <n v="722.09"/>
    <n v="0.05"/>
    <n v="685.99"/>
    <n v="340.32"/>
    <n v="345.67"/>
    <x v="2"/>
    <n v="0.50389947375326172"/>
    <x v="1"/>
    <x v="10"/>
    <x v="10"/>
    <s v="Q4"/>
  </r>
  <r>
    <s v="ORD101696"/>
    <x v="664"/>
    <s v="CUST1502"/>
    <s v="Aisha Reddy"/>
    <x v="2"/>
    <s v="Karnataka"/>
    <s v="Mangaluru"/>
    <x v="2"/>
    <s v="Office"/>
    <x v="14"/>
    <n v="3"/>
    <n v="7990.4"/>
    <n v="0.05"/>
    <n v="22772.639999999999"/>
    <n v="15770.9"/>
    <n v="7001.74"/>
    <x v="2"/>
    <n v="0.30746281502715539"/>
    <x v="1"/>
    <x v="10"/>
    <x v="10"/>
    <s v="Q4"/>
  </r>
  <r>
    <s v="ORD101224"/>
    <x v="664"/>
    <s v="CUST1100"/>
    <s v="Aditya Verma"/>
    <x v="0"/>
    <s v="Maharashtra"/>
    <s v="Mumbai"/>
    <x v="0"/>
    <s v="Accessories"/>
    <x v="6"/>
    <n v="2"/>
    <n v="828.24"/>
    <n v="0.15"/>
    <n v="1408.01"/>
    <n v="1062.1400000000001"/>
    <n v="345.87"/>
    <x v="2"/>
    <n v="0.24564456218350719"/>
    <x v="1"/>
    <x v="10"/>
    <x v="10"/>
    <s v="Q4"/>
  </r>
  <r>
    <s v="ORD100973"/>
    <x v="664"/>
    <s v="CUST1430"/>
    <s v="Kiran Joshi"/>
    <x v="1"/>
    <s v="Delhi"/>
    <s v="Delhi"/>
    <x v="2"/>
    <s v="Office"/>
    <x v="10"/>
    <n v="3"/>
    <n v="7363.6"/>
    <n v="0.2"/>
    <n v="17672.64"/>
    <n v="13792.7"/>
    <n v="3879.94"/>
    <x v="2"/>
    <n v="0.219545014214062"/>
    <x v="1"/>
    <x v="10"/>
    <x v="10"/>
    <s v="Q4"/>
  </r>
  <r>
    <s v="ORD102472"/>
    <x v="665"/>
    <s v="CUST1491"/>
    <s v="Aditya Naidu"/>
    <x v="1"/>
    <s v="Delhi"/>
    <s v="Delhi"/>
    <x v="1"/>
    <s v="Storage"/>
    <x v="2"/>
    <n v="1"/>
    <n v="736.08"/>
    <n v="0.05"/>
    <n v="699.28"/>
    <n v="347.45"/>
    <n v="351.83"/>
    <x v="3"/>
    <n v="0.5031317927010639"/>
    <x v="1"/>
    <x v="10"/>
    <x v="10"/>
    <s v="Q4"/>
  </r>
  <r>
    <s v="ORD100258"/>
    <x v="665"/>
    <s v="CUST1075"/>
    <s v="Priya Naidu"/>
    <x v="2"/>
    <s v="Telangana"/>
    <s v="Nizamabad"/>
    <x v="0"/>
    <s v="Audio"/>
    <x v="8"/>
    <n v="4"/>
    <n v="2913.87"/>
    <n v="0.1"/>
    <n v="10489.93"/>
    <n v="6269.15"/>
    <n v="4220.78"/>
    <x v="1"/>
    <n v="0.40236493475170948"/>
    <x v="1"/>
    <x v="10"/>
    <x v="10"/>
    <s v="Q4"/>
  </r>
  <r>
    <s v="ORD101676"/>
    <x v="665"/>
    <s v="CUST1154"/>
    <s v="Meera Singh"/>
    <x v="3"/>
    <s v="West Bengal"/>
    <s v="Durgapur"/>
    <x v="1"/>
    <s v="Stationery"/>
    <x v="1"/>
    <n v="1"/>
    <n v="236.06"/>
    <n v="0"/>
    <n v="236.06"/>
    <n v="92"/>
    <n v="144.06"/>
    <x v="2"/>
    <n v="0.61026857578581717"/>
    <x v="1"/>
    <x v="10"/>
    <x v="10"/>
    <s v="Q4"/>
  </r>
  <r>
    <s v="ORD102259"/>
    <x v="665"/>
    <s v="CUST1571"/>
    <s v="Priya Iyer"/>
    <x v="2"/>
    <s v="Telangana"/>
    <s v="Karimnagar"/>
    <x v="2"/>
    <s v="Living Room"/>
    <x v="16"/>
    <n v="2"/>
    <n v="4051.01"/>
    <n v="0"/>
    <n v="8102.02"/>
    <n v="5202.63"/>
    <n v="2899.39"/>
    <x v="2"/>
    <n v="0.35786013858272381"/>
    <x v="1"/>
    <x v="10"/>
    <x v="10"/>
    <s v="Q4"/>
  </r>
  <r>
    <s v="ORD100946"/>
    <x v="665"/>
    <s v="CUST1055"/>
    <s v="Ishaan Joshi"/>
    <x v="2"/>
    <s v="Tamil Nadu"/>
    <s v="Salem"/>
    <x v="0"/>
    <s v="Computers"/>
    <x v="3"/>
    <n v="1"/>
    <n v="15863.54"/>
    <n v="0.15"/>
    <n v="13484.01"/>
    <n v="11890.12"/>
    <n v="1593.89"/>
    <x v="0"/>
    <n v="0.1182059342880938"/>
    <x v="1"/>
    <x v="10"/>
    <x v="10"/>
    <s v="Q4"/>
  </r>
  <r>
    <s v="ORD100995"/>
    <x v="666"/>
    <s v="CUST1327"/>
    <s v="Arjun Singh"/>
    <x v="2"/>
    <s v="Karnataka"/>
    <s v="Hubballi"/>
    <x v="3"/>
    <s v="Cleaning"/>
    <x v="12"/>
    <n v="1"/>
    <n v="13738.53"/>
    <n v="0"/>
    <n v="13738.53"/>
    <n v="9652.64"/>
    <n v="4085.89"/>
    <x v="4"/>
    <n v="0.29740372514381092"/>
    <x v="1"/>
    <x v="10"/>
    <x v="10"/>
    <s v="Q4"/>
  </r>
  <r>
    <s v="ORD100111"/>
    <x v="666"/>
    <s v="CUST1116"/>
    <s v="Nikhil Iyer"/>
    <x v="2"/>
    <s v="Telangana"/>
    <s v="Hyderabad"/>
    <x v="1"/>
    <s v="Stationery"/>
    <x v="17"/>
    <n v="1"/>
    <n v="284.66000000000003"/>
    <n v="0.15"/>
    <n v="241.96"/>
    <n v="117.31"/>
    <n v="124.65"/>
    <x v="2"/>
    <n v="0.51516779632997189"/>
    <x v="1"/>
    <x v="10"/>
    <x v="10"/>
    <s v="Q4"/>
  </r>
  <r>
    <s v="ORD101191"/>
    <x v="667"/>
    <s v="CUST1340"/>
    <s v="Ishaan Singh"/>
    <x v="2"/>
    <s v="Telangana"/>
    <s v="Warangal"/>
    <x v="1"/>
    <s v="Stationery"/>
    <x v="1"/>
    <n v="2"/>
    <n v="243.39"/>
    <n v="0.1"/>
    <n v="438.1"/>
    <n v="178.67"/>
    <n v="259.43"/>
    <x v="0"/>
    <n v="0.59217073727459479"/>
    <x v="1"/>
    <x v="10"/>
    <x v="10"/>
    <s v="Q4"/>
  </r>
  <r>
    <s v="ORD100991"/>
    <x v="667"/>
    <s v="CUST1011"/>
    <s v="Nikhil Verma"/>
    <x v="2"/>
    <s v="Karnataka"/>
    <s v="Hubballi"/>
    <x v="1"/>
    <s v="Stationery"/>
    <x v="1"/>
    <n v="4"/>
    <n v="236.85"/>
    <n v="0.05"/>
    <n v="900.03"/>
    <n v="353.68"/>
    <n v="546.35"/>
    <x v="3"/>
    <n v="0.60703532104485414"/>
    <x v="1"/>
    <x v="10"/>
    <x v="10"/>
    <s v="Q4"/>
  </r>
  <r>
    <s v="ORD101554"/>
    <x v="668"/>
    <s v="CUST1255"/>
    <s v="Neha Nair"/>
    <x v="2"/>
    <s v="Tamil Nadu"/>
    <s v="Chennai"/>
    <x v="0"/>
    <s v="Accessories"/>
    <x v="6"/>
    <n v="2"/>
    <n v="790.64"/>
    <n v="0.05"/>
    <n v="1502.22"/>
    <n v="974.14"/>
    <n v="528.08000000000004"/>
    <x v="2"/>
    <n v="0.35153306439802429"/>
    <x v="1"/>
    <x v="10"/>
    <x v="10"/>
    <s v="Q4"/>
  </r>
  <r>
    <s v="ORD100369"/>
    <x v="668"/>
    <s v="CUST1179"/>
    <s v="Kiran Verma"/>
    <x v="0"/>
    <s v="Maharashtra"/>
    <s v="Nagpur"/>
    <x v="1"/>
    <s v="Storage"/>
    <x v="2"/>
    <n v="2"/>
    <n v="665.31"/>
    <n v="0.15"/>
    <n v="1131.03"/>
    <n v="602.52"/>
    <n v="528.51"/>
    <x v="4"/>
    <n v="0.46728203495928489"/>
    <x v="1"/>
    <x v="10"/>
    <x v="10"/>
    <s v="Q4"/>
  </r>
  <r>
    <s v="ORD100773"/>
    <x v="668"/>
    <s v="CUST1405"/>
    <s v="Aditya Mehta"/>
    <x v="2"/>
    <s v="Telangana"/>
    <s v="Hyderabad"/>
    <x v="2"/>
    <s v="Living Room"/>
    <x v="16"/>
    <n v="2"/>
    <n v="4035.12"/>
    <n v="0.1"/>
    <n v="7263.22"/>
    <n v="5084.95"/>
    <n v="2178.27"/>
    <x v="1"/>
    <n v="0.29990417473241893"/>
    <x v="1"/>
    <x v="10"/>
    <x v="10"/>
    <s v="Q4"/>
  </r>
  <r>
    <s v="ORD100941"/>
    <x v="668"/>
    <s v="CUST1223"/>
    <s v="Ananya Verma"/>
    <x v="2"/>
    <s v="Karnataka"/>
    <s v="Mangaluru"/>
    <x v="3"/>
    <s v="Kitchen"/>
    <x v="13"/>
    <n v="1"/>
    <n v="3123.03"/>
    <n v="0.15"/>
    <n v="2654.58"/>
    <n v="1757.21"/>
    <n v="897.37"/>
    <x v="0"/>
    <n v="0.33804594323772502"/>
    <x v="1"/>
    <x v="10"/>
    <x v="10"/>
    <s v="Q4"/>
  </r>
  <r>
    <s v="ORD102385"/>
    <x v="669"/>
    <s v="CUST1288"/>
    <s v="Pooja Naidu"/>
    <x v="3"/>
    <s v="West Bengal"/>
    <s v="Siliguri"/>
    <x v="0"/>
    <s v="Audio"/>
    <x v="11"/>
    <n v="1"/>
    <n v="1897.39"/>
    <n v="0.15"/>
    <n v="1612.78"/>
    <n v="1086.1099999999999"/>
    <n v="526.66999999999996"/>
    <x v="0"/>
    <n v="0.32656034921067972"/>
    <x v="1"/>
    <x v="10"/>
    <x v="10"/>
    <s v="Q4"/>
  </r>
  <r>
    <s v="ORD101226"/>
    <x v="669"/>
    <s v="CUST1012"/>
    <s v="Rahul Das"/>
    <x v="2"/>
    <s v="Telangana"/>
    <s v="Nizamabad"/>
    <x v="2"/>
    <s v="Living Room"/>
    <x v="16"/>
    <n v="2"/>
    <n v="3985.32"/>
    <n v="0.2"/>
    <n v="6376.51"/>
    <n v="4854.21"/>
    <n v="1522.3"/>
    <x v="0"/>
    <n v="0.23873560929097579"/>
    <x v="1"/>
    <x v="10"/>
    <x v="10"/>
    <s v="Q4"/>
  </r>
  <r>
    <s v="ORD102050"/>
    <x v="670"/>
    <s v="CUST1206"/>
    <s v="Kiran Sharma"/>
    <x v="2"/>
    <s v="Tamil Nadu"/>
    <s v="Chennai"/>
    <x v="3"/>
    <s v="Kitchen"/>
    <x v="13"/>
    <n v="1"/>
    <n v="3323.73"/>
    <n v="0.1"/>
    <n v="2991.36"/>
    <n v="1915.13"/>
    <n v="1076.23"/>
    <x v="4"/>
    <n v="0.35977949828840389"/>
    <x v="1"/>
    <x v="10"/>
    <x v="10"/>
    <s v="Q4"/>
  </r>
  <r>
    <s v="ORD100622"/>
    <x v="671"/>
    <s v="CUST1130"/>
    <s v="Pooja Reddy"/>
    <x v="1"/>
    <s v="Delhi"/>
    <s v="Delhi"/>
    <x v="1"/>
    <s v="Storage"/>
    <x v="2"/>
    <n v="6"/>
    <n v="739.78"/>
    <n v="0.05"/>
    <n v="4216.75"/>
    <n v="2065.88"/>
    <n v="2150.87"/>
    <x v="1"/>
    <n v="0.51007766644927965"/>
    <x v="1"/>
    <x v="10"/>
    <x v="10"/>
    <s v="Q4"/>
  </r>
  <r>
    <s v="ORD102026"/>
    <x v="671"/>
    <s v="CUST1054"/>
    <s v="Rahul Gupta"/>
    <x v="1"/>
    <s v="Delhi"/>
    <s v="Delhi"/>
    <x v="3"/>
    <s v="Cleaning"/>
    <x v="12"/>
    <n v="1"/>
    <n v="12715.96"/>
    <n v="0.1"/>
    <n v="11444.36"/>
    <n v="9391.65"/>
    <n v="2052.71"/>
    <x v="1"/>
    <n v="0.1793643331737205"/>
    <x v="1"/>
    <x v="10"/>
    <x v="10"/>
    <s v="Q4"/>
  </r>
  <r>
    <s v="ORD100276"/>
    <x v="671"/>
    <s v="CUST1188"/>
    <s v="Aarav Das"/>
    <x v="3"/>
    <s v="West Bengal"/>
    <s v="Durgapur"/>
    <x v="1"/>
    <s v="Stationery"/>
    <x v="17"/>
    <n v="1"/>
    <n v="283.54000000000002"/>
    <n v="0"/>
    <n v="283.54000000000002"/>
    <n v="121.26"/>
    <n v="162.28"/>
    <x v="0"/>
    <n v="0.57233547294914289"/>
    <x v="1"/>
    <x v="10"/>
    <x v="10"/>
    <s v="Q4"/>
  </r>
  <r>
    <s v="ORD100709"/>
    <x v="671"/>
    <s v="CUST1084"/>
    <s v="Nikhil Reddy"/>
    <x v="0"/>
    <s v="Maharashtra"/>
    <s v="Nagpur"/>
    <x v="1"/>
    <s v="Storage"/>
    <x v="9"/>
    <n v="6"/>
    <n v="477.02"/>
    <n v="0.15"/>
    <n v="2432.8000000000002"/>
    <n v="1326.94"/>
    <n v="1105.8599999999999"/>
    <x v="0"/>
    <n v="0.4545626438671489"/>
    <x v="1"/>
    <x v="10"/>
    <x v="10"/>
    <s v="Q4"/>
  </r>
  <r>
    <s v="ORD101936"/>
    <x v="671"/>
    <s v="CUST1310"/>
    <s v="Nikhil Reddy"/>
    <x v="2"/>
    <s v="Tamil Nadu"/>
    <s v="Chennai"/>
    <x v="0"/>
    <s v="Audio"/>
    <x v="11"/>
    <n v="2"/>
    <n v="2053.92"/>
    <n v="0.15"/>
    <n v="3491.66"/>
    <n v="2326.34"/>
    <n v="1165.32"/>
    <x v="1"/>
    <n v="0.3337438353104254"/>
    <x v="1"/>
    <x v="10"/>
    <x v="10"/>
    <s v="Q4"/>
  </r>
  <r>
    <s v="ORD102494"/>
    <x v="672"/>
    <s v="CUST1160"/>
    <s v="Aisha Joshi"/>
    <x v="1"/>
    <s v="Delhi"/>
    <s v="Delhi"/>
    <x v="1"/>
    <s v="Storage"/>
    <x v="9"/>
    <n v="2"/>
    <n v="482.83"/>
    <n v="0.1"/>
    <n v="869.09"/>
    <n v="433.1"/>
    <n v="435.99"/>
    <x v="2"/>
    <n v="0.50166265864294834"/>
    <x v="1"/>
    <x v="10"/>
    <x v="10"/>
    <s v="Q4"/>
  </r>
  <r>
    <s v="ORD102212"/>
    <x v="672"/>
    <s v="CUST1241"/>
    <s v="Aarav Patel"/>
    <x v="0"/>
    <s v="Maharashtra"/>
    <s v="Pune"/>
    <x v="0"/>
    <s v="Computers"/>
    <x v="3"/>
    <n v="6"/>
    <n v="15717.58"/>
    <n v="0"/>
    <n v="94305.48"/>
    <n v="73192.320000000007"/>
    <n v="21113.16"/>
    <x v="0"/>
    <n v="0.22388052104713321"/>
    <x v="1"/>
    <x v="10"/>
    <x v="10"/>
    <s v="Q4"/>
  </r>
  <r>
    <s v="ORD100562"/>
    <x v="672"/>
    <s v="CUST1004"/>
    <s v="Pooja Reddy"/>
    <x v="0"/>
    <s v="Maharashtra"/>
    <s v="Nagpur"/>
    <x v="1"/>
    <s v="Storage"/>
    <x v="9"/>
    <n v="3"/>
    <n v="469.32"/>
    <n v="0.05"/>
    <n v="1337.56"/>
    <n v="630.87"/>
    <n v="706.69"/>
    <x v="2"/>
    <n v="0.52834265378749368"/>
    <x v="1"/>
    <x v="10"/>
    <x v="10"/>
    <s v="Q4"/>
  </r>
  <r>
    <s v="ORD101487"/>
    <x v="673"/>
    <s v="CUST1456"/>
    <s v="Pooja Das"/>
    <x v="0"/>
    <s v="Maharashtra"/>
    <s v="Nagpur"/>
    <x v="3"/>
    <s v="Kitchen"/>
    <x v="13"/>
    <n v="2"/>
    <n v="3364.93"/>
    <n v="0"/>
    <n v="6729.86"/>
    <n v="3685.5"/>
    <n v="3044.36"/>
    <x v="2"/>
    <n v="0.45236602247297869"/>
    <x v="1"/>
    <x v="10"/>
    <x v="10"/>
    <s v="Q4"/>
  </r>
  <r>
    <s v="ORD100334"/>
    <x v="673"/>
    <s v="CUST1423"/>
    <s v="Sneha Singh"/>
    <x v="1"/>
    <s v="Delhi"/>
    <s v="Delhi"/>
    <x v="2"/>
    <s v="Living Room"/>
    <x v="4"/>
    <n v="2"/>
    <n v="5109.28"/>
    <n v="0.15"/>
    <n v="8685.7800000000007"/>
    <n v="6304.71"/>
    <n v="2381.0700000000002"/>
    <x v="0"/>
    <n v="0.27413427464200107"/>
    <x v="1"/>
    <x v="10"/>
    <x v="10"/>
    <s v="Q4"/>
  </r>
  <r>
    <s v="ORD100457"/>
    <x v="673"/>
    <s v="CUST1304"/>
    <s v="Kiran Nair"/>
    <x v="2"/>
    <s v="Karnataka"/>
    <s v="Bengaluru"/>
    <x v="0"/>
    <s v="Audio"/>
    <x v="11"/>
    <n v="1"/>
    <n v="2051.17"/>
    <n v="0.05"/>
    <n v="1948.61"/>
    <n v="1229.1400000000001"/>
    <n v="719.47"/>
    <x v="3"/>
    <n v="0.36922216349089859"/>
    <x v="1"/>
    <x v="10"/>
    <x v="10"/>
    <s v="Q4"/>
  </r>
  <r>
    <s v="ORD100879"/>
    <x v="673"/>
    <s v="CUST1179"/>
    <s v="Neha Rao"/>
    <x v="0"/>
    <s v="Maharashtra"/>
    <s v="Nashik"/>
    <x v="1"/>
    <s v="Stationery"/>
    <x v="17"/>
    <n v="1"/>
    <n v="287.52999999999997"/>
    <n v="0.05"/>
    <n v="273.14999999999998"/>
    <n v="123.48"/>
    <n v="149.66999999999999"/>
    <x v="4"/>
    <n v="0.54794069192751238"/>
    <x v="1"/>
    <x v="10"/>
    <x v="10"/>
    <s v="Q4"/>
  </r>
  <r>
    <s v="ORD102034"/>
    <x v="674"/>
    <s v="CUST1365"/>
    <s v="Aditya Das"/>
    <x v="2"/>
    <s v="Telangana"/>
    <s v="Warangal"/>
    <x v="3"/>
    <s v="Cleaning"/>
    <x v="15"/>
    <n v="6"/>
    <n v="7859.56"/>
    <n v="0"/>
    <n v="47157.36"/>
    <n v="29852.77"/>
    <n v="17304.59"/>
    <x v="0"/>
    <n v="0.36695417215891651"/>
    <x v="1"/>
    <x v="10"/>
    <x v="10"/>
    <s v="Q4"/>
  </r>
  <r>
    <s v="ORD100677"/>
    <x v="674"/>
    <s v="CUST1191"/>
    <s v="Pooja Singh"/>
    <x v="2"/>
    <s v="Telangana"/>
    <s v="Hyderabad"/>
    <x v="3"/>
    <s v="Cleaning"/>
    <x v="15"/>
    <n v="6"/>
    <n v="7082.18"/>
    <n v="0.2"/>
    <n v="33994.46"/>
    <n v="27360.75"/>
    <n v="6633.71"/>
    <x v="0"/>
    <n v="0.1951409141371859"/>
    <x v="1"/>
    <x v="10"/>
    <x v="10"/>
    <s v="Q4"/>
  </r>
  <r>
    <s v="ORD101698"/>
    <x v="674"/>
    <s v="CUST1221"/>
    <s v="Kiran Das"/>
    <x v="3"/>
    <s v="West Bengal"/>
    <s v="Siliguri"/>
    <x v="2"/>
    <s v="Office"/>
    <x v="10"/>
    <n v="1"/>
    <n v="6913.83"/>
    <n v="0"/>
    <n v="6913.83"/>
    <n v="4495.53"/>
    <n v="2418.3000000000002"/>
    <x v="1"/>
    <n v="0.34977718572773697"/>
    <x v="1"/>
    <x v="10"/>
    <x v="10"/>
    <s v="Q4"/>
  </r>
  <r>
    <s v="ORD101672"/>
    <x v="675"/>
    <s v="CUST1145"/>
    <s v="Ishaan Mehta"/>
    <x v="3"/>
    <s v="West Bengal"/>
    <s v="Kolkata"/>
    <x v="3"/>
    <s v="Kitchen"/>
    <x v="7"/>
    <n v="1"/>
    <n v="1899.52"/>
    <n v="0.15"/>
    <n v="1614.59"/>
    <n v="988.73"/>
    <n v="625.86"/>
    <x v="2"/>
    <n v="0.3876278188270707"/>
    <x v="1"/>
    <x v="10"/>
    <x v="10"/>
    <s v="Q4"/>
  </r>
  <r>
    <s v="ORD100333"/>
    <x v="675"/>
    <s v="CUST1540"/>
    <s v="Nikhil Verma"/>
    <x v="0"/>
    <s v="Maharashtra"/>
    <s v="Mumbai"/>
    <x v="3"/>
    <s v="Kitchen"/>
    <x v="7"/>
    <n v="6"/>
    <n v="1791.49"/>
    <n v="0.1"/>
    <n v="9674.0499999999993"/>
    <n v="5674.41"/>
    <n v="3999.64"/>
    <x v="0"/>
    <n v="0.41344007938764021"/>
    <x v="1"/>
    <x v="10"/>
    <x v="10"/>
    <s v="Q4"/>
  </r>
  <r>
    <s v="ORD101320"/>
    <x v="675"/>
    <s v="CUST1245"/>
    <s v="Sneha Verma"/>
    <x v="0"/>
    <s v="Maharashtra"/>
    <s v="Nagpur"/>
    <x v="0"/>
    <s v="Computers"/>
    <x v="3"/>
    <n v="1"/>
    <n v="15214.84"/>
    <n v="0"/>
    <n v="15214.84"/>
    <n v="11764.61"/>
    <n v="3450.23"/>
    <x v="1"/>
    <n v="0.22676741917759241"/>
    <x v="1"/>
    <x v="10"/>
    <x v="10"/>
    <s v="Q4"/>
  </r>
  <r>
    <s v="ORD102303"/>
    <x v="676"/>
    <s v="CUST1166"/>
    <s v="Neha Malhotra"/>
    <x v="2"/>
    <s v="Tamil Nadu"/>
    <s v="Chennai"/>
    <x v="0"/>
    <s v="Accessories"/>
    <x v="6"/>
    <n v="4"/>
    <n v="824.52"/>
    <n v="0.2"/>
    <n v="2638.46"/>
    <n v="2103.21"/>
    <n v="535.25"/>
    <x v="0"/>
    <n v="0.2028645497752477"/>
    <x v="1"/>
    <x v="10"/>
    <x v="10"/>
    <s v="Q4"/>
  </r>
  <r>
    <s v="ORD100642"/>
    <x v="676"/>
    <s v="CUST1606"/>
    <s v="Aditya Verma"/>
    <x v="2"/>
    <s v="Tamil Nadu"/>
    <s v="Madurai"/>
    <x v="2"/>
    <s v="Living Room"/>
    <x v="4"/>
    <n v="1"/>
    <n v="5147.47"/>
    <n v="0.1"/>
    <n v="4632.72"/>
    <n v="3058.21"/>
    <n v="1574.51"/>
    <x v="0"/>
    <n v="0.33986729178538738"/>
    <x v="1"/>
    <x v="10"/>
    <x v="10"/>
    <s v="Q4"/>
  </r>
  <r>
    <s v="ORD100041"/>
    <x v="677"/>
    <s v="CUST1606"/>
    <s v="Varun Reddy"/>
    <x v="1"/>
    <s v="Delhi"/>
    <s v="New Delhi"/>
    <x v="3"/>
    <s v="Cleaning"/>
    <x v="12"/>
    <n v="4"/>
    <n v="13439.86"/>
    <n v="0.1"/>
    <n v="48383.5"/>
    <n v="39620.629999999997"/>
    <n v="8762.8700000000008"/>
    <x v="2"/>
    <n v="0.1811127760496864"/>
    <x v="1"/>
    <x v="11"/>
    <x v="11"/>
    <s v="Q4"/>
  </r>
  <r>
    <s v="ORD101962"/>
    <x v="677"/>
    <s v="CUST1336"/>
    <s v="Kavya Nair"/>
    <x v="0"/>
    <s v="Maharashtra"/>
    <s v="Nagpur"/>
    <x v="2"/>
    <s v="Living Room"/>
    <x v="16"/>
    <n v="6"/>
    <n v="3812.8"/>
    <n v="0.15"/>
    <n v="19445.28"/>
    <n v="14261.06"/>
    <n v="5184.22"/>
    <x v="4"/>
    <n v="0.26660557214912822"/>
    <x v="1"/>
    <x v="11"/>
    <x v="11"/>
    <s v="Q4"/>
  </r>
  <r>
    <s v="ORD101327"/>
    <x v="677"/>
    <s v="CUST1340"/>
    <s v="Ananya Patel"/>
    <x v="1"/>
    <s v="Delhi"/>
    <s v="New Delhi"/>
    <x v="0"/>
    <s v="Audio"/>
    <x v="11"/>
    <n v="1"/>
    <n v="1963.74"/>
    <n v="0"/>
    <n v="1963.74"/>
    <n v="1105.6600000000001"/>
    <n v="858.08"/>
    <x v="0"/>
    <n v="0.43696212329534462"/>
    <x v="1"/>
    <x v="11"/>
    <x v="11"/>
    <s v="Q4"/>
  </r>
  <r>
    <s v="ORD100299"/>
    <x v="677"/>
    <s v="CUST1525"/>
    <s v="Vikram Singh"/>
    <x v="0"/>
    <s v="Maharashtra"/>
    <s v="Mumbai"/>
    <x v="0"/>
    <s v="Accessories"/>
    <x v="6"/>
    <n v="3"/>
    <n v="787.23"/>
    <n v="0.15"/>
    <n v="2007.44"/>
    <n v="1407.13"/>
    <n v="600.30999999999995"/>
    <x v="2"/>
    <n v="0.29904256167058541"/>
    <x v="1"/>
    <x v="11"/>
    <x v="11"/>
    <s v="Q4"/>
  </r>
  <r>
    <s v="ORD100064"/>
    <x v="677"/>
    <s v="CUST1362"/>
    <s v="Ishaan Joshi"/>
    <x v="2"/>
    <s v="Telangana"/>
    <s v="Karimnagar"/>
    <x v="2"/>
    <s v="Living Room"/>
    <x v="16"/>
    <n v="1"/>
    <n v="4160.3900000000003"/>
    <n v="0"/>
    <n v="4160.3900000000003"/>
    <n v="2723.61"/>
    <n v="1436.78"/>
    <x v="3"/>
    <n v="0.34534743137061669"/>
    <x v="1"/>
    <x v="11"/>
    <x v="11"/>
    <s v="Q4"/>
  </r>
  <r>
    <s v="ORD100693"/>
    <x v="678"/>
    <s v="CUST1483"/>
    <s v="Nikhil Malhotra"/>
    <x v="2"/>
    <s v="Tamil Nadu"/>
    <s v="Salem"/>
    <x v="1"/>
    <s v="Storage"/>
    <x v="9"/>
    <n v="2"/>
    <n v="484.66"/>
    <n v="0"/>
    <n v="969.32"/>
    <n v="424.26"/>
    <n v="545.05999999999995"/>
    <x v="3"/>
    <n v="0.56231172368258153"/>
    <x v="1"/>
    <x v="11"/>
    <x v="11"/>
    <s v="Q4"/>
  </r>
  <r>
    <s v="ORD102343"/>
    <x v="678"/>
    <s v="CUST1211"/>
    <s v="Nikhil Iyer"/>
    <x v="3"/>
    <s v="West Bengal"/>
    <s v="Kolkata"/>
    <x v="3"/>
    <s v="Cleaning"/>
    <x v="15"/>
    <n v="2"/>
    <n v="7437.23"/>
    <n v="0"/>
    <n v="14874.46"/>
    <n v="9467.7999999999993"/>
    <n v="5406.66"/>
    <x v="4"/>
    <n v="0.36348613663958218"/>
    <x v="1"/>
    <x v="11"/>
    <x v="11"/>
    <s v="Q4"/>
  </r>
  <r>
    <s v="ORD102312"/>
    <x v="678"/>
    <s v="CUST1003"/>
    <s v="Aarav Gupta"/>
    <x v="2"/>
    <s v="Karnataka"/>
    <s v="Mysuru"/>
    <x v="0"/>
    <s v="Accessories"/>
    <x v="6"/>
    <n v="3"/>
    <n v="781.21"/>
    <n v="0.15"/>
    <n v="1992.09"/>
    <n v="1444.82"/>
    <n v="547.27"/>
    <x v="0"/>
    <n v="0.2747215236259406"/>
    <x v="1"/>
    <x v="11"/>
    <x v="11"/>
    <s v="Q4"/>
  </r>
  <r>
    <s v="ORD102037"/>
    <x v="678"/>
    <s v="CUST1479"/>
    <s v="Diya Nair"/>
    <x v="3"/>
    <s v="West Bengal"/>
    <s v="Kolkata"/>
    <x v="2"/>
    <s v="Office"/>
    <x v="10"/>
    <n v="4"/>
    <n v="7172.29"/>
    <n v="0.15"/>
    <n v="24385.79"/>
    <n v="17917.86"/>
    <n v="6467.93"/>
    <x v="2"/>
    <n v="0.26523356430117712"/>
    <x v="1"/>
    <x v="11"/>
    <x v="11"/>
    <s v="Q4"/>
  </r>
  <r>
    <s v="ORD100796"/>
    <x v="678"/>
    <s v="CUST1441"/>
    <s v="Meera Singh"/>
    <x v="1"/>
    <s v="Delhi"/>
    <s v="New Delhi"/>
    <x v="2"/>
    <s v="Office"/>
    <x v="10"/>
    <n v="1"/>
    <n v="7075.5"/>
    <n v="0"/>
    <n v="7075.5"/>
    <n v="4676.8"/>
    <n v="2398.6999999999998"/>
    <x v="1"/>
    <n v="0.33901491060702421"/>
    <x v="1"/>
    <x v="11"/>
    <x v="11"/>
    <s v="Q4"/>
  </r>
  <r>
    <s v="ORD102436"/>
    <x v="679"/>
    <s v="CUST1397"/>
    <s v="Aditya Iyer"/>
    <x v="2"/>
    <s v="Tamil Nadu"/>
    <s v="Salem"/>
    <x v="3"/>
    <s v="Cleaning"/>
    <x v="15"/>
    <n v="3"/>
    <n v="7923.91"/>
    <n v="0.15"/>
    <n v="20205.97"/>
    <n v="15509.73"/>
    <n v="4696.24"/>
    <x v="4"/>
    <n v="0.23241843870895579"/>
    <x v="1"/>
    <x v="11"/>
    <x v="11"/>
    <s v="Q4"/>
  </r>
  <r>
    <s v="ORD101270"/>
    <x v="679"/>
    <s v="CUST1340"/>
    <s v="Varun Malhotra"/>
    <x v="3"/>
    <s v="West Bengal"/>
    <s v="Kolkata"/>
    <x v="0"/>
    <s v="Audio"/>
    <x v="11"/>
    <n v="1"/>
    <n v="2104"/>
    <n v="0"/>
    <n v="2104"/>
    <n v="1251.2"/>
    <n v="852.8"/>
    <x v="0"/>
    <n v="0.4053231939163498"/>
    <x v="1"/>
    <x v="11"/>
    <x v="11"/>
    <s v="Q4"/>
  </r>
  <r>
    <s v="ORD101183"/>
    <x v="680"/>
    <s v="CUST1529"/>
    <s v="Rohan Joshi"/>
    <x v="2"/>
    <s v="Karnataka"/>
    <s v="Mysuru"/>
    <x v="3"/>
    <s v="Cleaning"/>
    <x v="12"/>
    <n v="3"/>
    <n v="12255.37"/>
    <n v="0"/>
    <n v="36766.11"/>
    <n v="26874.6"/>
    <n v="9891.51"/>
    <x v="0"/>
    <n v="0.26903879687026988"/>
    <x v="1"/>
    <x v="11"/>
    <x v="11"/>
    <s v="Q4"/>
  </r>
  <r>
    <s v="ORD102280"/>
    <x v="681"/>
    <s v="CUST1616"/>
    <s v="Aditya Iyer"/>
    <x v="0"/>
    <s v="Maharashtra"/>
    <s v="Pune"/>
    <x v="1"/>
    <s v="Storage"/>
    <x v="2"/>
    <n v="3"/>
    <n v="697.66"/>
    <n v="0.05"/>
    <n v="1988.33"/>
    <n v="974.96"/>
    <n v="1013.37"/>
    <x v="1"/>
    <n v="0.50965885944486078"/>
    <x v="1"/>
    <x v="11"/>
    <x v="11"/>
    <s v="Q4"/>
  </r>
  <r>
    <s v="ORD101285"/>
    <x v="681"/>
    <s v="CUST1161"/>
    <s v="Vikram Joshi"/>
    <x v="3"/>
    <s v="West Bengal"/>
    <s v="Siliguri"/>
    <x v="0"/>
    <s v="Audio"/>
    <x v="11"/>
    <n v="2"/>
    <n v="2071.64"/>
    <n v="0.1"/>
    <n v="3728.95"/>
    <n v="2307.1799999999998"/>
    <n v="1421.77"/>
    <x v="1"/>
    <n v="0.38127891229434557"/>
    <x v="1"/>
    <x v="11"/>
    <x v="11"/>
    <s v="Q4"/>
  </r>
  <r>
    <s v="ORD101460"/>
    <x v="682"/>
    <s v="CUST1135"/>
    <s v="Aisha Iyer"/>
    <x v="1"/>
    <s v="Delhi"/>
    <s v="New Delhi"/>
    <x v="1"/>
    <s v="Stationery"/>
    <x v="1"/>
    <n v="2"/>
    <n v="255.76"/>
    <n v="0.2"/>
    <n v="409.22"/>
    <n v="194.81"/>
    <n v="214.41"/>
    <x v="2"/>
    <n v="0.52394799863154284"/>
    <x v="1"/>
    <x v="11"/>
    <x v="11"/>
    <s v="Q4"/>
  </r>
  <r>
    <s v="ORD102038"/>
    <x v="682"/>
    <s v="CUST1013"/>
    <s v="Ishaan Das"/>
    <x v="3"/>
    <s v="West Bengal"/>
    <s v="Durgapur"/>
    <x v="3"/>
    <s v="Cleaning"/>
    <x v="15"/>
    <n v="3"/>
    <n v="7395.3"/>
    <n v="0.05"/>
    <n v="21076.6"/>
    <n v="14960.55"/>
    <n v="6116.05"/>
    <x v="3"/>
    <n v="0.29018200278982381"/>
    <x v="1"/>
    <x v="11"/>
    <x v="11"/>
    <s v="Q4"/>
  </r>
  <r>
    <s v="ORD100409"/>
    <x v="683"/>
    <s v="CUST1244"/>
    <s v="Neha Das"/>
    <x v="2"/>
    <s v="Tamil Nadu"/>
    <s v="Coimbatore"/>
    <x v="3"/>
    <s v="Kitchen"/>
    <x v="13"/>
    <n v="2"/>
    <n v="3319.72"/>
    <n v="0.05"/>
    <n v="6307.47"/>
    <n v="3757.08"/>
    <n v="2550.39"/>
    <x v="4"/>
    <n v="0.40434437262484002"/>
    <x v="1"/>
    <x v="11"/>
    <x v="11"/>
    <s v="Q4"/>
  </r>
  <r>
    <s v="ORD100556"/>
    <x v="683"/>
    <s v="CUST1399"/>
    <s v="Pooja Reddy"/>
    <x v="2"/>
    <s v="Tamil Nadu"/>
    <s v="Chennai"/>
    <x v="2"/>
    <s v="Living Room"/>
    <x v="16"/>
    <n v="1"/>
    <n v="4019.67"/>
    <n v="0.05"/>
    <n v="3818.69"/>
    <n v="2485.2600000000002"/>
    <n v="1333.43"/>
    <x v="0"/>
    <n v="0.34918519178042728"/>
    <x v="1"/>
    <x v="11"/>
    <x v="11"/>
    <s v="Q4"/>
  </r>
  <r>
    <s v="ORD102107"/>
    <x v="684"/>
    <s v="CUST1483"/>
    <s v="Meera Rao"/>
    <x v="3"/>
    <s v="West Bengal"/>
    <s v="Durgapur"/>
    <x v="2"/>
    <s v="Office"/>
    <x v="14"/>
    <n v="1"/>
    <n v="7994.85"/>
    <n v="0.15"/>
    <n v="6795.62"/>
    <n v="5492.43"/>
    <n v="1303.19"/>
    <x v="3"/>
    <n v="0.19176911010327241"/>
    <x v="1"/>
    <x v="11"/>
    <x v="11"/>
    <s v="Q4"/>
  </r>
  <r>
    <s v="ORD100918"/>
    <x v="684"/>
    <s v="CUST1127"/>
    <s v="Aditya Joshi"/>
    <x v="2"/>
    <s v="Tamil Nadu"/>
    <s v="Chennai"/>
    <x v="1"/>
    <s v="Storage"/>
    <x v="2"/>
    <n v="1"/>
    <n v="688.9"/>
    <n v="0.15"/>
    <n v="585.55999999999995"/>
    <n v="317.85000000000002"/>
    <n v="267.70999999999998"/>
    <x v="0"/>
    <n v="0.45718628321606669"/>
    <x v="1"/>
    <x v="11"/>
    <x v="11"/>
    <s v="Q4"/>
  </r>
  <r>
    <s v="ORD100013"/>
    <x v="685"/>
    <s v="CUST1052"/>
    <s v="Arjun Gupta"/>
    <x v="2"/>
    <s v="Tamil Nadu"/>
    <s v="Coimbatore"/>
    <x v="1"/>
    <s v="Storage"/>
    <x v="2"/>
    <n v="4"/>
    <n v="694.75"/>
    <n v="0.1"/>
    <n v="2501.1"/>
    <n v="1282.33"/>
    <n v="1218.77"/>
    <x v="2"/>
    <n v="0.4872935908200392"/>
    <x v="1"/>
    <x v="11"/>
    <x v="11"/>
    <s v="Q4"/>
  </r>
  <r>
    <s v="ORD100152"/>
    <x v="685"/>
    <s v="CUST1370"/>
    <s v="Priya Gupta"/>
    <x v="2"/>
    <s v="Tamil Nadu"/>
    <s v="Coimbatore"/>
    <x v="3"/>
    <s v="Cleaning"/>
    <x v="15"/>
    <n v="5"/>
    <n v="7345.36"/>
    <n v="0.05"/>
    <n v="34890.46"/>
    <n v="23778.93"/>
    <n v="11111.53"/>
    <x v="1"/>
    <n v="0.31846900270159811"/>
    <x v="1"/>
    <x v="11"/>
    <x v="11"/>
    <s v="Q4"/>
  </r>
  <r>
    <s v="ORD100726"/>
    <x v="685"/>
    <s v="CUST1225"/>
    <s v="Aarav Das"/>
    <x v="0"/>
    <s v="Maharashtra"/>
    <s v="Mumbai"/>
    <x v="1"/>
    <s v="Stationery"/>
    <x v="17"/>
    <n v="5"/>
    <n v="302.68"/>
    <n v="0.1"/>
    <n v="1362.06"/>
    <n v="633.6"/>
    <n v="728.46"/>
    <x v="3"/>
    <n v="0.53482225452623233"/>
    <x v="1"/>
    <x v="11"/>
    <x v="11"/>
    <s v="Q4"/>
  </r>
  <r>
    <s v="ORD100702"/>
    <x v="685"/>
    <s v="CUST1452"/>
    <s v="Ishaan Patel"/>
    <x v="2"/>
    <s v="Telangana"/>
    <s v="Warangal"/>
    <x v="0"/>
    <s v="Computers"/>
    <x v="3"/>
    <n v="1"/>
    <n v="15994.31"/>
    <n v="0"/>
    <n v="15994.31"/>
    <n v="11813.78"/>
    <n v="4180.53"/>
    <x v="1"/>
    <n v="0.26137607686733588"/>
    <x v="1"/>
    <x v="11"/>
    <x v="11"/>
    <s v="Q4"/>
  </r>
  <r>
    <s v="ORD101573"/>
    <x v="686"/>
    <s v="CUST1007"/>
    <s v="Meera Naidu"/>
    <x v="2"/>
    <s v="Telangana"/>
    <s v="Warangal"/>
    <x v="2"/>
    <s v="Office"/>
    <x v="10"/>
    <n v="2"/>
    <n v="6917.91"/>
    <n v="0.05"/>
    <n v="13144.03"/>
    <n v="8714.19"/>
    <n v="4429.84"/>
    <x v="0"/>
    <n v="0.33702296784167413"/>
    <x v="1"/>
    <x v="11"/>
    <x v="11"/>
    <s v="Q4"/>
  </r>
  <r>
    <s v="ORD101036"/>
    <x v="687"/>
    <s v="CUST1139"/>
    <s v="Priya Mehta"/>
    <x v="2"/>
    <s v="Tamil Nadu"/>
    <s v="Coimbatore"/>
    <x v="0"/>
    <s v="Audio"/>
    <x v="11"/>
    <n v="2"/>
    <n v="1946.25"/>
    <n v="0"/>
    <n v="3892.5"/>
    <n v="2190.4299999999998"/>
    <n v="1702.07"/>
    <x v="2"/>
    <n v="0.43726910725754647"/>
    <x v="1"/>
    <x v="11"/>
    <x v="11"/>
    <s v="Q4"/>
  </r>
  <r>
    <s v="ORD101424"/>
    <x v="687"/>
    <s v="CUST1276"/>
    <s v="Sanjana Gupta"/>
    <x v="2"/>
    <s v="Tamil Nadu"/>
    <s v="Madurai"/>
    <x v="2"/>
    <s v="Office"/>
    <x v="14"/>
    <n v="1"/>
    <n v="8610.32"/>
    <n v="0.15"/>
    <n v="7318.77"/>
    <n v="5689.25"/>
    <n v="1629.52"/>
    <x v="2"/>
    <n v="0.2226494342628611"/>
    <x v="1"/>
    <x v="11"/>
    <x v="11"/>
    <s v="Q4"/>
  </r>
  <r>
    <s v="ORD101870"/>
    <x v="688"/>
    <s v="CUST1222"/>
    <s v="Aditya Das"/>
    <x v="0"/>
    <s v="Maharashtra"/>
    <s v="Pune"/>
    <x v="0"/>
    <s v="Accessories"/>
    <x v="5"/>
    <n v="6"/>
    <n v="2453.12"/>
    <n v="0"/>
    <n v="14718.72"/>
    <n v="8179.66"/>
    <n v="6539.06"/>
    <x v="1"/>
    <n v="0.4442682515870946"/>
    <x v="1"/>
    <x v="11"/>
    <x v="11"/>
    <s v="Q4"/>
  </r>
  <r>
    <s v="ORD100950"/>
    <x v="688"/>
    <s v="CUST1148"/>
    <s v="Priya Gupta"/>
    <x v="2"/>
    <s v="Telangana"/>
    <s v="Warangal"/>
    <x v="2"/>
    <s v="Office"/>
    <x v="10"/>
    <n v="1"/>
    <n v="6935.42"/>
    <n v="0.2"/>
    <n v="5548.34"/>
    <n v="4450.6000000000004"/>
    <n v="1097.74"/>
    <x v="3"/>
    <n v="0.19785016779793599"/>
    <x v="1"/>
    <x v="11"/>
    <x v="11"/>
    <s v="Q4"/>
  </r>
  <r>
    <s v="ORD102374"/>
    <x v="688"/>
    <s v="CUST1438"/>
    <s v="Meera Joshi"/>
    <x v="2"/>
    <s v="Tamil Nadu"/>
    <s v="Salem"/>
    <x v="3"/>
    <s v="Cleaning"/>
    <x v="12"/>
    <n v="3"/>
    <n v="13065.08"/>
    <n v="0.05"/>
    <n v="37235.480000000003"/>
    <n v="29152.59"/>
    <n v="8082.89"/>
    <x v="0"/>
    <n v="0.21707495109503089"/>
    <x v="1"/>
    <x v="11"/>
    <x v="11"/>
    <s v="Q4"/>
  </r>
  <r>
    <s v="ORD101906"/>
    <x v="688"/>
    <s v="CUST1121"/>
    <s v="Neha Singh"/>
    <x v="2"/>
    <s v="Telangana"/>
    <s v="Hyderabad"/>
    <x v="3"/>
    <s v="Kitchen"/>
    <x v="13"/>
    <n v="2"/>
    <n v="3323.61"/>
    <n v="0.1"/>
    <n v="5982.5"/>
    <n v="3714.46"/>
    <n v="2268.04"/>
    <x v="0"/>
    <n v="0.37911241119933142"/>
    <x v="1"/>
    <x v="11"/>
    <x v="11"/>
    <s v="Q4"/>
  </r>
  <r>
    <s v="ORD100056"/>
    <x v="688"/>
    <s v="CUST1088"/>
    <s v="Varun Singh"/>
    <x v="0"/>
    <s v="Maharashtra"/>
    <s v="Mumbai"/>
    <x v="0"/>
    <s v="Audio"/>
    <x v="11"/>
    <n v="2"/>
    <n v="1992.8"/>
    <n v="0.05"/>
    <n v="3786.32"/>
    <n v="2241.23"/>
    <n v="1545.09"/>
    <x v="0"/>
    <n v="0.40807168966172958"/>
    <x v="1"/>
    <x v="11"/>
    <x v="11"/>
    <s v="Q4"/>
  </r>
  <r>
    <s v="ORD102411"/>
    <x v="689"/>
    <s v="CUST1212"/>
    <s v="Neha Rao"/>
    <x v="2"/>
    <s v="Telangana"/>
    <s v="Karimnagar"/>
    <x v="1"/>
    <s v="Stationery"/>
    <x v="1"/>
    <n v="1"/>
    <n v="251.26"/>
    <n v="0.1"/>
    <n v="226.13"/>
    <n v="93"/>
    <n v="133.13"/>
    <x v="3"/>
    <n v="0.58873214522619732"/>
    <x v="1"/>
    <x v="11"/>
    <x v="11"/>
    <s v="Q4"/>
  </r>
  <r>
    <s v="ORD101678"/>
    <x v="689"/>
    <s v="CUST1352"/>
    <s v="Kavya Iyer"/>
    <x v="2"/>
    <s v="Telangana"/>
    <s v="Karimnagar"/>
    <x v="3"/>
    <s v="Cleaning"/>
    <x v="12"/>
    <n v="1"/>
    <n v="12864.57"/>
    <n v="0.1"/>
    <n v="11578.11"/>
    <n v="9515.83"/>
    <n v="2062.2800000000002"/>
    <x v="0"/>
    <n v="0.17811888123363831"/>
    <x v="1"/>
    <x v="11"/>
    <x v="11"/>
    <s v="Q4"/>
  </r>
  <r>
    <s v="ORD102093"/>
    <x v="689"/>
    <s v="CUST1318"/>
    <s v="Nikhil Kumar"/>
    <x v="1"/>
    <s v="Delhi"/>
    <s v="New Delhi"/>
    <x v="0"/>
    <s v="Audio"/>
    <x v="11"/>
    <n v="2"/>
    <n v="1972.94"/>
    <n v="0.05"/>
    <n v="3748.59"/>
    <n v="2230.65"/>
    <n v="1517.94"/>
    <x v="4"/>
    <n v="0.40493625603226813"/>
    <x v="1"/>
    <x v="11"/>
    <x v="11"/>
    <s v="Q4"/>
  </r>
  <r>
    <s v="ORD101388"/>
    <x v="689"/>
    <s v="CUST1480"/>
    <s v="Rahul Verma"/>
    <x v="1"/>
    <s v="Delhi"/>
    <s v="New Delhi"/>
    <x v="1"/>
    <s v="Storage"/>
    <x v="9"/>
    <n v="3"/>
    <n v="479.6"/>
    <n v="0.1"/>
    <n v="1294.92"/>
    <n v="656.22"/>
    <n v="638.70000000000005"/>
    <x v="0"/>
    <n v="0.49323510332684639"/>
    <x v="1"/>
    <x v="11"/>
    <x v="11"/>
    <s v="Q4"/>
  </r>
  <r>
    <s v="ORD102132"/>
    <x v="689"/>
    <s v="CUST1457"/>
    <s v="Kiran Das"/>
    <x v="1"/>
    <s v="Delhi"/>
    <s v="New Delhi"/>
    <x v="0"/>
    <s v="Computers"/>
    <x v="0"/>
    <n v="1"/>
    <n v="56427.93"/>
    <n v="0.05"/>
    <n v="53606.53"/>
    <n v="49137.07"/>
    <n v="4469.46"/>
    <x v="0"/>
    <n v="8.3375290286463233E-2"/>
    <x v="1"/>
    <x v="11"/>
    <x v="11"/>
    <s v="Q4"/>
  </r>
  <r>
    <s v="ORD101535"/>
    <x v="690"/>
    <s v="CUST1120"/>
    <s v="Pooja Gupta"/>
    <x v="0"/>
    <s v="Maharashtra"/>
    <s v="Nashik"/>
    <x v="2"/>
    <s v="Office"/>
    <x v="14"/>
    <n v="2"/>
    <n v="8724.1299999999992"/>
    <n v="0"/>
    <n v="17448.259999999998"/>
    <n v="12302.84"/>
    <n v="5145.42"/>
    <x v="1"/>
    <n v="0.2948958807353857"/>
    <x v="1"/>
    <x v="11"/>
    <x v="11"/>
    <s v="Q4"/>
  </r>
  <r>
    <s v="ORD100800"/>
    <x v="690"/>
    <s v="CUST1124"/>
    <s v="Ananya Naidu"/>
    <x v="2"/>
    <s v="Tamil Nadu"/>
    <s v="Chennai"/>
    <x v="1"/>
    <s v="Storage"/>
    <x v="9"/>
    <n v="3"/>
    <n v="502.32"/>
    <n v="0.1"/>
    <n v="1356.26"/>
    <n v="692.93"/>
    <n v="663.33"/>
    <x v="0"/>
    <n v="0.4890876380634982"/>
    <x v="1"/>
    <x v="11"/>
    <x v="11"/>
    <s v="Q4"/>
  </r>
  <r>
    <s v="ORD100106"/>
    <x v="690"/>
    <s v="CUST1121"/>
    <s v="Sneha Verma"/>
    <x v="3"/>
    <s v="West Bengal"/>
    <s v="Kolkata"/>
    <x v="0"/>
    <s v="Accessories"/>
    <x v="5"/>
    <n v="3"/>
    <n v="2432.46"/>
    <n v="0.15"/>
    <n v="6202.77"/>
    <n v="3917.9"/>
    <n v="2284.87"/>
    <x v="2"/>
    <n v="0.36836284434212452"/>
    <x v="1"/>
    <x v="11"/>
    <x v="11"/>
    <s v="Q4"/>
  </r>
  <r>
    <s v="ORD101173"/>
    <x v="690"/>
    <s v="CUST1515"/>
    <s v="Diya Kumar"/>
    <x v="0"/>
    <s v="Maharashtra"/>
    <s v="Mumbai"/>
    <x v="0"/>
    <s v="Audio"/>
    <x v="11"/>
    <n v="1"/>
    <n v="1968.64"/>
    <n v="0"/>
    <n v="1968.64"/>
    <n v="1152.81"/>
    <n v="815.83"/>
    <x v="1"/>
    <n v="0.41441299577373208"/>
    <x v="1"/>
    <x v="11"/>
    <x v="11"/>
    <s v="Q4"/>
  </r>
  <r>
    <s v="ORD101109"/>
    <x v="690"/>
    <s v="CUST1186"/>
    <s v="Aditya Malhotra"/>
    <x v="0"/>
    <s v="Maharashtra"/>
    <s v="Nagpur"/>
    <x v="2"/>
    <s v="Office"/>
    <x v="10"/>
    <n v="1"/>
    <n v="7056.63"/>
    <n v="0"/>
    <n v="7056.63"/>
    <n v="4409.04"/>
    <n v="2647.59"/>
    <x v="0"/>
    <n v="0.37519184086454871"/>
    <x v="1"/>
    <x v="11"/>
    <x v="11"/>
    <s v="Q4"/>
  </r>
  <r>
    <s v="ORD100504"/>
    <x v="691"/>
    <s v="CUST1231"/>
    <s v="Ananya Iyer"/>
    <x v="2"/>
    <s v="Karnataka"/>
    <s v="Mangaluru"/>
    <x v="2"/>
    <s v="Office"/>
    <x v="10"/>
    <n v="4"/>
    <n v="7166.98"/>
    <n v="0.05"/>
    <n v="27234.52"/>
    <n v="17624.36"/>
    <n v="9610.16"/>
    <x v="0"/>
    <n v="0.35286687630257479"/>
    <x v="1"/>
    <x v="11"/>
    <x v="11"/>
    <s v="Q4"/>
  </r>
  <r>
    <s v="ORD101253"/>
    <x v="691"/>
    <s v="CUST1212"/>
    <s v="Kavya Sharma"/>
    <x v="3"/>
    <s v="West Bengal"/>
    <s v="Siliguri"/>
    <x v="1"/>
    <s v="Stationery"/>
    <x v="17"/>
    <n v="3"/>
    <n v="298.93"/>
    <n v="0.05"/>
    <n v="851.95"/>
    <n v="386.18"/>
    <n v="465.77"/>
    <x v="1"/>
    <n v="0.54671048770467745"/>
    <x v="1"/>
    <x v="11"/>
    <x v="11"/>
    <s v="Q4"/>
  </r>
  <r>
    <s v="ORD101915"/>
    <x v="692"/>
    <s v="CUST1254"/>
    <s v="Ananya Kumar"/>
    <x v="2"/>
    <s v="Telangana"/>
    <s v="Karimnagar"/>
    <x v="1"/>
    <s v="Stationery"/>
    <x v="1"/>
    <n v="6"/>
    <n v="253.72"/>
    <n v="0"/>
    <n v="1522.32"/>
    <n v="567.98"/>
    <n v="954.34"/>
    <x v="3"/>
    <n v="0.62689841820379422"/>
    <x v="1"/>
    <x v="11"/>
    <x v="11"/>
    <s v="Q4"/>
  </r>
  <r>
    <s v="ORD101848"/>
    <x v="692"/>
    <s v="CUST1066"/>
    <s v="Priya Iyer"/>
    <x v="0"/>
    <s v="Maharashtra"/>
    <s v="Pune"/>
    <x v="3"/>
    <s v="Cleaning"/>
    <x v="15"/>
    <n v="5"/>
    <n v="7793.9"/>
    <n v="0.05"/>
    <n v="37021.03"/>
    <n v="25594.17"/>
    <n v="11426.86"/>
    <x v="3"/>
    <n v="0.30865861916861848"/>
    <x v="1"/>
    <x v="11"/>
    <x v="11"/>
    <s v="Q4"/>
  </r>
  <r>
    <s v="ORD102413"/>
    <x v="692"/>
    <s v="CUST1242"/>
    <s v="Nikhil Singh"/>
    <x v="2"/>
    <s v="Karnataka"/>
    <s v="Bengaluru"/>
    <x v="0"/>
    <s v="Accessories"/>
    <x v="6"/>
    <n v="4"/>
    <n v="766.42"/>
    <n v="0.1"/>
    <n v="2759.11"/>
    <n v="1899.04"/>
    <n v="860.07"/>
    <x v="0"/>
    <n v="0.31172008365016263"/>
    <x v="1"/>
    <x v="11"/>
    <x v="11"/>
    <s v="Q4"/>
  </r>
  <r>
    <s v="ORD102378"/>
    <x v="693"/>
    <s v="CUST1595"/>
    <s v="Priya Das"/>
    <x v="3"/>
    <s v="West Bengal"/>
    <s v="Siliguri"/>
    <x v="3"/>
    <s v="Kitchen"/>
    <x v="13"/>
    <n v="6"/>
    <n v="3197.73"/>
    <n v="0.1"/>
    <n v="17267.740000000002"/>
    <n v="11057.68"/>
    <n v="6210.06"/>
    <x v="0"/>
    <n v="0.35963362895202272"/>
    <x v="1"/>
    <x v="11"/>
    <x v="11"/>
    <s v="Q4"/>
  </r>
  <r>
    <s v="ORD101462"/>
    <x v="693"/>
    <s v="CUST1154"/>
    <s v="Pooja Sharma"/>
    <x v="2"/>
    <s v="Telangana"/>
    <s v="Nizamabad"/>
    <x v="0"/>
    <s v="Audio"/>
    <x v="8"/>
    <n v="2"/>
    <n v="2992.93"/>
    <n v="0.05"/>
    <n v="5686.57"/>
    <n v="2990.85"/>
    <n v="2695.72"/>
    <x v="1"/>
    <n v="0.47405026228464608"/>
    <x v="1"/>
    <x v="11"/>
    <x v="11"/>
    <s v="Q4"/>
  </r>
  <r>
    <s v="ORD101715"/>
    <x v="693"/>
    <s v="CUST1092"/>
    <s v="Ishaan Rao"/>
    <x v="3"/>
    <s v="West Bengal"/>
    <s v="Siliguri"/>
    <x v="0"/>
    <s v="Accessories"/>
    <x v="5"/>
    <n v="2"/>
    <n v="2417.89"/>
    <n v="0.05"/>
    <n v="4593.99"/>
    <n v="2656.46"/>
    <n v="1937.53"/>
    <x v="0"/>
    <n v="0.42175320364214991"/>
    <x v="1"/>
    <x v="11"/>
    <x v="11"/>
    <s v="Q4"/>
  </r>
  <r>
    <s v="ORD100532"/>
    <x v="693"/>
    <s v="CUST1160"/>
    <s v="Kiran Reddy"/>
    <x v="3"/>
    <s v="West Bengal"/>
    <s v="Durgapur"/>
    <x v="0"/>
    <s v="Audio"/>
    <x v="11"/>
    <n v="2"/>
    <n v="1950.67"/>
    <n v="0.05"/>
    <n v="3706.27"/>
    <n v="2310.42"/>
    <n v="1395.85"/>
    <x v="2"/>
    <n v="0.37661854101293207"/>
    <x v="1"/>
    <x v="11"/>
    <x v="11"/>
    <s v="Q4"/>
  </r>
  <r>
    <s v="ORD100159"/>
    <x v="694"/>
    <s v="CUST1084"/>
    <s v="Ananya Nair"/>
    <x v="2"/>
    <s v="Karnataka"/>
    <s v="Mangaluru"/>
    <x v="1"/>
    <s v="Stationery"/>
    <x v="1"/>
    <n v="3"/>
    <n v="245.12"/>
    <n v="0.05"/>
    <n v="698.59"/>
    <n v="277.60000000000002"/>
    <n v="420.99"/>
    <x v="4"/>
    <n v="0.60262815098985101"/>
    <x v="1"/>
    <x v="11"/>
    <x v="11"/>
    <s v="Q4"/>
  </r>
  <r>
    <s v="ORD100985"/>
    <x v="694"/>
    <s v="CUST1217"/>
    <s v="Rohan Gupta"/>
    <x v="2"/>
    <s v="Tamil Nadu"/>
    <s v="Madurai"/>
    <x v="3"/>
    <s v="Cleaning"/>
    <x v="15"/>
    <n v="1"/>
    <n v="7349.91"/>
    <n v="0.15"/>
    <n v="6247.42"/>
    <n v="4631.08"/>
    <n v="1616.34"/>
    <x v="0"/>
    <n v="0.25872120011140598"/>
    <x v="1"/>
    <x v="11"/>
    <x v="11"/>
    <s v="Q4"/>
  </r>
  <r>
    <s v="ORD101602"/>
    <x v="694"/>
    <s v="CUST1567"/>
    <s v="Diya Reddy"/>
    <x v="3"/>
    <s v="West Bengal"/>
    <s v="Durgapur"/>
    <x v="0"/>
    <s v="Computers"/>
    <x v="3"/>
    <n v="5"/>
    <n v="16218.49"/>
    <n v="0.1"/>
    <n v="72983.210000000006"/>
    <n v="61772.26"/>
    <n v="11210.95"/>
    <x v="0"/>
    <n v="0.1536099878314478"/>
    <x v="1"/>
    <x v="11"/>
    <x v="11"/>
    <s v="Q4"/>
  </r>
  <r>
    <s v="ORD100341"/>
    <x v="694"/>
    <s v="CUST1255"/>
    <s v="Aisha Gupta"/>
    <x v="2"/>
    <s v="Karnataka"/>
    <s v="Bengaluru"/>
    <x v="3"/>
    <s v="Kitchen"/>
    <x v="7"/>
    <n v="3"/>
    <n v="1904.07"/>
    <n v="0.1"/>
    <n v="5140.99"/>
    <n v="2983.03"/>
    <n v="2157.96"/>
    <x v="1"/>
    <n v="0.41975572798235361"/>
    <x v="1"/>
    <x v="11"/>
    <x v="11"/>
    <s v="Q4"/>
  </r>
  <r>
    <s v="ORD101403"/>
    <x v="695"/>
    <s v="CUST1619"/>
    <s v="Pooja Nair"/>
    <x v="0"/>
    <s v="Maharashtra"/>
    <s v="Nagpur"/>
    <x v="3"/>
    <s v="Kitchen"/>
    <x v="7"/>
    <n v="2"/>
    <n v="1841.92"/>
    <n v="0.1"/>
    <n v="3315.46"/>
    <n v="2026.21"/>
    <n v="1289.25"/>
    <x v="0"/>
    <n v="0.38886006768291581"/>
    <x v="1"/>
    <x v="11"/>
    <x v="11"/>
    <s v="Q4"/>
  </r>
  <r>
    <s v="ORD100964"/>
    <x v="695"/>
    <s v="CUST1553"/>
    <s v="Aarav Reddy"/>
    <x v="2"/>
    <s v="Tamil Nadu"/>
    <s v="Salem"/>
    <x v="2"/>
    <s v="Office"/>
    <x v="14"/>
    <n v="2"/>
    <n v="8806.67"/>
    <n v="0.1"/>
    <n v="15852.01"/>
    <n v="12138.48"/>
    <n v="3713.53"/>
    <x v="3"/>
    <n v="0.23426240584001651"/>
    <x v="1"/>
    <x v="11"/>
    <x v="11"/>
    <s v="Q4"/>
  </r>
  <r>
    <s v="ORD100692"/>
    <x v="695"/>
    <s v="CUST1183"/>
    <s v="Ishaan Singh"/>
    <x v="2"/>
    <s v="Telangana"/>
    <s v="Hyderabad"/>
    <x v="0"/>
    <s v="Audio"/>
    <x v="11"/>
    <n v="2"/>
    <n v="1921.38"/>
    <n v="0.1"/>
    <n v="3458.48"/>
    <n v="2266.69"/>
    <n v="1191.79"/>
    <x v="0"/>
    <n v="0.34459936156924431"/>
    <x v="1"/>
    <x v="11"/>
    <x v="11"/>
    <s v="Q4"/>
  </r>
  <r>
    <s v="ORD101092"/>
    <x v="695"/>
    <s v="CUST1602"/>
    <s v="Neha Malhotra"/>
    <x v="3"/>
    <s v="West Bengal"/>
    <s v="Siliguri"/>
    <x v="1"/>
    <s v="Stationery"/>
    <x v="17"/>
    <n v="1"/>
    <n v="282.72000000000003"/>
    <n v="0.15"/>
    <n v="240.31"/>
    <n v="116.97"/>
    <n v="123.34"/>
    <x v="3"/>
    <n v="0.51325371395281094"/>
    <x v="1"/>
    <x v="11"/>
    <x v="11"/>
    <s v="Q4"/>
  </r>
  <r>
    <s v="ORD100818"/>
    <x v="695"/>
    <s v="CUST1388"/>
    <s v="Kiran Malhotra"/>
    <x v="0"/>
    <s v="Maharashtra"/>
    <s v="Nashik"/>
    <x v="1"/>
    <s v="Storage"/>
    <x v="2"/>
    <n v="3"/>
    <n v="717.06"/>
    <n v="0.1"/>
    <n v="1936.06"/>
    <n v="1042.6300000000001"/>
    <n v="893.43"/>
    <x v="0"/>
    <n v="0.46146813631808931"/>
    <x v="1"/>
    <x v="11"/>
    <x v="11"/>
    <s v="Q4"/>
  </r>
  <r>
    <s v="ORD101500"/>
    <x v="695"/>
    <s v="CUST1224"/>
    <s v="Pooja Gupta"/>
    <x v="3"/>
    <s v="West Bengal"/>
    <s v="Kolkata"/>
    <x v="0"/>
    <s v="Audio"/>
    <x v="8"/>
    <n v="3"/>
    <n v="2847.47"/>
    <n v="0.15"/>
    <n v="7261.05"/>
    <n v="4566.74"/>
    <n v="2694.31"/>
    <x v="0"/>
    <n v="0.37106341369361179"/>
    <x v="1"/>
    <x v="11"/>
    <x v="11"/>
    <s v="Q4"/>
  </r>
  <r>
    <s v="ORD100638"/>
    <x v="695"/>
    <s v="CUST1251"/>
    <s v="Aisha Verma"/>
    <x v="2"/>
    <s v="Karnataka"/>
    <s v="Mysuru"/>
    <x v="2"/>
    <s v="Living Room"/>
    <x v="4"/>
    <n v="1"/>
    <n v="4787.6899999999996"/>
    <n v="0.2"/>
    <n v="3830.15"/>
    <n v="2886.24"/>
    <n v="943.91"/>
    <x v="1"/>
    <n v="0.2464420453507043"/>
    <x v="1"/>
    <x v="11"/>
    <x v="11"/>
    <s v="Q4"/>
  </r>
  <r>
    <s v="ORD101961"/>
    <x v="696"/>
    <s v="CUST1302"/>
    <s v="Kiran Verma"/>
    <x v="2"/>
    <s v="Telangana"/>
    <s v="Hyderabad"/>
    <x v="1"/>
    <s v="Storage"/>
    <x v="2"/>
    <n v="1"/>
    <n v="713.03"/>
    <n v="0.1"/>
    <n v="641.73"/>
    <n v="324.8"/>
    <n v="316.93"/>
    <x v="2"/>
    <n v="0.49386813769030591"/>
    <x v="1"/>
    <x v="11"/>
    <x v="11"/>
    <s v="Q4"/>
  </r>
  <r>
    <s v="ORD100073"/>
    <x v="696"/>
    <s v="CUST1004"/>
    <s v="Ananya Singh"/>
    <x v="2"/>
    <s v="Tamil Nadu"/>
    <s v="Salem"/>
    <x v="0"/>
    <s v="Accessories"/>
    <x v="5"/>
    <n v="2"/>
    <n v="2573.9699999999998"/>
    <n v="0.1"/>
    <n v="4633.1499999999996"/>
    <n v="2796.6"/>
    <n v="1836.55"/>
    <x v="1"/>
    <n v="0.39639338247196831"/>
    <x v="1"/>
    <x v="11"/>
    <x v="11"/>
    <s v="Q4"/>
  </r>
  <r>
    <s v="ORD100201"/>
    <x v="696"/>
    <s v="CUST1145"/>
    <s v="Arjun Naidu"/>
    <x v="1"/>
    <s v="Delhi"/>
    <s v="Delhi"/>
    <x v="0"/>
    <s v="Audio"/>
    <x v="11"/>
    <n v="2"/>
    <n v="1992.75"/>
    <n v="0.1"/>
    <n v="3586.95"/>
    <n v="2401.58"/>
    <n v="1185.3699999999999"/>
    <x v="4"/>
    <n v="0.33046738872858561"/>
    <x v="1"/>
    <x v="11"/>
    <x v="11"/>
    <s v="Q4"/>
  </r>
  <r>
    <s v="ORD100198"/>
    <x v="696"/>
    <s v="CUST1485"/>
    <s v="Aarav Joshi"/>
    <x v="2"/>
    <s v="Telangana"/>
    <s v="Hyderabad"/>
    <x v="3"/>
    <s v="Cleaning"/>
    <x v="15"/>
    <n v="3"/>
    <n v="7837.97"/>
    <n v="0.05"/>
    <n v="22338.21"/>
    <n v="15317.61"/>
    <n v="7020.6"/>
    <x v="1"/>
    <n v="0.31428659682221632"/>
    <x v="1"/>
    <x v="11"/>
    <x v="11"/>
    <s v="Q4"/>
  </r>
  <r>
    <s v="ORD100086"/>
    <x v="696"/>
    <s v="CUST1296"/>
    <s v="Kavya Verma"/>
    <x v="2"/>
    <s v="Tamil Nadu"/>
    <s v="Salem"/>
    <x v="3"/>
    <s v="Cleaning"/>
    <x v="12"/>
    <n v="1"/>
    <n v="12602.89"/>
    <n v="0"/>
    <n v="12602.89"/>
    <n v="8758.69"/>
    <n v="3844.2"/>
    <x v="0"/>
    <n v="0.30502527594861178"/>
    <x v="1"/>
    <x v="11"/>
    <x v="11"/>
    <s v="Q4"/>
  </r>
  <r>
    <s v="ORD102160"/>
    <x v="696"/>
    <s v="CUST1157"/>
    <s v="Nikhil Reddy"/>
    <x v="2"/>
    <s v="Tamil Nadu"/>
    <s v="Chennai"/>
    <x v="1"/>
    <s v="Stationery"/>
    <x v="17"/>
    <n v="2"/>
    <n v="281.20999999999998"/>
    <n v="0.05"/>
    <n v="534.29999999999995"/>
    <n v="227.15"/>
    <n v="307.14999999999998"/>
    <x v="0"/>
    <n v="0.57486430844095082"/>
    <x v="1"/>
    <x v="11"/>
    <x v="11"/>
    <s v="Q4"/>
  </r>
  <r>
    <s v="ORD102167"/>
    <x v="696"/>
    <s v="CUST1226"/>
    <s v="Meera Rao"/>
    <x v="2"/>
    <s v="Tamil Nadu"/>
    <s v="Madurai"/>
    <x v="1"/>
    <s v="Stationery"/>
    <x v="1"/>
    <n v="1"/>
    <n v="249"/>
    <n v="0"/>
    <n v="249"/>
    <n v="92.85"/>
    <n v="156.15"/>
    <x v="0"/>
    <n v="0.62710843373493974"/>
    <x v="1"/>
    <x v="11"/>
    <x v="11"/>
    <s v="Q4"/>
  </r>
  <r>
    <s v="ORD102475"/>
    <x v="697"/>
    <s v="CUST1469"/>
    <s v="Arjun Naidu"/>
    <x v="1"/>
    <s v="Delhi"/>
    <s v="Delhi"/>
    <x v="1"/>
    <s v="Storage"/>
    <x v="9"/>
    <n v="4"/>
    <n v="515.74"/>
    <n v="0"/>
    <n v="2062.96"/>
    <n v="939.45"/>
    <n v="1123.51"/>
    <x v="1"/>
    <n v="0.54461065653236129"/>
    <x v="1"/>
    <x v="11"/>
    <x v="11"/>
    <s v="Q4"/>
  </r>
  <r>
    <s v="ORD100120"/>
    <x v="697"/>
    <s v="CUST1550"/>
    <s v="Neha Sharma"/>
    <x v="0"/>
    <s v="Maharashtra"/>
    <s v="Mumbai"/>
    <x v="2"/>
    <s v="Living Room"/>
    <x v="4"/>
    <n v="6"/>
    <n v="4805.38"/>
    <n v="0.05"/>
    <n v="27390.67"/>
    <n v="17838.27"/>
    <n v="9552.4"/>
    <x v="2"/>
    <n v="0.34874648922425039"/>
    <x v="1"/>
    <x v="11"/>
    <x v="11"/>
    <s v="Q4"/>
  </r>
  <r>
    <s v="ORD100779"/>
    <x v="697"/>
    <s v="CUST1011"/>
    <s v="Kavya Naidu"/>
    <x v="2"/>
    <s v="Telangana"/>
    <s v="Hyderabad"/>
    <x v="0"/>
    <s v="Audio"/>
    <x v="8"/>
    <n v="1"/>
    <n v="3125.55"/>
    <n v="0.05"/>
    <n v="2969.27"/>
    <n v="1592.12"/>
    <n v="1377.15"/>
    <x v="0"/>
    <n v="0.46380086687973809"/>
    <x v="1"/>
    <x v="11"/>
    <x v="11"/>
    <s v="Q4"/>
  </r>
  <r>
    <s v="ORD102324"/>
    <x v="697"/>
    <s v="CUST1481"/>
    <s v="Aarav Patel"/>
    <x v="2"/>
    <s v="Karnataka"/>
    <s v="Mysuru"/>
    <x v="1"/>
    <s v="Stationery"/>
    <x v="1"/>
    <n v="2"/>
    <n v="256.61"/>
    <n v="0.05"/>
    <n v="487.56"/>
    <n v="187.72"/>
    <n v="299.83999999999997"/>
    <x v="3"/>
    <n v="0.61498072032160134"/>
    <x v="1"/>
    <x v="11"/>
    <x v="11"/>
    <s v="Q4"/>
  </r>
  <r>
    <s v="ORD100436"/>
    <x v="698"/>
    <s v="CUST1445"/>
    <s v="Vikram Sharma"/>
    <x v="2"/>
    <s v="Karnataka"/>
    <s v="Mysuru"/>
    <x v="0"/>
    <s v="Accessories"/>
    <x v="6"/>
    <n v="2"/>
    <n v="774.46"/>
    <n v="0.15"/>
    <n v="1316.58"/>
    <n v="966.02"/>
    <n v="350.56"/>
    <x v="0"/>
    <n v="0.26626562761093142"/>
    <x v="1"/>
    <x v="11"/>
    <x v="11"/>
    <s v="Q4"/>
  </r>
  <r>
    <s v="ORD102170"/>
    <x v="699"/>
    <s v="CUST1066"/>
    <s v="Pooja Naidu"/>
    <x v="0"/>
    <s v="Maharashtra"/>
    <s v="Nashik"/>
    <x v="3"/>
    <s v="Cleaning"/>
    <x v="15"/>
    <n v="1"/>
    <n v="7946.29"/>
    <n v="0"/>
    <n v="7946.29"/>
    <n v="5046.67"/>
    <n v="2899.62"/>
    <x v="4"/>
    <n v="0.36490236324121073"/>
    <x v="1"/>
    <x v="11"/>
    <x v="11"/>
    <s v="Q4"/>
  </r>
  <r>
    <s v="ORD102013"/>
    <x v="699"/>
    <s v="CUST1563"/>
    <s v="Rohan Gupta"/>
    <x v="2"/>
    <s v="Telangana"/>
    <s v="Karimnagar"/>
    <x v="1"/>
    <s v="Storage"/>
    <x v="2"/>
    <n v="1"/>
    <n v="730.34"/>
    <n v="0.1"/>
    <n v="657.31"/>
    <n v="329.62"/>
    <n v="327.69"/>
    <x v="2"/>
    <n v="0.49853189514840801"/>
    <x v="1"/>
    <x v="11"/>
    <x v="11"/>
    <s v="Q4"/>
  </r>
  <r>
    <s v="ORD101013"/>
    <x v="699"/>
    <s v="CUST1425"/>
    <s v="Kavya Nair"/>
    <x v="2"/>
    <s v="Karnataka"/>
    <s v="Mysuru"/>
    <x v="2"/>
    <s v="Office"/>
    <x v="14"/>
    <n v="3"/>
    <n v="8215.84"/>
    <n v="0.05"/>
    <n v="23415.14"/>
    <n v="17089.099999999999"/>
    <n v="6326.04"/>
    <x v="0"/>
    <n v="0.27016878822847101"/>
    <x v="1"/>
    <x v="11"/>
    <x v="11"/>
    <s v="Q4"/>
  </r>
  <r>
    <s v="ORD101304"/>
    <x v="700"/>
    <s v="CUST1447"/>
    <s v="Kiran Kumar"/>
    <x v="3"/>
    <s v="West Bengal"/>
    <s v="Siliguri"/>
    <x v="0"/>
    <s v="Accessories"/>
    <x v="5"/>
    <n v="2"/>
    <n v="2574.87"/>
    <n v="0.05"/>
    <n v="4892.25"/>
    <n v="2868"/>
    <n v="2024.25"/>
    <x v="1"/>
    <n v="0.41376667177678977"/>
    <x v="1"/>
    <x v="11"/>
    <x v="11"/>
    <s v="Q4"/>
  </r>
  <r>
    <s v="ORD101857"/>
    <x v="700"/>
    <s v="CUST1010"/>
    <s v="Sneha Iyer"/>
    <x v="2"/>
    <s v="Karnataka"/>
    <s v="Bengaluru"/>
    <x v="0"/>
    <s v="Computers"/>
    <x v="0"/>
    <n v="3"/>
    <n v="55597.19"/>
    <n v="0.05"/>
    <n v="158451.99"/>
    <n v="147796.07"/>
    <n v="10655.92"/>
    <x v="2"/>
    <n v="6.7250149398565467E-2"/>
    <x v="1"/>
    <x v="11"/>
    <x v="11"/>
    <s v="Q4"/>
  </r>
  <r>
    <s v="ORD102441"/>
    <x v="700"/>
    <s v="CUST1108"/>
    <s v="Diya Iyer"/>
    <x v="2"/>
    <s v="Tamil Nadu"/>
    <s v="Coimbatore"/>
    <x v="1"/>
    <s v="Stationery"/>
    <x v="1"/>
    <n v="1"/>
    <n v="238.31"/>
    <n v="0"/>
    <n v="238.31"/>
    <n v="94.17"/>
    <n v="144.13999999999999"/>
    <x v="1"/>
    <n v="0.60484243212622213"/>
    <x v="1"/>
    <x v="11"/>
    <x v="11"/>
    <s v="Q4"/>
  </r>
  <r>
    <s v="ORD102418"/>
    <x v="700"/>
    <s v="CUST1063"/>
    <s v="Arjun Verma"/>
    <x v="1"/>
    <s v="Delhi"/>
    <s v="Delhi"/>
    <x v="2"/>
    <s v="Living Room"/>
    <x v="4"/>
    <n v="3"/>
    <n v="5117.5200000000004"/>
    <n v="0.1"/>
    <n v="13817.3"/>
    <n v="9737.61"/>
    <n v="4079.69"/>
    <x v="2"/>
    <n v="0.29525956590650848"/>
    <x v="1"/>
    <x v="11"/>
    <x v="11"/>
    <s v="Q4"/>
  </r>
  <r>
    <s v="ORD100953"/>
    <x v="700"/>
    <s v="CUST1228"/>
    <s v="Sneha Patel"/>
    <x v="2"/>
    <s v="Telangana"/>
    <s v="Warangal"/>
    <x v="3"/>
    <s v="Kitchen"/>
    <x v="7"/>
    <n v="1"/>
    <n v="1707.78"/>
    <n v="0.15"/>
    <n v="1451.61"/>
    <n v="924.34"/>
    <n v="527.27"/>
    <x v="0"/>
    <n v="0.36323117090678619"/>
    <x v="1"/>
    <x v="11"/>
    <x v="11"/>
    <s v="Q4"/>
  </r>
  <r>
    <s v="ORD101654"/>
    <x v="701"/>
    <s v="CUST1337"/>
    <s v="Priya Rao"/>
    <x v="2"/>
    <s v="Telangana"/>
    <s v="Warangal"/>
    <x v="3"/>
    <s v="Kitchen"/>
    <x v="7"/>
    <n v="6"/>
    <n v="1776.71"/>
    <n v="0.15"/>
    <n v="9061.2199999999993"/>
    <n v="5552.32"/>
    <n v="3508.9"/>
    <x v="0"/>
    <n v="0.38724366034595792"/>
    <x v="1"/>
    <x v="11"/>
    <x v="11"/>
    <s v="Q4"/>
  </r>
  <r>
    <s v="ORD101812"/>
    <x v="701"/>
    <s v="CUST1175"/>
    <s v="Neha Singh"/>
    <x v="3"/>
    <s v="West Bengal"/>
    <s v="Durgapur"/>
    <x v="0"/>
    <s v="Audio"/>
    <x v="8"/>
    <n v="5"/>
    <n v="2914.53"/>
    <n v="0.15"/>
    <n v="12386.75"/>
    <n v="7857.28"/>
    <n v="4529.47"/>
    <x v="2"/>
    <n v="0.36567057541324399"/>
    <x v="1"/>
    <x v="11"/>
    <x v="11"/>
    <s v="Q4"/>
  </r>
  <r>
    <s v="ORD100294"/>
    <x v="701"/>
    <s v="CUST1359"/>
    <s v="Aditya Patel"/>
    <x v="0"/>
    <s v="Maharashtra"/>
    <s v="Mumbai"/>
    <x v="2"/>
    <s v="Office"/>
    <x v="10"/>
    <n v="1"/>
    <n v="7321.23"/>
    <n v="0.15"/>
    <n v="6223.05"/>
    <n v="4693.8900000000003"/>
    <n v="1529.16"/>
    <x v="4"/>
    <n v="0.24572516691975799"/>
    <x v="1"/>
    <x v="11"/>
    <x v="11"/>
    <s v="Q4"/>
  </r>
  <r>
    <s v="ORD101413"/>
    <x v="701"/>
    <s v="CUST1054"/>
    <s v="Pooja Reddy"/>
    <x v="3"/>
    <s v="West Bengal"/>
    <s v="Kolkata"/>
    <x v="0"/>
    <s v="Computers"/>
    <x v="0"/>
    <n v="1"/>
    <n v="57129.32"/>
    <n v="0.05"/>
    <n v="54272.85"/>
    <n v="51914.5"/>
    <n v="2358.35"/>
    <x v="3"/>
    <n v="4.3453586830247533E-2"/>
    <x v="1"/>
    <x v="11"/>
    <x v="11"/>
    <s v="Q4"/>
  </r>
  <r>
    <s v="ORD100550"/>
    <x v="702"/>
    <s v="CUST1023"/>
    <s v="Sanjana Singh"/>
    <x v="2"/>
    <s v="Tamil Nadu"/>
    <s v="Salem"/>
    <x v="2"/>
    <s v="Office"/>
    <x v="14"/>
    <n v="4"/>
    <n v="8149.71"/>
    <n v="0.05"/>
    <n v="30968.9"/>
    <n v="21824.03"/>
    <n v="9144.8700000000008"/>
    <x v="1"/>
    <n v="0.29529205105767398"/>
    <x v="1"/>
    <x v="11"/>
    <x v="11"/>
    <s v="Q4"/>
  </r>
  <r>
    <s v="ORD102289"/>
    <x v="702"/>
    <s v="CUST1402"/>
    <s v="Neha Gupta"/>
    <x v="2"/>
    <s v="Karnataka"/>
    <s v="Hubballi"/>
    <x v="0"/>
    <s v="Audio"/>
    <x v="11"/>
    <n v="4"/>
    <n v="2053.84"/>
    <n v="0"/>
    <n v="8215.36"/>
    <n v="4642.33"/>
    <n v="3573.03"/>
    <x v="2"/>
    <n v="0.43492068515561089"/>
    <x v="1"/>
    <x v="11"/>
    <x v="11"/>
    <s v="Q4"/>
  </r>
  <r>
    <s v="ORD100681"/>
    <x v="703"/>
    <s v="CUST1528"/>
    <s v="Sanjana Malhotra"/>
    <x v="2"/>
    <s v="Tamil Nadu"/>
    <s v="Salem"/>
    <x v="3"/>
    <s v="Kitchen"/>
    <x v="7"/>
    <n v="2"/>
    <n v="1743.64"/>
    <n v="0.15"/>
    <n v="2964.19"/>
    <n v="1918.92"/>
    <n v="1045.27"/>
    <x v="4"/>
    <n v="0.35263259102824041"/>
    <x v="1"/>
    <x v="11"/>
    <x v="11"/>
    <s v="Q4"/>
  </r>
  <r>
    <s v="ORD101114"/>
    <x v="704"/>
    <s v="CUST1131"/>
    <s v="Nikhil Iyer"/>
    <x v="3"/>
    <s v="West Bengal"/>
    <s v="Durgapur"/>
    <x v="0"/>
    <s v="Accessories"/>
    <x v="6"/>
    <n v="1"/>
    <n v="844.61"/>
    <n v="0"/>
    <n v="844.61"/>
    <n v="512.58000000000004"/>
    <n v="332.03"/>
    <x v="2"/>
    <n v="0.39311634955778402"/>
    <x v="1"/>
    <x v="11"/>
    <x v="11"/>
    <s v="Q4"/>
  </r>
  <r>
    <s v="ORD100092"/>
    <x v="704"/>
    <s v="CUST1557"/>
    <s v="Kavya Patel"/>
    <x v="0"/>
    <s v="Maharashtra"/>
    <s v="Pune"/>
    <x v="0"/>
    <s v="Accessories"/>
    <x v="6"/>
    <n v="4"/>
    <n v="766.66"/>
    <n v="0.1"/>
    <n v="2759.98"/>
    <n v="1942.83"/>
    <n v="817.15"/>
    <x v="3"/>
    <n v="0.29607098602163778"/>
    <x v="1"/>
    <x v="11"/>
    <x v="11"/>
    <s v="Q4"/>
  </r>
  <r>
    <s v="ORD100066"/>
    <x v="704"/>
    <s v="CUST1382"/>
    <s v="Kiran Verma"/>
    <x v="2"/>
    <s v="Telangana"/>
    <s v="Hyderabad"/>
    <x v="3"/>
    <s v="Cleaning"/>
    <x v="15"/>
    <n v="1"/>
    <n v="7311.88"/>
    <n v="0.05"/>
    <n v="6946.29"/>
    <n v="4748.99"/>
    <n v="2197.3000000000002"/>
    <x v="0"/>
    <n v="0.31632713290116021"/>
    <x v="1"/>
    <x v="11"/>
    <x v="11"/>
    <s v="Q4"/>
  </r>
  <r>
    <s v="ORD102019"/>
    <x v="704"/>
    <s v="CUST1101"/>
    <s v="Neha Das"/>
    <x v="2"/>
    <s v="Tamil Nadu"/>
    <s v="Coimbatore"/>
    <x v="2"/>
    <s v="Living Room"/>
    <x v="4"/>
    <n v="2"/>
    <n v="5249.68"/>
    <n v="0.1"/>
    <n v="9449.42"/>
    <n v="6645.24"/>
    <n v="2804.18"/>
    <x v="1"/>
    <n v="0.29675683798582347"/>
    <x v="1"/>
    <x v="11"/>
    <x v="11"/>
    <s v="Q4"/>
  </r>
  <r>
    <s v="ORD102229"/>
    <x v="705"/>
    <s v="CUST1145"/>
    <s v="Priya Nair"/>
    <x v="2"/>
    <s v="Telangana"/>
    <s v="Warangal"/>
    <x v="2"/>
    <s v="Living Room"/>
    <x v="16"/>
    <n v="2"/>
    <n v="3910.74"/>
    <n v="0"/>
    <n v="7821.48"/>
    <n v="4956.5200000000004"/>
    <n v="2864.96"/>
    <x v="1"/>
    <n v="0.36629384720027408"/>
    <x v="1"/>
    <x v="11"/>
    <x v="11"/>
    <s v="Q4"/>
  </r>
  <r>
    <s v="ORD100149"/>
    <x v="705"/>
    <s v="CUST1057"/>
    <s v="Neha Nair"/>
    <x v="1"/>
    <s v="Delhi"/>
    <s v="Delhi"/>
    <x v="0"/>
    <s v="Audio"/>
    <x v="11"/>
    <n v="1"/>
    <n v="1956.77"/>
    <n v="0.05"/>
    <n v="1858.93"/>
    <n v="1175.6600000000001"/>
    <n v="683.27"/>
    <x v="0"/>
    <n v="0.36756090869478669"/>
    <x v="1"/>
    <x v="11"/>
    <x v="11"/>
    <s v="Q4"/>
  </r>
  <r>
    <s v="ORD100822"/>
    <x v="705"/>
    <s v="CUST1206"/>
    <s v="Aisha Iyer"/>
    <x v="2"/>
    <s v="Karnataka"/>
    <s v="Bengaluru"/>
    <x v="1"/>
    <s v="Storage"/>
    <x v="9"/>
    <n v="6"/>
    <n v="485.49"/>
    <n v="0.2"/>
    <n v="2330.35"/>
    <n v="1338.76"/>
    <n v="991.59"/>
    <x v="2"/>
    <n v="0.42551118930632742"/>
    <x v="1"/>
    <x v="11"/>
    <x v="11"/>
    <s v="Q4"/>
  </r>
  <r>
    <s v="ORD102307"/>
    <x v="705"/>
    <s v="CUST1316"/>
    <s v="Varun Naidu"/>
    <x v="1"/>
    <s v="Delhi"/>
    <s v="Delhi"/>
    <x v="2"/>
    <s v="Office"/>
    <x v="14"/>
    <n v="3"/>
    <n v="8567.25"/>
    <n v="0"/>
    <n v="25701.75"/>
    <n v="18109.830000000002"/>
    <n v="7591.92"/>
    <x v="0"/>
    <n v="0.29538533368350411"/>
    <x v="1"/>
    <x v="11"/>
    <x v="11"/>
    <s v="Q4"/>
  </r>
  <r>
    <s v="ORD101897"/>
    <x v="705"/>
    <s v="CUST1300"/>
    <s v="Aarav Joshi"/>
    <x v="2"/>
    <s v="Telangana"/>
    <s v="Hyderabad"/>
    <x v="0"/>
    <s v="Accessories"/>
    <x v="5"/>
    <n v="5"/>
    <n v="2437.79"/>
    <n v="0.15"/>
    <n v="10360.61"/>
    <n v="6946.39"/>
    <n v="3414.22"/>
    <x v="1"/>
    <n v="0.32953851172855653"/>
    <x v="1"/>
    <x v="11"/>
    <x v="11"/>
    <s v="Q4"/>
  </r>
  <r>
    <s v="ORD101746"/>
    <x v="705"/>
    <s v="CUST1343"/>
    <s v="Ananya Sharma"/>
    <x v="0"/>
    <s v="Maharashtra"/>
    <s v="Mumbai"/>
    <x v="0"/>
    <s v="Computers"/>
    <x v="0"/>
    <n v="5"/>
    <n v="59657.66"/>
    <n v="0.05"/>
    <n v="283373.89"/>
    <n v="258882.62"/>
    <n v="24491.27"/>
    <x v="0"/>
    <n v="8.6427405150135736E-2"/>
    <x v="1"/>
    <x v="11"/>
    <x v="11"/>
    <s v="Q4"/>
  </r>
  <r>
    <s v="ORD100506"/>
    <x v="706"/>
    <s v="CUST1347"/>
    <s v="Kavya Das"/>
    <x v="2"/>
    <s v="Telangana"/>
    <s v="Karimnagar"/>
    <x v="1"/>
    <s v="Stationery"/>
    <x v="17"/>
    <n v="4"/>
    <n v="297.02"/>
    <n v="0.05"/>
    <n v="1128.68"/>
    <n v="502.56"/>
    <n v="626.12"/>
    <x v="2"/>
    <n v="0.55473650636141325"/>
    <x v="1"/>
    <x v="11"/>
    <x v="11"/>
    <s v="Q4"/>
  </r>
  <r>
    <s v="ORD100895"/>
    <x v="706"/>
    <s v="CUST1011"/>
    <s v="Aisha Das"/>
    <x v="2"/>
    <s v="Tamil Nadu"/>
    <s v="Madurai"/>
    <x v="0"/>
    <s v="Accessories"/>
    <x v="6"/>
    <n v="6"/>
    <n v="806.08"/>
    <n v="0.1"/>
    <n v="4352.83"/>
    <n v="3093.93"/>
    <n v="1258.9000000000001"/>
    <x v="0"/>
    <n v="0.28921414344231228"/>
    <x v="1"/>
    <x v="11"/>
    <x v="11"/>
    <s v="Q4"/>
  </r>
  <r>
    <s v="ORD101463"/>
    <x v="706"/>
    <s v="CUST1081"/>
    <s v="Aisha Malhotra"/>
    <x v="2"/>
    <s v="Karnataka"/>
    <s v="Hubballi"/>
    <x v="0"/>
    <s v="Computers"/>
    <x v="3"/>
    <n v="2"/>
    <n v="16676.919999999998"/>
    <n v="0.05"/>
    <n v="31686.15"/>
    <n v="24241.22"/>
    <n v="7444.93"/>
    <x v="2"/>
    <n v="0.23495849132823021"/>
    <x v="1"/>
    <x v="11"/>
    <x v="11"/>
    <s v="Q4"/>
  </r>
  <r>
    <s v="ORD100848"/>
    <x v="706"/>
    <s v="CUST1262"/>
    <s v="Aditya Naidu"/>
    <x v="1"/>
    <s v="Delhi"/>
    <s v="New Delhi"/>
    <x v="2"/>
    <s v="Office"/>
    <x v="14"/>
    <n v="2"/>
    <n v="8990.7900000000009"/>
    <n v="0"/>
    <n v="17981.580000000002"/>
    <n v="12331.66"/>
    <n v="5649.92"/>
    <x v="0"/>
    <n v="0.31420598189925458"/>
    <x v="1"/>
    <x v="11"/>
    <x v="11"/>
    <s v="Q4"/>
  </r>
  <r>
    <s v="ORD100507"/>
    <x v="706"/>
    <s v="CUST1117"/>
    <s v="Rahul Mehta"/>
    <x v="2"/>
    <s v="Karnataka"/>
    <s v="Mangaluru"/>
    <x v="0"/>
    <s v="Audio"/>
    <x v="8"/>
    <n v="2"/>
    <n v="2864.27"/>
    <n v="0"/>
    <n v="5728.54"/>
    <n v="2991.59"/>
    <n v="2736.95"/>
    <x v="1"/>
    <n v="0.47777444165529093"/>
    <x v="1"/>
    <x v="11"/>
    <x v="11"/>
    <s v="Q4"/>
  </r>
  <r>
    <s v="ORD101380"/>
    <x v="707"/>
    <s v="CUST1451"/>
    <s v="Sneha Das"/>
    <x v="2"/>
    <s v="Telangana"/>
    <s v="Nizamabad"/>
    <x v="1"/>
    <s v="Stationery"/>
    <x v="17"/>
    <n v="2"/>
    <n v="282.93"/>
    <n v="0"/>
    <n v="565.86"/>
    <n v="236.78"/>
    <n v="329.08"/>
    <x v="0"/>
    <n v="0.58155727565122106"/>
    <x v="1"/>
    <x v="11"/>
    <x v="11"/>
    <s v="Q4"/>
  </r>
  <r>
    <s v="ORD101836"/>
    <x v="707"/>
    <s v="CUST1018"/>
    <s v="Neha Naidu"/>
    <x v="2"/>
    <s v="Telangana"/>
    <s v="Hyderabad"/>
    <x v="1"/>
    <s v="Storage"/>
    <x v="9"/>
    <n v="3"/>
    <n v="482"/>
    <n v="0.05"/>
    <n v="1373.7"/>
    <n v="660.23"/>
    <n v="713.47"/>
    <x v="2"/>
    <n v="0.51937832132197714"/>
    <x v="1"/>
    <x v="11"/>
    <x v="11"/>
    <s v="Q4"/>
  </r>
  <r>
    <s v="ORD100049"/>
    <x v="707"/>
    <s v="CUST1562"/>
    <s v="Aarav Patel"/>
    <x v="2"/>
    <s v="Telangana"/>
    <s v="Hyderabad"/>
    <x v="1"/>
    <s v="Stationery"/>
    <x v="1"/>
    <n v="3"/>
    <n v="236.76"/>
    <n v="0.1"/>
    <n v="639.25"/>
    <n v="278.48"/>
    <n v="360.77"/>
    <x v="0"/>
    <n v="0.56436448963629249"/>
    <x v="1"/>
    <x v="11"/>
    <x v="11"/>
    <s v="Q4"/>
  </r>
  <r>
    <s v="ORD101134"/>
    <x v="707"/>
    <s v="CUST1372"/>
    <s v="Meera Joshi"/>
    <x v="0"/>
    <s v="Maharashtra"/>
    <s v="Nagpur"/>
    <x v="3"/>
    <s v="Cleaning"/>
    <x v="12"/>
    <n v="1"/>
    <n v="13224.87"/>
    <n v="0.05"/>
    <n v="12563.63"/>
    <n v="9159.58"/>
    <n v="3404.05"/>
    <x v="1"/>
    <n v="0.27094478267825473"/>
    <x v="1"/>
    <x v="11"/>
    <x v="11"/>
    <s v="Q4"/>
  </r>
  <r>
    <s v="ORD102198"/>
    <x v="707"/>
    <s v="CUST1610"/>
    <s v="Nikhil Das"/>
    <x v="0"/>
    <s v="Maharashtra"/>
    <s v="Nashik"/>
    <x v="0"/>
    <s v="Accessories"/>
    <x v="6"/>
    <n v="3"/>
    <n v="829.34"/>
    <n v="0"/>
    <n v="2488.02"/>
    <n v="1559.93"/>
    <n v="928.09"/>
    <x v="0"/>
    <n v="0.37302352874976891"/>
    <x v="1"/>
    <x v="11"/>
    <x v="11"/>
    <s v="Q4"/>
  </r>
  <r>
    <s v="ORD101305"/>
    <x v="707"/>
    <s v="CUST1436"/>
    <s v="Neha Nair"/>
    <x v="2"/>
    <s v="Telangana"/>
    <s v="Warangal"/>
    <x v="3"/>
    <s v="Kitchen"/>
    <x v="7"/>
    <n v="3"/>
    <n v="1878.25"/>
    <n v="0.1"/>
    <n v="5071.28"/>
    <n v="3064.51"/>
    <n v="2006.77"/>
    <x v="1"/>
    <n v="0.39571271947121828"/>
    <x v="1"/>
    <x v="11"/>
    <x v="11"/>
    <s v="Q4"/>
  </r>
  <r>
    <s v="ORD100526"/>
    <x v="707"/>
    <s v="CUST1645"/>
    <s v="Sanjana Patel"/>
    <x v="2"/>
    <s v="Tamil Nadu"/>
    <s v="Chennai"/>
    <x v="3"/>
    <s v="Cleaning"/>
    <x v="12"/>
    <n v="1"/>
    <n v="12477.27"/>
    <n v="0"/>
    <n v="12477.27"/>
    <n v="9097.57"/>
    <n v="3379.7"/>
    <x v="3"/>
    <n v="0.27086854736653132"/>
    <x v="1"/>
    <x v="11"/>
    <x v="11"/>
    <s v="Q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54AEBC-D8F8-495F-9C1E-7731D6FBA61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25">
    <pivotField showAll="0"/>
    <pivotField numFmtId="14" showAll="0">
      <items count="7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t="default"/>
      </items>
    </pivotField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3" baseField="0" baseItem="0"/>
    <dataField name="Sum of Profit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9DD271-6DC2-4F01-8C74-E9252D6EE8A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25">
    <pivotField showAll="0"/>
    <pivotField numFmtId="14" showAll="0">
      <items count="7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3" baseField="0" baseItem="0"/>
    <dataField name="Sum of Profit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185465-4F01-414B-BE08-827BC111114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17" firstHeaderRow="1" firstDataRow="2" firstDataCol="1"/>
  <pivotFields count="25">
    <pivotField showAll="0"/>
    <pivotField numFmtId="14" showAll="0">
      <items count="7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Sum of Sales" fld="13" baseField="0" baseItem="0"/>
  </dataFields>
  <chartFormats count="2"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5E4E53-705A-4629-8245-36C2327299E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14" firstHeaderRow="0" firstDataRow="1" firstDataCol="1"/>
  <pivotFields count="25">
    <pivotField showAll="0"/>
    <pivotField numFmtId="14" showAll="0">
      <items count="7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9">
        <item x="12"/>
        <item x="11"/>
        <item x="4"/>
        <item x="16"/>
        <item x="7"/>
        <item x="9"/>
        <item x="0"/>
        <item x="5"/>
        <item x="13"/>
        <item x="3"/>
        <item x="17"/>
        <item x="14"/>
        <item x="8"/>
        <item x="1"/>
        <item x="2"/>
        <item x="10"/>
        <item x="15"/>
        <item x="6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9"/>
  </rowFields>
  <rowItems count="11">
    <i>
      <x/>
    </i>
    <i>
      <x v="2"/>
    </i>
    <i>
      <x v="3"/>
    </i>
    <i>
      <x v="6"/>
    </i>
    <i>
      <x v="8"/>
    </i>
    <i>
      <x v="9"/>
    </i>
    <i>
      <x v="11"/>
    </i>
    <i>
      <x v="12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3" baseField="0" baseItem="0"/>
    <dataField name="Sum of Profit" fld="15" baseField="0" baseItem="0"/>
  </dataField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1EB7D0-1C11-4538-98BE-9AA90FB4D9C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9" firstHeaderRow="0" firstDataRow="1" firstDataCol="1"/>
  <pivotFields count="25">
    <pivotField showAll="0"/>
    <pivotField numFmtId="14" showAll="0">
      <items count="70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3" baseField="0" baseItem="0"/>
    <dataField name="Sum of Quantity" fld="10" baseField="0" baseItem="0"/>
  </dataFields>
  <chartFormats count="12">
    <chartFormat chart="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2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1"/>
          </reference>
          <reference field="16" count="1" selected="0">
            <x v="0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1"/>
          </reference>
          <reference field="16" count="1" selected="0">
            <x v="1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1"/>
          </reference>
          <reference field="16" count="1" selected="0">
            <x v="2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1"/>
          </reference>
          <reference field="16" count="1" selected="0">
            <x v="3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1"/>
          </reference>
          <reference field="1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60B3228-BCC6-4A0A-9E0B-AE8600D13970}" autoFormatId="16" applyNumberFormats="0" applyBorderFormats="0" applyFontFormats="0" applyPatternFormats="0" applyAlignmentFormats="0" applyWidthHeightFormats="0">
  <queryTableRefresh nextId="23">
    <queryTableFields count="22">
      <queryTableField id="1" name="Order_ID" tableColumnId="1"/>
      <queryTableField id="2" name="Order_Date" tableColumnId="2"/>
      <queryTableField id="3" name="Customer_ID" tableColumnId="3"/>
      <queryTableField id="4" name="Customer_Name" tableColumnId="4"/>
      <queryTableField id="5" name="Region" tableColumnId="5"/>
      <queryTableField id="6" name="State" tableColumnId="6"/>
      <queryTableField id="7" name="City" tableColumnId="7"/>
      <queryTableField id="8" name="Category" tableColumnId="8"/>
      <queryTableField id="9" name="Sub_Category" tableColumnId="9"/>
      <queryTableField id="10" name="Product" tableColumnId="10"/>
      <queryTableField id="11" name="Quantity" tableColumnId="11"/>
      <queryTableField id="12" name="Unit_Price" tableColumnId="12"/>
      <queryTableField id="13" name="Discount" tableColumnId="13"/>
      <queryTableField id="14" name="Sales" tableColumnId="14"/>
      <queryTableField id="15" name="Cost" tableColumnId="15"/>
      <queryTableField id="16" name="Profit" tableColumnId="16"/>
      <queryTableField id="17" name="Payment_Mode" tableColumnId="17"/>
      <queryTableField id="18" name="Profit_Margin" tableColumnId="18"/>
      <queryTableField id="19" name="Year" tableColumnId="19"/>
      <queryTableField id="20" name="Month" tableColumnId="20"/>
      <queryTableField id="21" name="Month_Number" tableColumnId="21"/>
      <queryTableField id="22" name="Quarter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F05216-941E-4038-ABA9-272EB0576539}" name="Raw_Data" displayName="Raw_Data" ref="A1:V2501" tableType="queryTable" totalsRowShown="0">
  <autoFilter ref="A1:V2501" xr:uid="{56F05216-941E-4038-ABA9-272EB0576539}"/>
  <tableColumns count="22">
    <tableColumn id="1" xr3:uid="{D1B14E3D-654F-468E-858F-92F2A8F8B564}" uniqueName="1" name="Order_ID" queryTableFieldId="1" dataDxfId="11"/>
    <tableColumn id="2" xr3:uid="{C1458866-46AC-4FB3-BC18-DC192F4CD84B}" uniqueName="2" name="Order_Date" queryTableFieldId="2" dataDxfId="10"/>
    <tableColumn id="3" xr3:uid="{EFB79D7F-A563-4FF7-8D72-E15E0BE39D17}" uniqueName="3" name="Customer_ID" queryTableFieldId="3" dataDxfId="9"/>
    <tableColumn id="4" xr3:uid="{306274BB-D008-4DF4-BBB9-C2577BABE43F}" uniqueName="4" name="Customer_Name" queryTableFieldId="4" dataDxfId="8"/>
    <tableColumn id="5" xr3:uid="{623AC3BC-41E8-4222-ABEB-7B79725B36E8}" uniqueName="5" name="Region" queryTableFieldId="5" dataDxfId="7"/>
    <tableColumn id="6" xr3:uid="{1449B21E-83B5-46BD-A054-885B614691E1}" uniqueName="6" name="State" queryTableFieldId="6" dataDxfId="6"/>
    <tableColumn id="7" xr3:uid="{E2CD579D-26EB-4B87-8AD3-500D2C854F2D}" uniqueName="7" name="City" queryTableFieldId="7" dataDxfId="5"/>
    <tableColumn id="8" xr3:uid="{0B5971B9-3AE9-4754-953A-64B792CF648A}" uniqueName="8" name="Category" queryTableFieldId="8" dataDxfId="4"/>
    <tableColumn id="9" xr3:uid="{CF2AEB2D-9E7A-4F53-8DA5-FC90DBCFD4A2}" uniqueName="9" name="Sub_Category" queryTableFieldId="9" dataDxfId="3"/>
    <tableColumn id="10" xr3:uid="{476E613B-15AF-48C4-8772-ECD1F260240C}" uniqueName="10" name="Product" queryTableFieldId="10" dataDxfId="2"/>
    <tableColumn id="11" xr3:uid="{978802A8-ABFE-4AC8-909F-DB735A0531F0}" uniqueName="11" name="Quantity" queryTableFieldId="11"/>
    <tableColumn id="12" xr3:uid="{4C1BB84A-B5D4-4970-A42A-16DE06601C16}" uniqueName="12" name="Unit_Price" queryTableFieldId="12"/>
    <tableColumn id="13" xr3:uid="{7F7457C4-5235-40EF-85C3-3E6C37895C5D}" uniqueName="13" name="Discount" queryTableFieldId="13"/>
    <tableColumn id="14" xr3:uid="{9237A6B2-A7E7-4FCF-ADA3-46181AEF0C4A}" uniqueName="14" name="Sales" queryTableFieldId="14"/>
    <tableColumn id="15" xr3:uid="{0301D2B8-14EB-4E69-9A19-F6554F2273B0}" uniqueName="15" name="Cost" queryTableFieldId="15"/>
    <tableColumn id="16" xr3:uid="{160CA103-85F6-4DFA-B805-358B30BB932D}" uniqueName="16" name="Profit" queryTableFieldId="16"/>
    <tableColumn id="17" xr3:uid="{4E1E84BE-1320-4F12-BB8E-4AB001B66CB2}" uniqueName="17" name="Payment_Mode" queryTableFieldId="17" dataDxfId="1"/>
    <tableColumn id="18" xr3:uid="{B77D6CA9-DC2F-4176-8BEE-60AD820EE379}" uniqueName="18" name="Profit_Margin" queryTableFieldId="18"/>
    <tableColumn id="19" xr3:uid="{3637E1FD-0A3E-450E-BC54-4798D7EFF1A0}" uniqueName="19" name="Year" queryTableFieldId="19"/>
    <tableColumn id="20" xr3:uid="{DE6B9278-A9E3-4899-9F8F-D9BB423833D9}" uniqueName="20" name="Month" queryTableFieldId="20" dataDxfId="0"/>
    <tableColumn id="21" xr3:uid="{93690A71-FD51-4A11-9237-0777807084A2}" uniqueName="21" name="Month_Number" queryTableFieldId="21"/>
    <tableColumn id="22" xr3:uid="{72C3B4A7-AFE8-4C25-9FBD-0AE7AFC5F8B3}" uniqueName="22" name="Quarter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C65D8-0CB5-4B60-A865-597538A7B597}">
  <dimension ref="A3:C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2" bestFit="1" customWidth="1"/>
    <col min="3" max="3" width="12.109375" bestFit="1" customWidth="1"/>
  </cols>
  <sheetData>
    <row r="3" spans="1:3" x14ac:dyDescent="0.3">
      <c r="A3" s="2" t="s">
        <v>3533</v>
      </c>
      <c r="B3" t="s">
        <v>3535</v>
      </c>
      <c r="C3" t="s">
        <v>3536</v>
      </c>
    </row>
    <row r="4" spans="1:3" x14ac:dyDescent="0.3">
      <c r="A4" s="3" t="s">
        <v>120</v>
      </c>
      <c r="B4">
        <v>7506190.4799999995</v>
      </c>
      <c r="C4">
        <v>1275732.9599999997</v>
      </c>
    </row>
    <row r="5" spans="1:3" x14ac:dyDescent="0.3">
      <c r="A5" s="3" t="s">
        <v>41</v>
      </c>
      <c r="B5">
        <v>7650920.5300000021</v>
      </c>
      <c r="C5">
        <v>1207338.8499999992</v>
      </c>
    </row>
    <row r="6" spans="1:3" x14ac:dyDescent="0.3">
      <c r="A6" s="3" t="s">
        <v>61</v>
      </c>
      <c r="B6">
        <v>22040791.84999999</v>
      </c>
      <c r="C6">
        <v>4075875.9899999965</v>
      </c>
    </row>
    <row r="7" spans="1:3" x14ac:dyDescent="0.3">
      <c r="A7" s="3" t="s">
        <v>25</v>
      </c>
      <c r="B7">
        <v>8974441.7700000033</v>
      </c>
      <c r="C7">
        <v>1391728.7600000009</v>
      </c>
    </row>
    <row r="8" spans="1:3" x14ac:dyDescent="0.3">
      <c r="A8" s="3" t="s">
        <v>3534</v>
      </c>
      <c r="B8">
        <v>46172344.629999995</v>
      </c>
      <c r="C8">
        <v>7950676.5599999959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A1C15-3AA4-43A9-9C14-903AB49A6D40}">
  <dimension ref="A1:F9"/>
  <sheetViews>
    <sheetView tabSelected="1" workbookViewId="0">
      <selection activeCell="G9" sqref="G9"/>
    </sheetView>
  </sheetViews>
  <sheetFormatPr defaultRowHeight="14.4" x14ac:dyDescent="0.3"/>
  <cols>
    <col min="1" max="1" width="14.33203125" bestFit="1" customWidth="1"/>
    <col min="2" max="2" width="26" customWidth="1"/>
    <col min="3" max="3" width="17.44140625" customWidth="1"/>
    <col min="4" max="4" width="16.6640625" customWidth="1"/>
    <col min="6" max="6" width="16.6640625" customWidth="1"/>
  </cols>
  <sheetData>
    <row r="1" spans="1:6" s="5" customFormat="1" x14ac:dyDescent="0.3"/>
    <row r="2" spans="1:6" ht="21" x14ac:dyDescent="0.4">
      <c r="A2" s="4"/>
      <c r="B2" s="7"/>
      <c r="C2" s="4"/>
      <c r="D2" s="7"/>
    </row>
    <row r="4" spans="1:6" ht="21" x14ac:dyDescent="0.4">
      <c r="A4" s="4"/>
      <c r="B4" s="7"/>
      <c r="C4" s="4"/>
      <c r="D4" s="6"/>
    </row>
    <row r="6" spans="1:6" ht="21" x14ac:dyDescent="0.4">
      <c r="A6" s="4" t="s">
        <v>3539</v>
      </c>
      <c r="B6" s="7">
        <f>SUM(Raw_Data[Sales])</f>
        <v>46172344.63000007</v>
      </c>
      <c r="D6" s="4" t="s">
        <v>3541</v>
      </c>
      <c r="F6" s="7">
        <f>COUNTA(Raw_Data[Order_ID])</f>
        <v>2500</v>
      </c>
    </row>
    <row r="9" spans="1:6" ht="21" x14ac:dyDescent="0.4">
      <c r="A9" s="4" t="s">
        <v>3540</v>
      </c>
      <c r="B9" s="8">
        <f>SUM(Raw_Data[Profit])</f>
        <v>7950676.559999994</v>
      </c>
      <c r="D9" s="4" t="s">
        <v>3542</v>
      </c>
      <c r="F9" s="9">
        <f>SUM(Raw_Data[Profit])/SUM(Raw_Data[Sales])</f>
        <v>0.17219564273186405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29AE6-64AC-47BC-9659-FDC7856A9749}">
  <dimension ref="A3:C8"/>
  <sheetViews>
    <sheetView workbookViewId="0">
      <selection activeCell="A3" sqref="A3"/>
    </sheetView>
  </sheetViews>
  <sheetFormatPr defaultRowHeight="14.4" x14ac:dyDescent="0.3"/>
  <cols>
    <col min="1" max="1" width="15.109375" bestFit="1" customWidth="1"/>
    <col min="2" max="2" width="12" bestFit="1" customWidth="1"/>
    <col min="3" max="3" width="12.109375" bestFit="1" customWidth="1"/>
  </cols>
  <sheetData>
    <row r="3" spans="1:3" x14ac:dyDescent="0.3">
      <c r="A3" s="2" t="s">
        <v>3533</v>
      </c>
      <c r="B3" t="s">
        <v>3535</v>
      </c>
      <c r="C3" t="s">
        <v>3536</v>
      </c>
    </row>
    <row r="4" spans="1:3" x14ac:dyDescent="0.3">
      <c r="A4" s="3" t="s">
        <v>28</v>
      </c>
      <c r="B4">
        <v>28983581.179999985</v>
      </c>
      <c r="C4">
        <v>2906230.9099999997</v>
      </c>
    </row>
    <row r="5" spans="1:3" x14ac:dyDescent="0.3">
      <c r="A5" s="3" t="s">
        <v>64</v>
      </c>
      <c r="B5">
        <v>8534300.6199999992</v>
      </c>
      <c r="C5">
        <v>2472967.669999999</v>
      </c>
    </row>
    <row r="6" spans="1:3" x14ac:dyDescent="0.3">
      <c r="A6" s="3" t="s">
        <v>84</v>
      </c>
      <c r="B6">
        <v>8066877.1199999992</v>
      </c>
      <c r="C6">
        <v>2272388.34</v>
      </c>
    </row>
    <row r="7" spans="1:3" x14ac:dyDescent="0.3">
      <c r="A7" s="3" t="s">
        <v>43</v>
      </c>
      <c r="B7">
        <v>587585.7100000002</v>
      </c>
      <c r="C7">
        <v>299089.64000000031</v>
      </c>
    </row>
    <row r="8" spans="1:3" x14ac:dyDescent="0.3">
      <c r="A8" s="3" t="s">
        <v>3534</v>
      </c>
      <c r="B8">
        <v>46172344.62999998</v>
      </c>
      <c r="C8">
        <v>7950676.5599999987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F8D8D-C77A-45B7-BAD7-EF1444B0F308}">
  <dimension ref="A3:D17"/>
  <sheetViews>
    <sheetView workbookViewId="0">
      <selection activeCell="D8" sqref="D8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4" width="12" bestFit="1" customWidth="1"/>
    <col min="5" max="5" width="12.109375" bestFit="1" customWidth="1"/>
    <col min="6" max="6" width="16.44140625" bestFit="1" customWidth="1"/>
    <col min="7" max="7" width="16.88671875" bestFit="1" customWidth="1"/>
    <col min="8" max="8" width="16.44140625" bestFit="1" customWidth="1"/>
    <col min="9" max="9" width="16.88671875" bestFit="1" customWidth="1"/>
    <col min="10" max="10" width="15.88671875" bestFit="1" customWidth="1"/>
  </cols>
  <sheetData>
    <row r="3" spans="1:4" x14ac:dyDescent="0.3">
      <c r="A3" s="2" t="s">
        <v>3535</v>
      </c>
      <c r="B3" s="2" t="s">
        <v>3537</v>
      </c>
    </row>
    <row r="4" spans="1:4" x14ac:dyDescent="0.3">
      <c r="A4" s="2" t="s">
        <v>3533</v>
      </c>
      <c r="B4">
        <v>2024</v>
      </c>
      <c r="C4">
        <v>2025</v>
      </c>
      <c r="D4" t="s">
        <v>3534</v>
      </c>
    </row>
    <row r="5" spans="1:4" x14ac:dyDescent="0.3">
      <c r="A5" s="3" t="s">
        <v>32</v>
      </c>
      <c r="B5">
        <v>2364353.7299999995</v>
      </c>
      <c r="C5">
        <v>2179447.64</v>
      </c>
      <c r="D5">
        <v>4543801.3699999992</v>
      </c>
    </row>
    <row r="6" spans="1:4" x14ac:dyDescent="0.3">
      <c r="A6" s="3" t="s">
        <v>412</v>
      </c>
      <c r="B6">
        <v>1594615.7699999998</v>
      </c>
      <c r="C6">
        <v>1619823.6300000006</v>
      </c>
      <c r="D6">
        <v>3214439.4000000004</v>
      </c>
    </row>
    <row r="7" spans="1:4" x14ac:dyDescent="0.3">
      <c r="A7" s="3" t="s">
        <v>636</v>
      </c>
      <c r="B7">
        <v>2223396.0799999996</v>
      </c>
      <c r="C7">
        <v>1921563.4600000002</v>
      </c>
      <c r="D7">
        <v>4144959.54</v>
      </c>
    </row>
    <row r="8" spans="1:4" x14ac:dyDescent="0.3">
      <c r="A8" s="3" t="s">
        <v>877</v>
      </c>
      <c r="B8">
        <v>1928785.7599999995</v>
      </c>
      <c r="C8">
        <v>2902911.83</v>
      </c>
      <c r="D8">
        <v>4831697.59</v>
      </c>
    </row>
    <row r="9" spans="1:4" x14ac:dyDescent="0.3">
      <c r="A9" s="3" t="s">
        <v>1092</v>
      </c>
      <c r="B9">
        <v>1404926.6300000004</v>
      </c>
      <c r="C9">
        <v>2905758.6599999997</v>
      </c>
      <c r="D9">
        <v>4310685.29</v>
      </c>
    </row>
    <row r="10" spans="1:4" x14ac:dyDescent="0.3">
      <c r="A10" s="3" t="s">
        <v>1244</v>
      </c>
      <c r="B10">
        <v>1487915.9499999997</v>
      </c>
      <c r="C10">
        <v>1993898.4300000002</v>
      </c>
      <c r="D10">
        <v>3481814.38</v>
      </c>
    </row>
    <row r="11" spans="1:4" x14ac:dyDescent="0.3">
      <c r="A11" s="3" t="s">
        <v>1384</v>
      </c>
      <c r="B11">
        <v>1857784.6500000004</v>
      </c>
      <c r="C11">
        <v>2163833.4999999991</v>
      </c>
      <c r="D11">
        <v>4021618.1499999994</v>
      </c>
    </row>
    <row r="12" spans="1:4" x14ac:dyDescent="0.3">
      <c r="A12" s="3" t="s">
        <v>1519</v>
      </c>
      <c r="B12">
        <v>2292449.2100000004</v>
      </c>
      <c r="C12">
        <v>2190190.4499999993</v>
      </c>
      <c r="D12">
        <v>4482639.66</v>
      </c>
    </row>
    <row r="13" spans="1:4" x14ac:dyDescent="0.3">
      <c r="A13" s="3" t="s">
        <v>1671</v>
      </c>
      <c r="B13">
        <v>1551563.13</v>
      </c>
      <c r="C13">
        <v>1384568.6800000002</v>
      </c>
      <c r="D13">
        <v>2936131.81</v>
      </c>
    </row>
    <row r="14" spans="1:4" x14ac:dyDescent="0.3">
      <c r="A14" s="3" t="s">
        <v>1802</v>
      </c>
      <c r="B14">
        <v>1596086.57</v>
      </c>
      <c r="C14">
        <v>1520271.6099999999</v>
      </c>
      <c r="D14">
        <v>3116358.1799999997</v>
      </c>
    </row>
    <row r="15" spans="1:4" x14ac:dyDescent="0.3">
      <c r="A15" s="3" t="s">
        <v>1911</v>
      </c>
      <c r="B15">
        <v>1928253.3000000003</v>
      </c>
      <c r="C15">
        <v>1595740.0000000014</v>
      </c>
      <c r="D15">
        <v>3523993.3000000017</v>
      </c>
    </row>
    <row r="16" spans="1:4" x14ac:dyDescent="0.3">
      <c r="A16" s="3" t="s">
        <v>2040</v>
      </c>
      <c r="B16">
        <v>2001413.38</v>
      </c>
      <c r="C16">
        <v>1562792.5800000005</v>
      </c>
      <c r="D16">
        <v>3564205.9600000004</v>
      </c>
    </row>
    <row r="17" spans="1:4" x14ac:dyDescent="0.3">
      <c r="A17" s="3" t="s">
        <v>3534</v>
      </c>
      <c r="B17">
        <v>22231544.16</v>
      </c>
      <c r="C17">
        <v>23940800.469999999</v>
      </c>
      <c r="D17">
        <v>46172344.630000003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47D48-8B36-40F4-89A0-FCE32F63DD8E}">
  <dimension ref="A3:C14"/>
  <sheetViews>
    <sheetView workbookViewId="0">
      <selection activeCell="J17" sqref="J17"/>
    </sheetView>
  </sheetViews>
  <sheetFormatPr defaultRowHeight="14.4" x14ac:dyDescent="0.3"/>
  <cols>
    <col min="1" max="1" width="14.88671875" bestFit="1" customWidth="1"/>
    <col min="2" max="2" width="12" bestFit="1" customWidth="1"/>
    <col min="3" max="3" width="12.109375" bestFit="1" customWidth="1"/>
  </cols>
  <sheetData>
    <row r="3" spans="1:3" x14ac:dyDescent="0.3">
      <c r="A3" s="2" t="s">
        <v>3533</v>
      </c>
      <c r="B3" t="s">
        <v>3535</v>
      </c>
      <c r="C3" t="s">
        <v>3536</v>
      </c>
    </row>
    <row r="4" spans="1:3" x14ac:dyDescent="0.3">
      <c r="A4" s="3" t="s">
        <v>139</v>
      </c>
      <c r="B4">
        <v>3629461.459999999</v>
      </c>
      <c r="C4">
        <v>823337.0900000002</v>
      </c>
    </row>
    <row r="5" spans="1:3" x14ac:dyDescent="0.3">
      <c r="A5" s="3" t="s">
        <v>66</v>
      </c>
      <c r="B5">
        <v>1397589.44</v>
      </c>
      <c r="C5">
        <v>468041.58000000007</v>
      </c>
    </row>
    <row r="6" spans="1:3" x14ac:dyDescent="0.3">
      <c r="A6" s="3" t="s">
        <v>232</v>
      </c>
      <c r="B6">
        <v>1197079.3600000001</v>
      </c>
      <c r="C6">
        <v>369584.39999999991</v>
      </c>
    </row>
    <row r="7" spans="1:3" x14ac:dyDescent="0.3">
      <c r="A7" s="3" t="s">
        <v>30</v>
      </c>
      <c r="B7">
        <v>21360240.650000006</v>
      </c>
      <c r="C7">
        <v>968996.12999999977</v>
      </c>
    </row>
    <row r="8" spans="1:3" x14ac:dyDescent="0.3">
      <c r="A8" s="3" t="s">
        <v>145</v>
      </c>
      <c r="B8">
        <v>1004772.3599999999</v>
      </c>
      <c r="C8">
        <v>380143.78000000026</v>
      </c>
    </row>
    <row r="9" spans="1:3" x14ac:dyDescent="0.3">
      <c r="A9" s="3" t="s">
        <v>57</v>
      </c>
      <c r="B9">
        <v>4959977.88</v>
      </c>
      <c r="C9">
        <v>879122.25000000012</v>
      </c>
    </row>
    <row r="10" spans="1:3" x14ac:dyDescent="0.3">
      <c r="A10" s="3" t="s">
        <v>155</v>
      </c>
      <c r="B10">
        <v>3550041.0300000017</v>
      </c>
      <c r="C10">
        <v>930709.60000000009</v>
      </c>
    </row>
    <row r="11" spans="1:3" x14ac:dyDescent="0.3">
      <c r="A11" s="3" t="s">
        <v>92</v>
      </c>
      <c r="B11">
        <v>1056900.7499999995</v>
      </c>
      <c r="C11">
        <v>456124.0799999999</v>
      </c>
    </row>
    <row r="12" spans="1:3" x14ac:dyDescent="0.3">
      <c r="A12" s="3" t="s">
        <v>109</v>
      </c>
      <c r="B12">
        <v>2389590.7899999996</v>
      </c>
      <c r="C12">
        <v>704632.09000000008</v>
      </c>
    </row>
    <row r="13" spans="1:3" x14ac:dyDescent="0.3">
      <c r="A13" s="3" t="s">
        <v>220</v>
      </c>
      <c r="B13">
        <v>2720188.09</v>
      </c>
      <c r="C13">
        <v>774754.35999999975</v>
      </c>
    </row>
    <row r="14" spans="1:3" x14ac:dyDescent="0.3">
      <c r="A14" s="3" t="s">
        <v>3534</v>
      </c>
      <c r="B14">
        <v>43265841.810000002</v>
      </c>
      <c r="C14">
        <v>6755445.3599999994</v>
      </c>
    </row>
  </sheetData>
  <sortState xmlns:xlrd2="http://schemas.microsoft.com/office/spreadsheetml/2017/richdata2" columnSort="1" ref="A3:C22">
    <sortCondition descending="1" ref="C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98D67-8B70-47B1-AB8F-8E13840CE213}">
  <dimension ref="A3:C9"/>
  <sheetViews>
    <sheetView workbookViewId="0">
      <selection activeCell="C7" sqref="C7"/>
    </sheetView>
  </sheetViews>
  <sheetFormatPr defaultRowHeight="14.4" x14ac:dyDescent="0.3"/>
  <cols>
    <col min="1" max="1" width="12.5546875" bestFit="1" customWidth="1"/>
    <col min="2" max="2" width="12" bestFit="1" customWidth="1"/>
    <col min="3" max="3" width="14.88671875" bestFit="1" customWidth="1"/>
  </cols>
  <sheetData>
    <row r="3" spans="1:3" x14ac:dyDescent="0.3">
      <c r="A3" s="2" t="s">
        <v>3533</v>
      </c>
      <c r="B3" t="s">
        <v>3535</v>
      </c>
      <c r="C3" t="s">
        <v>3538</v>
      </c>
    </row>
    <row r="4" spans="1:3" x14ac:dyDescent="0.3">
      <c r="A4" s="3" t="s">
        <v>113</v>
      </c>
      <c r="B4">
        <v>4846860.9300000025</v>
      </c>
      <c r="C4">
        <v>573</v>
      </c>
    </row>
    <row r="5" spans="1:3" x14ac:dyDescent="0.3">
      <c r="A5" s="3" t="s">
        <v>53</v>
      </c>
      <c r="B5">
        <v>9510951.0599999949</v>
      </c>
      <c r="C5">
        <v>1353</v>
      </c>
    </row>
    <row r="6" spans="1:3" x14ac:dyDescent="0.3">
      <c r="A6" s="3" t="s">
        <v>46</v>
      </c>
      <c r="B6">
        <v>8624483.4700000025</v>
      </c>
      <c r="C6">
        <v>1310</v>
      </c>
    </row>
    <row r="7" spans="1:3" x14ac:dyDescent="0.3">
      <c r="A7" s="3" t="s">
        <v>67</v>
      </c>
      <c r="B7">
        <v>4840807.4399999985</v>
      </c>
      <c r="C7">
        <v>746</v>
      </c>
    </row>
    <row r="8" spans="1:3" x14ac:dyDescent="0.3">
      <c r="A8" s="3" t="s">
        <v>31</v>
      </c>
      <c r="B8">
        <v>18349241.73</v>
      </c>
      <c r="C8">
        <v>2472</v>
      </c>
    </row>
    <row r="9" spans="1:3" x14ac:dyDescent="0.3">
      <c r="A9" s="3" t="s">
        <v>3534</v>
      </c>
      <c r="B9">
        <v>46172344.629999995</v>
      </c>
      <c r="C9">
        <v>6454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EDF39-6221-4DC7-A497-AB56CEBC72E4}">
  <dimension ref="A1:V2501"/>
  <sheetViews>
    <sheetView workbookViewId="0">
      <selection sqref="A1:V2501"/>
    </sheetView>
  </sheetViews>
  <sheetFormatPr defaultRowHeight="14.4" x14ac:dyDescent="0.3"/>
  <cols>
    <col min="1" max="1" width="10.77734375" bestFit="1" customWidth="1"/>
    <col min="2" max="2" width="12.88671875" bestFit="1" customWidth="1"/>
    <col min="3" max="3" width="14.109375" bestFit="1" customWidth="1"/>
    <col min="4" max="4" width="17.44140625" bestFit="1" customWidth="1"/>
    <col min="5" max="5" width="9" bestFit="1" customWidth="1"/>
    <col min="6" max="6" width="11.44140625" bestFit="1" customWidth="1"/>
    <col min="7" max="7" width="10.6640625" bestFit="1" customWidth="1"/>
    <col min="8" max="8" width="15.109375" bestFit="1" customWidth="1"/>
    <col min="9" max="9" width="15" bestFit="1" customWidth="1"/>
    <col min="10" max="10" width="19.88671875" bestFit="1" customWidth="1"/>
    <col min="11" max="11" width="10.5546875" bestFit="1" customWidth="1"/>
    <col min="12" max="12" width="11.88671875" bestFit="1" customWidth="1"/>
    <col min="13" max="13" width="10.5546875" bestFit="1" customWidth="1"/>
    <col min="14" max="15" width="10" bestFit="1" customWidth="1"/>
    <col min="16" max="16" width="9.6640625" bestFit="1" customWidth="1"/>
    <col min="17" max="17" width="16.88671875" bestFit="1" customWidth="1"/>
    <col min="18" max="18" width="14.88671875" bestFit="1" customWidth="1"/>
    <col min="19" max="19" width="6.88671875" bestFit="1" customWidth="1"/>
    <col min="20" max="20" width="9" bestFit="1" customWidth="1"/>
    <col min="21" max="21" width="17" bestFit="1" customWidth="1"/>
    <col min="22" max="22" width="9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s="1">
        <v>45292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>
        <v>6</v>
      </c>
      <c r="L2">
        <v>58510.01</v>
      </c>
      <c r="M2">
        <v>0.05</v>
      </c>
      <c r="N2">
        <v>333507.06</v>
      </c>
      <c r="O2">
        <v>314187.48</v>
      </c>
      <c r="P2">
        <v>19319.580000000002</v>
      </c>
      <c r="Q2" t="s">
        <v>31</v>
      </c>
      <c r="R2">
        <v>5.7928548798936982E-2</v>
      </c>
      <c r="S2">
        <v>2024</v>
      </c>
      <c r="T2" t="s">
        <v>32</v>
      </c>
      <c r="U2">
        <v>1</v>
      </c>
      <c r="V2" t="s">
        <v>33</v>
      </c>
    </row>
    <row r="3" spans="1:22" x14ac:dyDescent="0.3">
      <c r="A3" t="s">
        <v>34</v>
      </c>
      <c r="B3" s="1">
        <v>45292</v>
      </c>
      <c r="C3" t="s">
        <v>35</v>
      </c>
      <c r="D3" t="s">
        <v>36</v>
      </c>
      <c r="E3" t="s">
        <v>25</v>
      </c>
      <c r="F3" t="s">
        <v>26</v>
      </c>
      <c r="G3" t="s">
        <v>37</v>
      </c>
      <c r="H3" t="s">
        <v>28</v>
      </c>
      <c r="I3" t="s">
        <v>29</v>
      </c>
      <c r="J3" t="s">
        <v>30</v>
      </c>
      <c r="K3">
        <v>2</v>
      </c>
      <c r="L3">
        <v>55705.71</v>
      </c>
      <c r="M3">
        <v>0.15</v>
      </c>
      <c r="N3">
        <v>94699.71</v>
      </c>
      <c r="O3">
        <v>99236.26</v>
      </c>
      <c r="P3">
        <v>-4536.55</v>
      </c>
      <c r="Q3" t="s">
        <v>31</v>
      </c>
      <c r="R3">
        <v>-4.7904581756374957E-2</v>
      </c>
      <c r="S3">
        <v>2024</v>
      </c>
      <c r="T3" t="s">
        <v>32</v>
      </c>
      <c r="U3">
        <v>1</v>
      </c>
      <c r="V3" t="s">
        <v>33</v>
      </c>
    </row>
    <row r="4" spans="1:22" x14ac:dyDescent="0.3">
      <c r="A4" t="s">
        <v>38</v>
      </c>
      <c r="B4" s="1">
        <v>45292</v>
      </c>
      <c r="C4" t="s">
        <v>39</v>
      </c>
      <c r="D4" t="s">
        <v>40</v>
      </c>
      <c r="E4" t="s">
        <v>41</v>
      </c>
      <c r="F4" t="s">
        <v>42</v>
      </c>
      <c r="G4" t="s">
        <v>42</v>
      </c>
      <c r="H4" t="s">
        <v>43</v>
      </c>
      <c r="I4" t="s">
        <v>44</v>
      </c>
      <c r="J4" t="s">
        <v>45</v>
      </c>
      <c r="K4">
        <v>1</v>
      </c>
      <c r="L4">
        <v>257.43</v>
      </c>
      <c r="M4">
        <v>0.2</v>
      </c>
      <c r="N4">
        <v>205.94</v>
      </c>
      <c r="O4">
        <v>101.25</v>
      </c>
      <c r="P4">
        <v>104.69</v>
      </c>
      <c r="Q4" t="s">
        <v>46</v>
      </c>
      <c r="R4">
        <v>0.50835194716907839</v>
      </c>
      <c r="S4">
        <v>2024</v>
      </c>
      <c r="T4" t="s">
        <v>32</v>
      </c>
      <c r="U4">
        <v>1</v>
      </c>
      <c r="V4" t="s">
        <v>33</v>
      </c>
    </row>
    <row r="5" spans="1:22" x14ac:dyDescent="0.3">
      <c r="A5" t="s">
        <v>47</v>
      </c>
      <c r="B5" s="1">
        <v>45292</v>
      </c>
      <c r="C5" t="s">
        <v>48</v>
      </c>
      <c r="D5" t="s">
        <v>49</v>
      </c>
      <c r="E5" t="s">
        <v>41</v>
      </c>
      <c r="F5" t="s">
        <v>42</v>
      </c>
      <c r="G5" t="s">
        <v>50</v>
      </c>
      <c r="H5" t="s">
        <v>43</v>
      </c>
      <c r="I5" t="s">
        <v>51</v>
      </c>
      <c r="J5" t="s">
        <v>52</v>
      </c>
      <c r="K5">
        <v>3</v>
      </c>
      <c r="L5">
        <v>740.34</v>
      </c>
      <c r="M5">
        <v>0.05</v>
      </c>
      <c r="N5">
        <v>2109.9699999999998</v>
      </c>
      <c r="O5">
        <v>1041.24</v>
      </c>
      <c r="P5">
        <v>1068.73</v>
      </c>
      <c r="Q5" t="s">
        <v>53</v>
      </c>
      <c r="R5">
        <v>0.50651431063000907</v>
      </c>
      <c r="S5">
        <v>2024</v>
      </c>
      <c r="T5" t="s">
        <v>32</v>
      </c>
      <c r="U5">
        <v>1</v>
      </c>
      <c r="V5" t="s">
        <v>33</v>
      </c>
    </row>
    <row r="6" spans="1:22" x14ac:dyDescent="0.3">
      <c r="A6" t="s">
        <v>54</v>
      </c>
      <c r="B6" s="1">
        <v>45294</v>
      </c>
      <c r="C6" t="s">
        <v>55</v>
      </c>
      <c r="D6" t="s">
        <v>56</v>
      </c>
      <c r="E6" t="s">
        <v>41</v>
      </c>
      <c r="F6" t="s">
        <v>42</v>
      </c>
      <c r="G6" t="s">
        <v>50</v>
      </c>
      <c r="H6" t="s">
        <v>28</v>
      </c>
      <c r="I6" t="s">
        <v>29</v>
      </c>
      <c r="J6" t="s">
        <v>57</v>
      </c>
      <c r="K6">
        <v>2</v>
      </c>
      <c r="L6">
        <v>15178.93</v>
      </c>
      <c r="M6">
        <v>0.1</v>
      </c>
      <c r="N6">
        <v>27322.07</v>
      </c>
      <c r="O6">
        <v>22538.16</v>
      </c>
      <c r="P6">
        <v>4783.91</v>
      </c>
      <c r="Q6" t="s">
        <v>46</v>
      </c>
      <c r="R6">
        <v>0.17509324879117871</v>
      </c>
      <c r="S6">
        <v>2024</v>
      </c>
      <c r="T6" t="s">
        <v>32</v>
      </c>
      <c r="U6">
        <v>1</v>
      </c>
      <c r="V6" t="s">
        <v>33</v>
      </c>
    </row>
    <row r="7" spans="1:22" x14ac:dyDescent="0.3">
      <c r="A7" t="s">
        <v>58</v>
      </c>
      <c r="B7" s="1">
        <v>45294</v>
      </c>
      <c r="C7" t="s">
        <v>59</v>
      </c>
      <c r="D7" t="s">
        <v>60</v>
      </c>
      <c r="E7" t="s">
        <v>61</v>
      </c>
      <c r="F7" t="s">
        <v>62</v>
      </c>
      <c r="G7" t="s">
        <v>63</v>
      </c>
      <c r="H7" t="s">
        <v>64</v>
      </c>
      <c r="I7" t="s">
        <v>65</v>
      </c>
      <c r="J7" t="s">
        <v>66</v>
      </c>
      <c r="K7">
        <v>2</v>
      </c>
      <c r="L7">
        <v>4786.3900000000003</v>
      </c>
      <c r="M7">
        <v>0.05</v>
      </c>
      <c r="N7">
        <v>9094.14</v>
      </c>
      <c r="O7">
        <v>5761.21</v>
      </c>
      <c r="P7">
        <v>3332.93</v>
      </c>
      <c r="Q7" t="s">
        <v>67</v>
      </c>
      <c r="R7">
        <v>0.36649204872588281</v>
      </c>
      <c r="S7">
        <v>2024</v>
      </c>
      <c r="T7" t="s">
        <v>32</v>
      </c>
      <c r="U7">
        <v>1</v>
      </c>
      <c r="V7" t="s">
        <v>33</v>
      </c>
    </row>
    <row r="8" spans="1:22" x14ac:dyDescent="0.3">
      <c r="A8" t="s">
        <v>68</v>
      </c>
      <c r="B8" s="1">
        <v>45294</v>
      </c>
      <c r="C8" t="s">
        <v>69</v>
      </c>
      <c r="D8" t="s">
        <v>70</v>
      </c>
      <c r="E8" t="s">
        <v>61</v>
      </c>
      <c r="F8" t="s">
        <v>71</v>
      </c>
      <c r="G8" t="s">
        <v>72</v>
      </c>
      <c r="H8" t="s">
        <v>28</v>
      </c>
      <c r="I8" t="s">
        <v>73</v>
      </c>
      <c r="J8" t="s">
        <v>74</v>
      </c>
      <c r="K8">
        <v>3</v>
      </c>
      <c r="L8">
        <v>2542.88</v>
      </c>
      <c r="M8">
        <v>0.05</v>
      </c>
      <c r="N8">
        <v>7247.21</v>
      </c>
      <c r="O8">
        <v>4245.67</v>
      </c>
      <c r="P8">
        <v>3001.54</v>
      </c>
      <c r="Q8" t="s">
        <v>31</v>
      </c>
      <c r="R8">
        <v>0.41416489931987621</v>
      </c>
      <c r="S8">
        <v>2024</v>
      </c>
      <c r="T8" t="s">
        <v>32</v>
      </c>
      <c r="U8">
        <v>1</v>
      </c>
      <c r="V8" t="s">
        <v>33</v>
      </c>
    </row>
    <row r="9" spans="1:22" x14ac:dyDescent="0.3">
      <c r="A9" t="s">
        <v>75</v>
      </c>
      <c r="B9" s="1">
        <v>45294</v>
      </c>
      <c r="C9" t="s">
        <v>76</v>
      </c>
      <c r="D9" t="s">
        <v>77</v>
      </c>
      <c r="E9" t="s">
        <v>61</v>
      </c>
      <c r="F9" t="s">
        <v>78</v>
      </c>
      <c r="G9" t="s">
        <v>79</v>
      </c>
      <c r="H9" t="s">
        <v>28</v>
      </c>
      <c r="I9" t="s">
        <v>73</v>
      </c>
      <c r="J9" t="s">
        <v>80</v>
      </c>
      <c r="K9">
        <v>2</v>
      </c>
      <c r="L9">
        <v>825.81</v>
      </c>
      <c r="M9">
        <v>0</v>
      </c>
      <c r="N9">
        <v>1651.62</v>
      </c>
      <c r="O9">
        <v>1000.37</v>
      </c>
      <c r="P9">
        <v>651.25</v>
      </c>
      <c r="Q9" t="s">
        <v>46</v>
      </c>
      <c r="R9">
        <v>0.39430982913745288</v>
      </c>
      <c r="S9">
        <v>2024</v>
      </c>
      <c r="T9" t="s">
        <v>32</v>
      </c>
      <c r="U9">
        <v>1</v>
      </c>
      <c r="V9" t="s">
        <v>33</v>
      </c>
    </row>
    <row r="10" spans="1:22" x14ac:dyDescent="0.3">
      <c r="A10" t="s">
        <v>81</v>
      </c>
      <c r="B10" s="1">
        <v>45294</v>
      </c>
      <c r="C10" t="s">
        <v>82</v>
      </c>
      <c r="D10" t="s">
        <v>24</v>
      </c>
      <c r="E10" t="s">
        <v>61</v>
      </c>
      <c r="F10" t="s">
        <v>78</v>
      </c>
      <c r="G10" t="s">
        <v>83</v>
      </c>
      <c r="H10" t="s">
        <v>84</v>
      </c>
      <c r="I10" t="s">
        <v>85</v>
      </c>
      <c r="J10" t="s">
        <v>86</v>
      </c>
      <c r="K10">
        <v>2</v>
      </c>
      <c r="L10">
        <v>1694.62</v>
      </c>
      <c r="M10">
        <v>0</v>
      </c>
      <c r="N10">
        <v>3389.24</v>
      </c>
      <c r="O10">
        <v>1826.31</v>
      </c>
      <c r="P10">
        <v>1562.93</v>
      </c>
      <c r="Q10" t="s">
        <v>46</v>
      </c>
      <c r="R10">
        <v>0.46114468140350051</v>
      </c>
      <c r="S10">
        <v>2024</v>
      </c>
      <c r="T10" t="s">
        <v>32</v>
      </c>
      <c r="U10">
        <v>1</v>
      </c>
      <c r="V10" t="s">
        <v>33</v>
      </c>
    </row>
    <row r="11" spans="1:22" x14ac:dyDescent="0.3">
      <c r="A11" t="s">
        <v>87</v>
      </c>
      <c r="B11" s="1">
        <v>45294</v>
      </c>
      <c r="C11" t="s">
        <v>88</v>
      </c>
      <c r="D11" t="s">
        <v>89</v>
      </c>
      <c r="E11" t="s">
        <v>61</v>
      </c>
      <c r="F11" t="s">
        <v>62</v>
      </c>
      <c r="G11" t="s">
        <v>90</v>
      </c>
      <c r="H11" t="s">
        <v>28</v>
      </c>
      <c r="I11" t="s">
        <v>91</v>
      </c>
      <c r="J11" t="s">
        <v>92</v>
      </c>
      <c r="K11">
        <v>1</v>
      </c>
      <c r="L11">
        <v>2964.05</v>
      </c>
      <c r="M11">
        <v>0.2</v>
      </c>
      <c r="N11">
        <v>2371.2399999999998</v>
      </c>
      <c r="O11">
        <v>1582.5</v>
      </c>
      <c r="P11">
        <v>788.74</v>
      </c>
      <c r="Q11" t="s">
        <v>31</v>
      </c>
      <c r="R11">
        <v>0.33262765472917127</v>
      </c>
      <c r="S11">
        <v>2024</v>
      </c>
      <c r="T11" t="s">
        <v>32</v>
      </c>
      <c r="U11">
        <v>1</v>
      </c>
      <c r="V11" t="s">
        <v>33</v>
      </c>
    </row>
    <row r="12" spans="1:22" x14ac:dyDescent="0.3">
      <c r="A12" t="s">
        <v>93</v>
      </c>
      <c r="B12" s="1">
        <v>45294</v>
      </c>
      <c r="C12" t="s">
        <v>94</v>
      </c>
      <c r="D12" t="s">
        <v>95</v>
      </c>
      <c r="E12" t="s">
        <v>61</v>
      </c>
      <c r="F12" t="s">
        <v>71</v>
      </c>
      <c r="G12" t="s">
        <v>72</v>
      </c>
      <c r="H12" t="s">
        <v>43</v>
      </c>
      <c r="I12" t="s">
        <v>51</v>
      </c>
      <c r="J12" t="s">
        <v>96</v>
      </c>
      <c r="K12">
        <v>2</v>
      </c>
      <c r="L12">
        <v>511.06</v>
      </c>
      <c r="M12">
        <v>0.05</v>
      </c>
      <c r="N12">
        <v>971.01</v>
      </c>
      <c r="O12">
        <v>443.8</v>
      </c>
      <c r="P12">
        <v>527.21</v>
      </c>
      <c r="Q12" t="s">
        <v>46</v>
      </c>
      <c r="R12">
        <v>0.54295012409758914</v>
      </c>
      <c r="S12">
        <v>2024</v>
      </c>
      <c r="T12" t="s">
        <v>32</v>
      </c>
      <c r="U12">
        <v>1</v>
      </c>
      <c r="V12" t="s">
        <v>33</v>
      </c>
    </row>
    <row r="13" spans="1:22" x14ac:dyDescent="0.3">
      <c r="A13" t="s">
        <v>97</v>
      </c>
      <c r="B13" s="1">
        <v>45294</v>
      </c>
      <c r="C13" t="s">
        <v>98</v>
      </c>
      <c r="D13" t="s">
        <v>99</v>
      </c>
      <c r="E13" t="s">
        <v>61</v>
      </c>
      <c r="F13" t="s">
        <v>71</v>
      </c>
      <c r="G13" t="s">
        <v>100</v>
      </c>
      <c r="H13" t="s">
        <v>43</v>
      </c>
      <c r="I13" t="s">
        <v>51</v>
      </c>
      <c r="J13" t="s">
        <v>52</v>
      </c>
      <c r="K13">
        <v>1</v>
      </c>
      <c r="L13">
        <v>673.75</v>
      </c>
      <c r="M13">
        <v>0.05</v>
      </c>
      <c r="N13">
        <v>640.05999999999995</v>
      </c>
      <c r="O13">
        <v>309.72000000000003</v>
      </c>
      <c r="P13">
        <v>330.34</v>
      </c>
      <c r="Q13" t="s">
        <v>46</v>
      </c>
      <c r="R13">
        <v>0.5161078648876668</v>
      </c>
      <c r="S13">
        <v>2024</v>
      </c>
      <c r="T13" t="s">
        <v>32</v>
      </c>
      <c r="U13">
        <v>1</v>
      </c>
      <c r="V13" t="s">
        <v>33</v>
      </c>
    </row>
    <row r="14" spans="1:22" x14ac:dyDescent="0.3">
      <c r="A14" t="s">
        <v>101</v>
      </c>
      <c r="B14" s="1">
        <v>45295</v>
      </c>
      <c r="C14" t="s">
        <v>102</v>
      </c>
      <c r="D14" t="s">
        <v>103</v>
      </c>
      <c r="E14" t="s">
        <v>61</v>
      </c>
      <c r="F14" t="s">
        <v>78</v>
      </c>
      <c r="G14" t="s">
        <v>104</v>
      </c>
      <c r="H14" t="s">
        <v>43</v>
      </c>
      <c r="I14" t="s">
        <v>51</v>
      </c>
      <c r="J14" t="s">
        <v>96</v>
      </c>
      <c r="K14">
        <v>2</v>
      </c>
      <c r="L14">
        <v>508.15</v>
      </c>
      <c r="M14">
        <v>0.05</v>
      </c>
      <c r="N14">
        <v>965.48</v>
      </c>
      <c r="O14">
        <v>449.64</v>
      </c>
      <c r="P14">
        <v>515.84</v>
      </c>
      <c r="Q14" t="s">
        <v>53</v>
      </c>
      <c r="R14">
        <v>0.53428346521937276</v>
      </c>
      <c r="S14">
        <v>2024</v>
      </c>
      <c r="T14" t="s">
        <v>32</v>
      </c>
      <c r="U14">
        <v>1</v>
      </c>
      <c r="V14" t="s">
        <v>33</v>
      </c>
    </row>
    <row r="15" spans="1:22" x14ac:dyDescent="0.3">
      <c r="A15" t="s">
        <v>105</v>
      </c>
      <c r="B15" s="1">
        <v>45295</v>
      </c>
      <c r="C15" t="s">
        <v>106</v>
      </c>
      <c r="D15" t="s">
        <v>107</v>
      </c>
      <c r="E15" t="s">
        <v>41</v>
      </c>
      <c r="F15" t="s">
        <v>42</v>
      </c>
      <c r="G15" t="s">
        <v>50</v>
      </c>
      <c r="H15" t="s">
        <v>64</v>
      </c>
      <c r="I15" t="s">
        <v>108</v>
      </c>
      <c r="J15" t="s">
        <v>109</v>
      </c>
      <c r="K15">
        <v>3</v>
      </c>
      <c r="L15">
        <v>6644.72</v>
      </c>
      <c r="M15">
        <v>0.1</v>
      </c>
      <c r="N15">
        <v>17940.740000000002</v>
      </c>
      <c r="O15">
        <v>12802.34</v>
      </c>
      <c r="P15">
        <v>5138.3999999999996</v>
      </c>
      <c r="Q15" t="s">
        <v>53</v>
      </c>
      <c r="R15">
        <v>0.28640959068577992</v>
      </c>
      <c r="S15">
        <v>2024</v>
      </c>
      <c r="T15" t="s">
        <v>32</v>
      </c>
      <c r="U15">
        <v>1</v>
      </c>
      <c r="V15" t="s">
        <v>33</v>
      </c>
    </row>
    <row r="16" spans="1:22" x14ac:dyDescent="0.3">
      <c r="A16" t="s">
        <v>110</v>
      </c>
      <c r="B16" s="1">
        <v>45295</v>
      </c>
      <c r="C16" t="s">
        <v>111</v>
      </c>
      <c r="D16" t="s">
        <v>112</v>
      </c>
      <c r="E16" t="s">
        <v>41</v>
      </c>
      <c r="F16" t="s">
        <v>42</v>
      </c>
      <c r="G16" t="s">
        <v>50</v>
      </c>
      <c r="H16" t="s">
        <v>28</v>
      </c>
      <c r="I16" t="s">
        <v>73</v>
      </c>
      <c r="J16" t="s">
        <v>74</v>
      </c>
      <c r="K16">
        <v>1</v>
      </c>
      <c r="L16">
        <v>2426.3200000000002</v>
      </c>
      <c r="M16">
        <v>0</v>
      </c>
      <c r="N16">
        <v>2426.3200000000002</v>
      </c>
      <c r="O16">
        <v>1377.92</v>
      </c>
      <c r="P16">
        <v>1048.4000000000001</v>
      </c>
      <c r="Q16" t="s">
        <v>113</v>
      </c>
      <c r="R16">
        <v>0.43209469484651652</v>
      </c>
      <c r="S16">
        <v>2024</v>
      </c>
      <c r="T16" t="s">
        <v>32</v>
      </c>
      <c r="U16">
        <v>1</v>
      </c>
      <c r="V16" t="s">
        <v>33</v>
      </c>
    </row>
    <row r="17" spans="1:22" x14ac:dyDescent="0.3">
      <c r="A17" t="s">
        <v>114</v>
      </c>
      <c r="B17" s="1">
        <v>45295</v>
      </c>
      <c r="C17" t="s">
        <v>115</v>
      </c>
      <c r="D17" t="s">
        <v>116</v>
      </c>
      <c r="E17" t="s">
        <v>41</v>
      </c>
      <c r="F17" t="s">
        <v>42</v>
      </c>
      <c r="G17" t="s">
        <v>42</v>
      </c>
      <c r="H17" t="s">
        <v>64</v>
      </c>
      <c r="I17" t="s">
        <v>65</v>
      </c>
      <c r="J17" t="s">
        <v>66</v>
      </c>
      <c r="K17">
        <v>1</v>
      </c>
      <c r="L17">
        <v>4892.07</v>
      </c>
      <c r="M17">
        <v>0.1</v>
      </c>
      <c r="N17">
        <v>4402.8599999999997</v>
      </c>
      <c r="O17">
        <v>2879.38</v>
      </c>
      <c r="P17">
        <v>1523.48</v>
      </c>
      <c r="Q17" t="s">
        <v>53</v>
      </c>
      <c r="R17">
        <v>0.3460205411936787</v>
      </c>
      <c r="S17">
        <v>2024</v>
      </c>
      <c r="T17" t="s">
        <v>32</v>
      </c>
      <c r="U17">
        <v>1</v>
      </c>
      <c r="V17" t="s">
        <v>33</v>
      </c>
    </row>
    <row r="18" spans="1:22" x14ac:dyDescent="0.3">
      <c r="A18" t="s">
        <v>117</v>
      </c>
      <c r="B18" s="1">
        <v>45295</v>
      </c>
      <c r="C18" t="s">
        <v>118</v>
      </c>
      <c r="D18" t="s">
        <v>119</v>
      </c>
      <c r="E18" t="s">
        <v>120</v>
      </c>
      <c r="F18" t="s">
        <v>121</v>
      </c>
      <c r="G18" t="s">
        <v>122</v>
      </c>
      <c r="H18" t="s">
        <v>43</v>
      </c>
      <c r="I18" t="s">
        <v>51</v>
      </c>
      <c r="J18" t="s">
        <v>96</v>
      </c>
      <c r="K18">
        <v>3</v>
      </c>
      <c r="L18">
        <v>471.37</v>
      </c>
      <c r="M18">
        <v>0.2</v>
      </c>
      <c r="N18">
        <v>1131.29</v>
      </c>
      <c r="O18">
        <v>621.48</v>
      </c>
      <c r="P18">
        <v>509.81</v>
      </c>
      <c r="Q18" t="s">
        <v>31</v>
      </c>
      <c r="R18">
        <v>0.45064483907751329</v>
      </c>
      <c r="S18">
        <v>2024</v>
      </c>
      <c r="T18" t="s">
        <v>32</v>
      </c>
      <c r="U18">
        <v>1</v>
      </c>
      <c r="V18" t="s">
        <v>33</v>
      </c>
    </row>
    <row r="19" spans="1:22" x14ac:dyDescent="0.3">
      <c r="A19" t="s">
        <v>123</v>
      </c>
      <c r="B19" s="1">
        <v>45296</v>
      </c>
      <c r="C19" t="s">
        <v>124</v>
      </c>
      <c r="D19" t="s">
        <v>125</v>
      </c>
      <c r="E19" t="s">
        <v>61</v>
      </c>
      <c r="F19" t="s">
        <v>62</v>
      </c>
      <c r="G19" t="s">
        <v>90</v>
      </c>
      <c r="H19" t="s">
        <v>28</v>
      </c>
      <c r="I19" t="s">
        <v>91</v>
      </c>
      <c r="J19" t="s">
        <v>126</v>
      </c>
      <c r="K19">
        <v>2</v>
      </c>
      <c r="L19">
        <v>2031.21</v>
      </c>
      <c r="M19">
        <v>0.15</v>
      </c>
      <c r="N19">
        <v>3453.06</v>
      </c>
      <c r="O19">
        <v>2425.5500000000002</v>
      </c>
      <c r="P19">
        <v>1027.51</v>
      </c>
      <c r="Q19" t="s">
        <v>46</v>
      </c>
      <c r="R19">
        <v>0.29756505823820029</v>
      </c>
      <c r="S19">
        <v>2024</v>
      </c>
      <c r="T19" t="s">
        <v>32</v>
      </c>
      <c r="U19">
        <v>1</v>
      </c>
      <c r="V19" t="s">
        <v>33</v>
      </c>
    </row>
    <row r="20" spans="1:22" x14ac:dyDescent="0.3">
      <c r="A20" t="s">
        <v>127</v>
      </c>
      <c r="B20" s="1">
        <v>45296</v>
      </c>
      <c r="C20" t="s">
        <v>128</v>
      </c>
      <c r="D20" t="s">
        <v>129</v>
      </c>
      <c r="E20" t="s">
        <v>120</v>
      </c>
      <c r="F20" t="s">
        <v>121</v>
      </c>
      <c r="G20" t="s">
        <v>130</v>
      </c>
      <c r="H20" t="s">
        <v>28</v>
      </c>
      <c r="I20" t="s">
        <v>91</v>
      </c>
      <c r="J20" t="s">
        <v>126</v>
      </c>
      <c r="K20">
        <v>1</v>
      </c>
      <c r="L20">
        <v>2100.31</v>
      </c>
      <c r="M20">
        <v>0.2</v>
      </c>
      <c r="N20">
        <v>1680.25</v>
      </c>
      <c r="O20">
        <v>1201.1300000000001</v>
      </c>
      <c r="P20">
        <v>479.12</v>
      </c>
      <c r="Q20" t="s">
        <v>46</v>
      </c>
      <c r="R20">
        <v>0.28514804344591582</v>
      </c>
      <c r="S20">
        <v>2024</v>
      </c>
      <c r="T20" t="s">
        <v>32</v>
      </c>
      <c r="U20">
        <v>1</v>
      </c>
      <c r="V20" t="s">
        <v>33</v>
      </c>
    </row>
    <row r="21" spans="1:22" x14ac:dyDescent="0.3">
      <c r="A21" t="s">
        <v>131</v>
      </c>
      <c r="B21" s="1">
        <v>45296</v>
      </c>
      <c r="C21" t="s">
        <v>132</v>
      </c>
      <c r="D21" t="s">
        <v>133</v>
      </c>
      <c r="E21" t="s">
        <v>61</v>
      </c>
      <c r="F21" t="s">
        <v>62</v>
      </c>
      <c r="G21" t="s">
        <v>134</v>
      </c>
      <c r="H21" t="s">
        <v>43</v>
      </c>
      <c r="I21" t="s">
        <v>51</v>
      </c>
      <c r="J21" t="s">
        <v>52</v>
      </c>
      <c r="K21">
        <v>1</v>
      </c>
      <c r="L21">
        <v>712.11</v>
      </c>
      <c r="M21">
        <v>0.15</v>
      </c>
      <c r="N21">
        <v>605.29</v>
      </c>
      <c r="O21">
        <v>322.27</v>
      </c>
      <c r="P21">
        <v>283.02</v>
      </c>
      <c r="Q21" t="s">
        <v>53</v>
      </c>
      <c r="R21">
        <v>0.46757752482281217</v>
      </c>
      <c r="S21">
        <v>2024</v>
      </c>
      <c r="T21" t="s">
        <v>32</v>
      </c>
      <c r="U21">
        <v>1</v>
      </c>
      <c r="V21" t="s">
        <v>33</v>
      </c>
    </row>
    <row r="22" spans="1:22" x14ac:dyDescent="0.3">
      <c r="A22" t="s">
        <v>135</v>
      </c>
      <c r="B22" s="1">
        <v>45296</v>
      </c>
      <c r="C22" t="s">
        <v>136</v>
      </c>
      <c r="D22" t="s">
        <v>137</v>
      </c>
      <c r="E22" t="s">
        <v>61</v>
      </c>
      <c r="F22" t="s">
        <v>62</v>
      </c>
      <c r="G22" t="s">
        <v>134</v>
      </c>
      <c r="H22" t="s">
        <v>84</v>
      </c>
      <c r="I22" t="s">
        <v>138</v>
      </c>
      <c r="J22" t="s">
        <v>139</v>
      </c>
      <c r="K22">
        <v>1</v>
      </c>
      <c r="L22">
        <v>13700</v>
      </c>
      <c r="M22">
        <v>0</v>
      </c>
      <c r="N22">
        <v>13700</v>
      </c>
      <c r="O22">
        <v>9710.92</v>
      </c>
      <c r="P22">
        <v>3989.08</v>
      </c>
      <c r="Q22" t="s">
        <v>53</v>
      </c>
      <c r="R22">
        <v>0.29117372262773722</v>
      </c>
      <c r="S22">
        <v>2024</v>
      </c>
      <c r="T22" t="s">
        <v>32</v>
      </c>
      <c r="U22">
        <v>1</v>
      </c>
      <c r="V22" t="s">
        <v>33</v>
      </c>
    </row>
    <row r="23" spans="1:22" x14ac:dyDescent="0.3">
      <c r="A23" t="s">
        <v>140</v>
      </c>
      <c r="B23" s="1">
        <v>45297</v>
      </c>
      <c r="C23" t="s">
        <v>141</v>
      </c>
      <c r="D23" t="s">
        <v>142</v>
      </c>
      <c r="E23" t="s">
        <v>61</v>
      </c>
      <c r="F23" t="s">
        <v>62</v>
      </c>
      <c r="G23" t="s">
        <v>90</v>
      </c>
      <c r="H23" t="s">
        <v>43</v>
      </c>
      <c r="I23" t="s">
        <v>51</v>
      </c>
      <c r="J23" t="s">
        <v>96</v>
      </c>
      <c r="K23">
        <v>5</v>
      </c>
      <c r="L23">
        <v>486.92</v>
      </c>
      <c r="M23">
        <v>0.1</v>
      </c>
      <c r="N23">
        <v>2191.14</v>
      </c>
      <c r="O23">
        <v>1071.1300000000001</v>
      </c>
      <c r="P23">
        <v>1120.01</v>
      </c>
      <c r="Q23" t="s">
        <v>31</v>
      </c>
      <c r="R23">
        <v>0.51115401115401116</v>
      </c>
      <c r="S23">
        <v>2024</v>
      </c>
      <c r="T23" t="s">
        <v>32</v>
      </c>
      <c r="U23">
        <v>1</v>
      </c>
      <c r="V23" t="s">
        <v>33</v>
      </c>
    </row>
    <row r="24" spans="1:22" x14ac:dyDescent="0.3">
      <c r="A24" t="s">
        <v>143</v>
      </c>
      <c r="B24" s="1">
        <v>45298</v>
      </c>
      <c r="C24" t="s">
        <v>144</v>
      </c>
      <c r="D24" t="s">
        <v>24</v>
      </c>
      <c r="E24" t="s">
        <v>120</v>
      </c>
      <c r="F24" t="s">
        <v>121</v>
      </c>
      <c r="G24" t="s">
        <v>130</v>
      </c>
      <c r="H24" t="s">
        <v>84</v>
      </c>
      <c r="I24" t="s">
        <v>85</v>
      </c>
      <c r="J24" t="s">
        <v>145</v>
      </c>
      <c r="K24">
        <v>1</v>
      </c>
      <c r="L24">
        <v>3321.58</v>
      </c>
      <c r="M24">
        <v>0.1</v>
      </c>
      <c r="N24">
        <v>2989.42</v>
      </c>
      <c r="O24">
        <v>1844.08</v>
      </c>
      <c r="P24">
        <v>1145.3399999999999</v>
      </c>
      <c r="Q24" t="s">
        <v>53</v>
      </c>
      <c r="R24">
        <v>0.38313117594717372</v>
      </c>
      <c r="S24">
        <v>2024</v>
      </c>
      <c r="T24" t="s">
        <v>32</v>
      </c>
      <c r="U24">
        <v>1</v>
      </c>
      <c r="V24" t="s">
        <v>33</v>
      </c>
    </row>
    <row r="25" spans="1:22" x14ac:dyDescent="0.3">
      <c r="A25" t="s">
        <v>146</v>
      </c>
      <c r="B25" s="1">
        <v>45298</v>
      </c>
      <c r="C25" t="s">
        <v>147</v>
      </c>
      <c r="D25" t="s">
        <v>148</v>
      </c>
      <c r="E25" t="s">
        <v>41</v>
      </c>
      <c r="F25" t="s">
        <v>42</v>
      </c>
      <c r="G25" t="s">
        <v>42</v>
      </c>
      <c r="H25" t="s">
        <v>28</v>
      </c>
      <c r="I25" t="s">
        <v>73</v>
      </c>
      <c r="J25" t="s">
        <v>80</v>
      </c>
      <c r="K25">
        <v>2</v>
      </c>
      <c r="L25">
        <v>833.37</v>
      </c>
      <c r="M25">
        <v>0.2</v>
      </c>
      <c r="N25">
        <v>1333.39</v>
      </c>
      <c r="O25">
        <v>1011.26</v>
      </c>
      <c r="P25">
        <v>322.13</v>
      </c>
      <c r="Q25" t="s">
        <v>31</v>
      </c>
      <c r="R25">
        <v>0.24158723254261691</v>
      </c>
      <c r="S25">
        <v>2024</v>
      </c>
      <c r="T25" t="s">
        <v>32</v>
      </c>
      <c r="U25">
        <v>1</v>
      </c>
      <c r="V25" t="s">
        <v>33</v>
      </c>
    </row>
    <row r="26" spans="1:22" x14ac:dyDescent="0.3">
      <c r="A26" t="s">
        <v>149</v>
      </c>
      <c r="B26" s="1">
        <v>45298</v>
      </c>
      <c r="C26" t="s">
        <v>150</v>
      </c>
      <c r="D26" t="s">
        <v>151</v>
      </c>
      <c r="E26" t="s">
        <v>61</v>
      </c>
      <c r="F26" t="s">
        <v>62</v>
      </c>
      <c r="G26" t="s">
        <v>90</v>
      </c>
      <c r="H26" t="s">
        <v>28</v>
      </c>
      <c r="I26" t="s">
        <v>29</v>
      </c>
      <c r="J26" t="s">
        <v>57</v>
      </c>
      <c r="K26">
        <v>3</v>
      </c>
      <c r="L26">
        <v>15165.92</v>
      </c>
      <c r="M26">
        <v>0.1</v>
      </c>
      <c r="N26">
        <v>40947.980000000003</v>
      </c>
      <c r="O26">
        <v>32761.3</v>
      </c>
      <c r="P26">
        <v>8186.68</v>
      </c>
      <c r="Q26" t="s">
        <v>46</v>
      </c>
      <c r="R26">
        <v>0.1999287876959987</v>
      </c>
      <c r="S26">
        <v>2024</v>
      </c>
      <c r="T26" t="s">
        <v>32</v>
      </c>
      <c r="U26">
        <v>1</v>
      </c>
      <c r="V26" t="s">
        <v>33</v>
      </c>
    </row>
    <row r="27" spans="1:22" x14ac:dyDescent="0.3">
      <c r="A27" t="s">
        <v>152</v>
      </c>
      <c r="B27" s="1">
        <v>45298</v>
      </c>
      <c r="C27" t="s">
        <v>153</v>
      </c>
      <c r="D27" t="s">
        <v>154</v>
      </c>
      <c r="E27" t="s">
        <v>61</v>
      </c>
      <c r="F27" t="s">
        <v>62</v>
      </c>
      <c r="G27" t="s">
        <v>90</v>
      </c>
      <c r="H27" t="s">
        <v>64</v>
      </c>
      <c r="I27" t="s">
        <v>108</v>
      </c>
      <c r="J27" t="s">
        <v>155</v>
      </c>
      <c r="K27">
        <v>2</v>
      </c>
      <c r="L27">
        <v>8020.84</v>
      </c>
      <c r="M27">
        <v>0.05</v>
      </c>
      <c r="N27">
        <v>15239.6</v>
      </c>
      <c r="O27">
        <v>11014.14</v>
      </c>
      <c r="P27">
        <v>4225.46</v>
      </c>
      <c r="Q27" t="s">
        <v>31</v>
      </c>
      <c r="R27">
        <v>0.27726843224231612</v>
      </c>
      <c r="S27">
        <v>2024</v>
      </c>
      <c r="T27" t="s">
        <v>32</v>
      </c>
      <c r="U27">
        <v>1</v>
      </c>
      <c r="V27" t="s">
        <v>33</v>
      </c>
    </row>
    <row r="28" spans="1:22" x14ac:dyDescent="0.3">
      <c r="A28" t="s">
        <v>156</v>
      </c>
      <c r="B28" s="1">
        <v>45298</v>
      </c>
      <c r="C28" t="s">
        <v>157</v>
      </c>
      <c r="D28" t="s">
        <v>158</v>
      </c>
      <c r="E28" t="s">
        <v>61</v>
      </c>
      <c r="F28" t="s">
        <v>78</v>
      </c>
      <c r="G28" t="s">
        <v>83</v>
      </c>
      <c r="H28" t="s">
        <v>43</v>
      </c>
      <c r="I28" t="s">
        <v>51</v>
      </c>
      <c r="J28" t="s">
        <v>52</v>
      </c>
      <c r="K28">
        <v>1</v>
      </c>
      <c r="L28">
        <v>740.02</v>
      </c>
      <c r="M28">
        <v>0.2</v>
      </c>
      <c r="N28">
        <v>592.02</v>
      </c>
      <c r="O28">
        <v>339.75</v>
      </c>
      <c r="P28">
        <v>252.27</v>
      </c>
      <c r="Q28" t="s">
        <v>53</v>
      </c>
      <c r="R28">
        <v>0.4261173608999696</v>
      </c>
      <c r="S28">
        <v>2024</v>
      </c>
      <c r="T28" t="s">
        <v>32</v>
      </c>
      <c r="U28">
        <v>1</v>
      </c>
      <c r="V28" t="s">
        <v>33</v>
      </c>
    </row>
    <row r="29" spans="1:22" x14ac:dyDescent="0.3">
      <c r="A29" t="s">
        <v>159</v>
      </c>
      <c r="B29" s="1">
        <v>45298</v>
      </c>
      <c r="C29" t="s">
        <v>160</v>
      </c>
      <c r="D29" t="s">
        <v>161</v>
      </c>
      <c r="E29" t="s">
        <v>41</v>
      </c>
      <c r="F29" t="s">
        <v>42</v>
      </c>
      <c r="G29" t="s">
        <v>50</v>
      </c>
      <c r="H29" t="s">
        <v>64</v>
      </c>
      <c r="I29" t="s">
        <v>108</v>
      </c>
      <c r="J29" t="s">
        <v>155</v>
      </c>
      <c r="K29">
        <v>3</v>
      </c>
      <c r="L29">
        <v>8817.08</v>
      </c>
      <c r="M29">
        <v>0.1</v>
      </c>
      <c r="N29">
        <v>23806.12</v>
      </c>
      <c r="O29">
        <v>17536.46</v>
      </c>
      <c r="P29">
        <v>6269.66</v>
      </c>
      <c r="Q29" t="s">
        <v>53</v>
      </c>
      <c r="R29">
        <v>0.26336337042743629</v>
      </c>
      <c r="S29">
        <v>2024</v>
      </c>
      <c r="T29" t="s">
        <v>32</v>
      </c>
      <c r="U29">
        <v>1</v>
      </c>
      <c r="V29" t="s">
        <v>33</v>
      </c>
    </row>
    <row r="30" spans="1:22" x14ac:dyDescent="0.3">
      <c r="A30" t="s">
        <v>162</v>
      </c>
      <c r="B30" s="1">
        <v>45298</v>
      </c>
      <c r="C30" t="s">
        <v>163</v>
      </c>
      <c r="D30" t="s">
        <v>164</v>
      </c>
      <c r="E30" t="s">
        <v>61</v>
      </c>
      <c r="F30" t="s">
        <v>71</v>
      </c>
      <c r="G30" t="s">
        <v>100</v>
      </c>
      <c r="H30" t="s">
        <v>64</v>
      </c>
      <c r="I30" t="s">
        <v>65</v>
      </c>
      <c r="J30" t="s">
        <v>66</v>
      </c>
      <c r="K30">
        <v>3</v>
      </c>
      <c r="L30">
        <v>5030.5200000000004</v>
      </c>
      <c r="M30">
        <v>0.1</v>
      </c>
      <c r="N30">
        <v>13582.4</v>
      </c>
      <c r="O30">
        <v>9416.35</v>
      </c>
      <c r="P30">
        <v>4166.05</v>
      </c>
      <c r="Q30" t="s">
        <v>46</v>
      </c>
      <c r="R30">
        <v>0.3067241430085994</v>
      </c>
      <c r="S30">
        <v>2024</v>
      </c>
      <c r="T30" t="s">
        <v>32</v>
      </c>
      <c r="U30">
        <v>1</v>
      </c>
      <c r="V30" t="s">
        <v>33</v>
      </c>
    </row>
    <row r="31" spans="1:22" x14ac:dyDescent="0.3">
      <c r="A31" t="s">
        <v>165</v>
      </c>
      <c r="B31" s="1">
        <v>45298</v>
      </c>
      <c r="C31" t="s">
        <v>166</v>
      </c>
      <c r="D31" t="s">
        <v>167</v>
      </c>
      <c r="E31" t="s">
        <v>120</v>
      </c>
      <c r="F31" t="s">
        <v>121</v>
      </c>
      <c r="G31" t="s">
        <v>122</v>
      </c>
      <c r="H31" t="s">
        <v>28</v>
      </c>
      <c r="I31" t="s">
        <v>73</v>
      </c>
      <c r="J31" t="s">
        <v>80</v>
      </c>
      <c r="K31">
        <v>4</v>
      </c>
      <c r="L31">
        <v>756.69</v>
      </c>
      <c r="M31">
        <v>0.15</v>
      </c>
      <c r="N31">
        <v>2572.75</v>
      </c>
      <c r="O31">
        <v>1895.41</v>
      </c>
      <c r="P31">
        <v>677.34</v>
      </c>
      <c r="Q31" t="s">
        <v>53</v>
      </c>
      <c r="R31">
        <v>0.26327470605383352</v>
      </c>
      <c r="S31">
        <v>2024</v>
      </c>
      <c r="T31" t="s">
        <v>32</v>
      </c>
      <c r="U31">
        <v>1</v>
      </c>
      <c r="V31" t="s">
        <v>33</v>
      </c>
    </row>
    <row r="32" spans="1:22" x14ac:dyDescent="0.3">
      <c r="A32" t="s">
        <v>168</v>
      </c>
      <c r="B32" s="1">
        <v>45299</v>
      </c>
      <c r="C32" t="s">
        <v>169</v>
      </c>
      <c r="D32" t="s">
        <v>170</v>
      </c>
      <c r="E32" t="s">
        <v>25</v>
      </c>
      <c r="F32" t="s">
        <v>26</v>
      </c>
      <c r="G32" t="s">
        <v>171</v>
      </c>
      <c r="H32" t="s">
        <v>64</v>
      </c>
      <c r="I32" t="s">
        <v>108</v>
      </c>
      <c r="J32" t="s">
        <v>109</v>
      </c>
      <c r="K32">
        <v>3</v>
      </c>
      <c r="L32">
        <v>7169.54</v>
      </c>
      <c r="M32">
        <v>0.15</v>
      </c>
      <c r="N32">
        <v>18282.330000000002</v>
      </c>
      <c r="O32">
        <v>14245.58</v>
      </c>
      <c r="P32">
        <v>4036.75</v>
      </c>
      <c r="Q32" t="s">
        <v>31</v>
      </c>
      <c r="R32">
        <v>0.22080063099178279</v>
      </c>
      <c r="S32">
        <v>2024</v>
      </c>
      <c r="T32" t="s">
        <v>32</v>
      </c>
      <c r="U32">
        <v>1</v>
      </c>
      <c r="V32" t="s">
        <v>33</v>
      </c>
    </row>
    <row r="33" spans="1:22" x14ac:dyDescent="0.3">
      <c r="A33" t="s">
        <v>172</v>
      </c>
      <c r="B33" s="1">
        <v>45299</v>
      </c>
      <c r="C33" t="s">
        <v>173</v>
      </c>
      <c r="D33" t="s">
        <v>174</v>
      </c>
      <c r="E33" t="s">
        <v>41</v>
      </c>
      <c r="F33" t="s">
        <v>42</v>
      </c>
      <c r="G33" t="s">
        <v>42</v>
      </c>
      <c r="H33" t="s">
        <v>64</v>
      </c>
      <c r="I33" t="s">
        <v>108</v>
      </c>
      <c r="J33" t="s">
        <v>109</v>
      </c>
      <c r="K33">
        <v>2</v>
      </c>
      <c r="L33">
        <v>7067.02</v>
      </c>
      <c r="M33">
        <v>0.1</v>
      </c>
      <c r="N33">
        <v>12720.64</v>
      </c>
      <c r="O33">
        <v>8980.0300000000007</v>
      </c>
      <c r="P33">
        <v>3740.61</v>
      </c>
      <c r="Q33" t="s">
        <v>53</v>
      </c>
      <c r="R33">
        <v>0.29405831782048703</v>
      </c>
      <c r="S33">
        <v>2024</v>
      </c>
      <c r="T33" t="s">
        <v>32</v>
      </c>
      <c r="U33">
        <v>1</v>
      </c>
      <c r="V33" t="s">
        <v>33</v>
      </c>
    </row>
    <row r="34" spans="1:22" x14ac:dyDescent="0.3">
      <c r="A34" t="s">
        <v>175</v>
      </c>
      <c r="B34" s="1">
        <v>45299</v>
      </c>
      <c r="C34" t="s">
        <v>176</v>
      </c>
      <c r="D34" t="s">
        <v>151</v>
      </c>
      <c r="E34" t="s">
        <v>25</v>
      </c>
      <c r="F34" t="s">
        <v>26</v>
      </c>
      <c r="G34" t="s">
        <v>171</v>
      </c>
      <c r="H34" t="s">
        <v>84</v>
      </c>
      <c r="I34" t="s">
        <v>85</v>
      </c>
      <c r="J34" t="s">
        <v>86</v>
      </c>
      <c r="K34">
        <v>2</v>
      </c>
      <c r="L34">
        <v>1888.41</v>
      </c>
      <c r="M34">
        <v>0.1</v>
      </c>
      <c r="N34">
        <v>3399.14</v>
      </c>
      <c r="O34">
        <v>2063</v>
      </c>
      <c r="P34">
        <v>1336.14</v>
      </c>
      <c r="Q34" t="s">
        <v>53</v>
      </c>
      <c r="R34">
        <v>0.39308177950893458</v>
      </c>
      <c r="S34">
        <v>2024</v>
      </c>
      <c r="T34" t="s">
        <v>32</v>
      </c>
      <c r="U34">
        <v>1</v>
      </c>
      <c r="V34" t="s">
        <v>33</v>
      </c>
    </row>
    <row r="35" spans="1:22" x14ac:dyDescent="0.3">
      <c r="A35" t="s">
        <v>177</v>
      </c>
      <c r="B35" s="1">
        <v>45299</v>
      </c>
      <c r="C35" t="s">
        <v>178</v>
      </c>
      <c r="D35" t="s">
        <v>179</v>
      </c>
      <c r="E35" t="s">
        <v>25</v>
      </c>
      <c r="F35" t="s">
        <v>26</v>
      </c>
      <c r="G35" t="s">
        <v>27</v>
      </c>
      <c r="H35" t="s">
        <v>28</v>
      </c>
      <c r="I35" t="s">
        <v>73</v>
      </c>
      <c r="J35" t="s">
        <v>74</v>
      </c>
      <c r="K35">
        <v>1</v>
      </c>
      <c r="L35">
        <v>2382.7399999999998</v>
      </c>
      <c r="M35">
        <v>0.1</v>
      </c>
      <c r="N35">
        <v>2144.4699999999998</v>
      </c>
      <c r="O35">
        <v>1326.8</v>
      </c>
      <c r="P35">
        <v>817.67</v>
      </c>
      <c r="Q35" t="s">
        <v>31</v>
      </c>
      <c r="R35">
        <v>0.38129234729327061</v>
      </c>
      <c r="S35">
        <v>2024</v>
      </c>
      <c r="T35" t="s">
        <v>32</v>
      </c>
      <c r="U35">
        <v>1</v>
      </c>
      <c r="V35" t="s">
        <v>33</v>
      </c>
    </row>
    <row r="36" spans="1:22" x14ac:dyDescent="0.3">
      <c r="A36" t="s">
        <v>180</v>
      </c>
      <c r="B36" s="1">
        <v>45299</v>
      </c>
      <c r="C36" t="s">
        <v>181</v>
      </c>
      <c r="D36" t="s">
        <v>182</v>
      </c>
      <c r="E36" t="s">
        <v>41</v>
      </c>
      <c r="F36" t="s">
        <v>42</v>
      </c>
      <c r="G36" t="s">
        <v>50</v>
      </c>
      <c r="H36" t="s">
        <v>43</v>
      </c>
      <c r="I36" t="s">
        <v>51</v>
      </c>
      <c r="J36" t="s">
        <v>96</v>
      </c>
      <c r="K36">
        <v>1</v>
      </c>
      <c r="L36">
        <v>484</v>
      </c>
      <c r="M36">
        <v>0.15</v>
      </c>
      <c r="N36">
        <v>411.4</v>
      </c>
      <c r="O36">
        <v>222.32</v>
      </c>
      <c r="P36">
        <v>189.08</v>
      </c>
      <c r="Q36" t="s">
        <v>31</v>
      </c>
      <c r="R36">
        <v>0.45960136120563932</v>
      </c>
      <c r="S36">
        <v>2024</v>
      </c>
      <c r="T36" t="s">
        <v>32</v>
      </c>
      <c r="U36">
        <v>1</v>
      </c>
      <c r="V36" t="s">
        <v>33</v>
      </c>
    </row>
    <row r="37" spans="1:22" x14ac:dyDescent="0.3">
      <c r="A37" t="s">
        <v>183</v>
      </c>
      <c r="B37" s="1">
        <v>45299</v>
      </c>
      <c r="C37" t="s">
        <v>184</v>
      </c>
      <c r="D37" t="s">
        <v>185</v>
      </c>
      <c r="E37" t="s">
        <v>61</v>
      </c>
      <c r="F37" t="s">
        <v>78</v>
      </c>
      <c r="G37" t="s">
        <v>83</v>
      </c>
      <c r="H37" t="s">
        <v>64</v>
      </c>
      <c r="I37" t="s">
        <v>108</v>
      </c>
      <c r="J37" t="s">
        <v>155</v>
      </c>
      <c r="K37">
        <v>3</v>
      </c>
      <c r="L37">
        <v>8490.4</v>
      </c>
      <c r="M37">
        <v>0.1</v>
      </c>
      <c r="N37">
        <v>22924.080000000002</v>
      </c>
      <c r="O37">
        <v>17302.38</v>
      </c>
      <c r="P37">
        <v>5621.7</v>
      </c>
      <c r="Q37" t="s">
        <v>53</v>
      </c>
      <c r="R37">
        <v>0.2452312153857428</v>
      </c>
      <c r="S37">
        <v>2024</v>
      </c>
      <c r="T37" t="s">
        <v>32</v>
      </c>
      <c r="U37">
        <v>1</v>
      </c>
      <c r="V37" t="s">
        <v>33</v>
      </c>
    </row>
    <row r="38" spans="1:22" x14ac:dyDescent="0.3">
      <c r="A38" t="s">
        <v>186</v>
      </c>
      <c r="B38" s="1">
        <v>45300</v>
      </c>
      <c r="C38" t="s">
        <v>187</v>
      </c>
      <c r="D38" t="s">
        <v>188</v>
      </c>
      <c r="E38" t="s">
        <v>120</v>
      </c>
      <c r="F38" t="s">
        <v>121</v>
      </c>
      <c r="G38" t="s">
        <v>122</v>
      </c>
      <c r="H38" t="s">
        <v>28</v>
      </c>
      <c r="I38" t="s">
        <v>91</v>
      </c>
      <c r="J38" t="s">
        <v>92</v>
      </c>
      <c r="K38">
        <v>3</v>
      </c>
      <c r="L38">
        <v>3022.4</v>
      </c>
      <c r="M38">
        <v>0.1</v>
      </c>
      <c r="N38">
        <v>8160.48</v>
      </c>
      <c r="O38">
        <v>4851.99</v>
      </c>
      <c r="P38">
        <v>3308.49</v>
      </c>
      <c r="Q38" t="s">
        <v>46</v>
      </c>
      <c r="R38">
        <v>0.40542835715546138</v>
      </c>
      <c r="S38">
        <v>2024</v>
      </c>
      <c r="T38" t="s">
        <v>32</v>
      </c>
      <c r="U38">
        <v>1</v>
      </c>
      <c r="V38" t="s">
        <v>33</v>
      </c>
    </row>
    <row r="39" spans="1:22" x14ac:dyDescent="0.3">
      <c r="A39" t="s">
        <v>189</v>
      </c>
      <c r="B39" s="1">
        <v>45300</v>
      </c>
      <c r="C39" t="s">
        <v>190</v>
      </c>
      <c r="D39" t="s">
        <v>191</v>
      </c>
      <c r="E39" t="s">
        <v>61</v>
      </c>
      <c r="F39" t="s">
        <v>62</v>
      </c>
      <c r="G39" t="s">
        <v>134</v>
      </c>
      <c r="H39" t="s">
        <v>28</v>
      </c>
      <c r="I39" t="s">
        <v>73</v>
      </c>
      <c r="J39" t="s">
        <v>74</v>
      </c>
      <c r="K39">
        <v>2</v>
      </c>
      <c r="L39">
        <v>2461.2399999999998</v>
      </c>
      <c r="M39">
        <v>0.1</v>
      </c>
      <c r="N39">
        <v>4430.2299999999996</v>
      </c>
      <c r="O39">
        <v>2726.07</v>
      </c>
      <c r="P39">
        <v>1704.16</v>
      </c>
      <c r="Q39" t="s">
        <v>53</v>
      </c>
      <c r="R39">
        <v>0.38466625886240668</v>
      </c>
      <c r="S39">
        <v>2024</v>
      </c>
      <c r="T39" t="s">
        <v>32</v>
      </c>
      <c r="U39">
        <v>1</v>
      </c>
      <c r="V39" t="s">
        <v>33</v>
      </c>
    </row>
    <row r="40" spans="1:22" x14ac:dyDescent="0.3">
      <c r="A40" t="s">
        <v>192</v>
      </c>
      <c r="B40" s="1">
        <v>45300</v>
      </c>
      <c r="C40" t="s">
        <v>193</v>
      </c>
      <c r="D40" t="s">
        <v>194</v>
      </c>
      <c r="E40" t="s">
        <v>61</v>
      </c>
      <c r="F40" t="s">
        <v>78</v>
      </c>
      <c r="G40" t="s">
        <v>79</v>
      </c>
      <c r="H40" t="s">
        <v>28</v>
      </c>
      <c r="I40" t="s">
        <v>29</v>
      </c>
      <c r="J40" t="s">
        <v>57</v>
      </c>
      <c r="K40">
        <v>2</v>
      </c>
      <c r="L40">
        <v>16710.54</v>
      </c>
      <c r="M40">
        <v>0.2</v>
      </c>
      <c r="N40">
        <v>26736.86</v>
      </c>
      <c r="O40">
        <v>24530.79</v>
      </c>
      <c r="P40">
        <v>2206.0700000000002</v>
      </c>
      <c r="Q40" t="s">
        <v>31</v>
      </c>
      <c r="R40">
        <v>8.2510436902463499E-2</v>
      </c>
      <c r="S40">
        <v>2024</v>
      </c>
      <c r="T40" t="s">
        <v>32</v>
      </c>
      <c r="U40">
        <v>1</v>
      </c>
      <c r="V40" t="s">
        <v>33</v>
      </c>
    </row>
    <row r="41" spans="1:22" x14ac:dyDescent="0.3">
      <c r="A41" t="s">
        <v>195</v>
      </c>
      <c r="B41" s="1">
        <v>45301</v>
      </c>
      <c r="C41" t="s">
        <v>196</v>
      </c>
      <c r="D41" t="s">
        <v>197</v>
      </c>
      <c r="E41" t="s">
        <v>61</v>
      </c>
      <c r="F41" t="s">
        <v>78</v>
      </c>
      <c r="G41" t="s">
        <v>104</v>
      </c>
      <c r="H41" t="s">
        <v>28</v>
      </c>
      <c r="I41" t="s">
        <v>73</v>
      </c>
      <c r="J41" t="s">
        <v>74</v>
      </c>
      <c r="K41">
        <v>5</v>
      </c>
      <c r="L41">
        <v>2413.29</v>
      </c>
      <c r="M41">
        <v>0.15</v>
      </c>
      <c r="N41">
        <v>10256.48</v>
      </c>
      <c r="O41">
        <v>6742.4</v>
      </c>
      <c r="P41">
        <v>3514.08</v>
      </c>
      <c r="Q41" t="s">
        <v>53</v>
      </c>
      <c r="R41">
        <v>0.34262047018080283</v>
      </c>
      <c r="S41">
        <v>2024</v>
      </c>
      <c r="T41" t="s">
        <v>32</v>
      </c>
      <c r="U41">
        <v>1</v>
      </c>
      <c r="V41" t="s">
        <v>33</v>
      </c>
    </row>
    <row r="42" spans="1:22" x14ac:dyDescent="0.3">
      <c r="A42" t="s">
        <v>198</v>
      </c>
      <c r="B42" s="1">
        <v>45301</v>
      </c>
      <c r="C42" t="s">
        <v>199</v>
      </c>
      <c r="D42" t="s">
        <v>200</v>
      </c>
      <c r="E42" t="s">
        <v>61</v>
      </c>
      <c r="F42" t="s">
        <v>71</v>
      </c>
      <c r="G42" t="s">
        <v>201</v>
      </c>
      <c r="H42" t="s">
        <v>64</v>
      </c>
      <c r="I42" t="s">
        <v>65</v>
      </c>
      <c r="J42" t="s">
        <v>66</v>
      </c>
      <c r="K42">
        <v>4</v>
      </c>
      <c r="L42">
        <v>4876.92</v>
      </c>
      <c r="M42">
        <v>0</v>
      </c>
      <c r="N42">
        <v>19507.68</v>
      </c>
      <c r="O42">
        <v>11730.32</v>
      </c>
      <c r="P42">
        <v>7777.36</v>
      </c>
      <c r="Q42" t="s">
        <v>31</v>
      </c>
      <c r="R42">
        <v>0.39868195500438802</v>
      </c>
      <c r="S42">
        <v>2024</v>
      </c>
      <c r="T42" t="s">
        <v>32</v>
      </c>
      <c r="U42">
        <v>1</v>
      </c>
      <c r="V42" t="s">
        <v>33</v>
      </c>
    </row>
    <row r="43" spans="1:22" x14ac:dyDescent="0.3">
      <c r="A43" t="s">
        <v>202</v>
      </c>
      <c r="B43" s="1">
        <v>45302</v>
      </c>
      <c r="C43" t="s">
        <v>39</v>
      </c>
      <c r="D43" t="s">
        <v>203</v>
      </c>
      <c r="E43" t="s">
        <v>25</v>
      </c>
      <c r="F43" t="s">
        <v>26</v>
      </c>
      <c r="G43" t="s">
        <v>171</v>
      </c>
      <c r="H43" t="s">
        <v>28</v>
      </c>
      <c r="I43" t="s">
        <v>91</v>
      </c>
      <c r="J43" t="s">
        <v>92</v>
      </c>
      <c r="K43">
        <v>6</v>
      </c>
      <c r="L43">
        <v>2897.47</v>
      </c>
      <c r="M43">
        <v>0.1</v>
      </c>
      <c r="N43">
        <v>15646.34</v>
      </c>
      <c r="O43">
        <v>8744.5</v>
      </c>
      <c r="P43">
        <v>6901.84</v>
      </c>
      <c r="Q43" t="s">
        <v>31</v>
      </c>
      <c r="R43">
        <v>0.44111530236464253</v>
      </c>
      <c r="S43">
        <v>2024</v>
      </c>
      <c r="T43" t="s">
        <v>32</v>
      </c>
      <c r="U43">
        <v>1</v>
      </c>
      <c r="V43" t="s">
        <v>33</v>
      </c>
    </row>
    <row r="44" spans="1:22" x14ac:dyDescent="0.3">
      <c r="A44" t="s">
        <v>204</v>
      </c>
      <c r="B44" s="1">
        <v>45302</v>
      </c>
      <c r="C44" t="s">
        <v>205</v>
      </c>
      <c r="D44" t="s">
        <v>206</v>
      </c>
      <c r="E44" t="s">
        <v>41</v>
      </c>
      <c r="F44" t="s">
        <v>42</v>
      </c>
      <c r="G44" t="s">
        <v>50</v>
      </c>
      <c r="H44" t="s">
        <v>43</v>
      </c>
      <c r="I44" t="s">
        <v>44</v>
      </c>
      <c r="J44" t="s">
        <v>45</v>
      </c>
      <c r="K44">
        <v>3</v>
      </c>
      <c r="L44">
        <v>236.04</v>
      </c>
      <c r="M44">
        <v>0.05</v>
      </c>
      <c r="N44">
        <v>672.71</v>
      </c>
      <c r="O44">
        <v>269.27999999999997</v>
      </c>
      <c r="P44">
        <v>403.43</v>
      </c>
      <c r="Q44" t="s">
        <v>31</v>
      </c>
      <c r="R44">
        <v>0.59970864116781375</v>
      </c>
      <c r="S44">
        <v>2024</v>
      </c>
      <c r="T44" t="s">
        <v>32</v>
      </c>
      <c r="U44">
        <v>1</v>
      </c>
      <c r="V44" t="s">
        <v>33</v>
      </c>
    </row>
    <row r="45" spans="1:22" x14ac:dyDescent="0.3">
      <c r="A45" t="s">
        <v>207</v>
      </c>
      <c r="B45" s="1">
        <v>45302</v>
      </c>
      <c r="C45" t="s">
        <v>208</v>
      </c>
      <c r="D45" t="s">
        <v>209</v>
      </c>
      <c r="E45" t="s">
        <v>61</v>
      </c>
      <c r="F45" t="s">
        <v>78</v>
      </c>
      <c r="G45" t="s">
        <v>104</v>
      </c>
      <c r="H45" t="s">
        <v>43</v>
      </c>
      <c r="I45" t="s">
        <v>51</v>
      </c>
      <c r="J45" t="s">
        <v>96</v>
      </c>
      <c r="K45">
        <v>2</v>
      </c>
      <c r="L45">
        <v>510.01</v>
      </c>
      <c r="M45">
        <v>0.05</v>
      </c>
      <c r="N45">
        <v>969.02</v>
      </c>
      <c r="O45">
        <v>464.92</v>
      </c>
      <c r="P45">
        <v>504.1</v>
      </c>
      <c r="Q45" t="s">
        <v>46</v>
      </c>
      <c r="R45">
        <v>0.52021630100513927</v>
      </c>
      <c r="S45">
        <v>2024</v>
      </c>
      <c r="T45" t="s">
        <v>32</v>
      </c>
      <c r="U45">
        <v>1</v>
      </c>
      <c r="V45" t="s">
        <v>33</v>
      </c>
    </row>
    <row r="46" spans="1:22" x14ac:dyDescent="0.3">
      <c r="A46" t="s">
        <v>210</v>
      </c>
      <c r="B46" s="1">
        <v>45302</v>
      </c>
      <c r="C46" t="s">
        <v>211</v>
      </c>
      <c r="D46" t="s">
        <v>212</v>
      </c>
      <c r="E46" t="s">
        <v>61</v>
      </c>
      <c r="F46" t="s">
        <v>62</v>
      </c>
      <c r="G46" t="s">
        <v>90</v>
      </c>
      <c r="H46" t="s">
        <v>28</v>
      </c>
      <c r="I46" t="s">
        <v>73</v>
      </c>
      <c r="J46" t="s">
        <v>80</v>
      </c>
      <c r="K46">
        <v>5</v>
      </c>
      <c r="L46">
        <v>841.05</v>
      </c>
      <c r="M46">
        <v>0</v>
      </c>
      <c r="N46">
        <v>4205.25</v>
      </c>
      <c r="O46">
        <v>2518.34</v>
      </c>
      <c r="P46">
        <v>1686.91</v>
      </c>
      <c r="Q46" t="s">
        <v>53</v>
      </c>
      <c r="R46">
        <v>0.40114380833481961</v>
      </c>
      <c r="S46">
        <v>2024</v>
      </c>
      <c r="T46" t="s">
        <v>32</v>
      </c>
      <c r="U46">
        <v>1</v>
      </c>
      <c r="V46" t="s">
        <v>33</v>
      </c>
    </row>
    <row r="47" spans="1:22" x14ac:dyDescent="0.3">
      <c r="A47" t="s">
        <v>213</v>
      </c>
      <c r="B47" s="1">
        <v>45303</v>
      </c>
      <c r="C47" t="s">
        <v>214</v>
      </c>
      <c r="D47" t="s">
        <v>215</v>
      </c>
      <c r="E47" t="s">
        <v>61</v>
      </c>
      <c r="F47" t="s">
        <v>78</v>
      </c>
      <c r="G47" t="s">
        <v>216</v>
      </c>
      <c r="H47" t="s">
        <v>28</v>
      </c>
      <c r="I47" t="s">
        <v>73</v>
      </c>
      <c r="J47" t="s">
        <v>80</v>
      </c>
      <c r="K47">
        <v>5</v>
      </c>
      <c r="L47">
        <v>824.14</v>
      </c>
      <c r="M47">
        <v>0.2</v>
      </c>
      <c r="N47">
        <v>3296.56</v>
      </c>
      <c r="O47">
        <v>2474.7399999999998</v>
      </c>
      <c r="P47">
        <v>821.82</v>
      </c>
      <c r="Q47" t="s">
        <v>31</v>
      </c>
      <c r="R47">
        <v>0.24929623607639481</v>
      </c>
      <c r="S47">
        <v>2024</v>
      </c>
      <c r="T47" t="s">
        <v>32</v>
      </c>
      <c r="U47">
        <v>1</v>
      </c>
      <c r="V47" t="s">
        <v>33</v>
      </c>
    </row>
    <row r="48" spans="1:22" x14ac:dyDescent="0.3">
      <c r="A48" t="s">
        <v>217</v>
      </c>
      <c r="B48" s="1">
        <v>45303</v>
      </c>
      <c r="C48" t="s">
        <v>218</v>
      </c>
      <c r="D48" t="s">
        <v>219</v>
      </c>
      <c r="E48" t="s">
        <v>41</v>
      </c>
      <c r="F48" t="s">
        <v>42</v>
      </c>
      <c r="G48" t="s">
        <v>50</v>
      </c>
      <c r="H48" t="s">
        <v>84</v>
      </c>
      <c r="I48" t="s">
        <v>138</v>
      </c>
      <c r="J48" t="s">
        <v>220</v>
      </c>
      <c r="K48">
        <v>1</v>
      </c>
      <c r="L48">
        <v>7779.93</v>
      </c>
      <c r="M48">
        <v>0.2</v>
      </c>
      <c r="N48">
        <v>6223.94</v>
      </c>
      <c r="O48">
        <v>5202.8900000000003</v>
      </c>
      <c r="P48">
        <v>1021.05</v>
      </c>
      <c r="Q48" t="s">
        <v>31</v>
      </c>
      <c r="R48">
        <v>0.16405203134991661</v>
      </c>
      <c r="S48">
        <v>2024</v>
      </c>
      <c r="T48" t="s">
        <v>32</v>
      </c>
      <c r="U48">
        <v>1</v>
      </c>
      <c r="V48" t="s">
        <v>33</v>
      </c>
    </row>
    <row r="49" spans="1:22" x14ac:dyDescent="0.3">
      <c r="A49" t="s">
        <v>221</v>
      </c>
      <c r="B49" s="1">
        <v>45303</v>
      </c>
      <c r="C49" t="s">
        <v>222</v>
      </c>
      <c r="D49" t="s">
        <v>223</v>
      </c>
      <c r="E49" t="s">
        <v>120</v>
      </c>
      <c r="F49" t="s">
        <v>121</v>
      </c>
      <c r="G49" t="s">
        <v>224</v>
      </c>
      <c r="H49" t="s">
        <v>84</v>
      </c>
      <c r="I49" t="s">
        <v>85</v>
      </c>
      <c r="J49" t="s">
        <v>86</v>
      </c>
      <c r="K49">
        <v>2</v>
      </c>
      <c r="L49">
        <v>1874.13</v>
      </c>
      <c r="M49">
        <v>0.1</v>
      </c>
      <c r="N49">
        <v>3373.43</v>
      </c>
      <c r="O49">
        <v>2090.5100000000002</v>
      </c>
      <c r="P49">
        <v>1282.92</v>
      </c>
      <c r="Q49" t="s">
        <v>31</v>
      </c>
      <c r="R49">
        <v>0.38030135500069667</v>
      </c>
      <c r="S49">
        <v>2024</v>
      </c>
      <c r="T49" t="s">
        <v>32</v>
      </c>
      <c r="U49">
        <v>1</v>
      </c>
      <c r="V49" t="s">
        <v>33</v>
      </c>
    </row>
    <row r="50" spans="1:22" x14ac:dyDescent="0.3">
      <c r="A50" t="s">
        <v>225</v>
      </c>
      <c r="B50" s="1">
        <v>45303</v>
      </c>
      <c r="C50" t="s">
        <v>226</v>
      </c>
      <c r="D50" t="s">
        <v>227</v>
      </c>
      <c r="E50" t="s">
        <v>61</v>
      </c>
      <c r="F50" t="s">
        <v>62</v>
      </c>
      <c r="G50" t="s">
        <v>228</v>
      </c>
      <c r="H50" t="s">
        <v>64</v>
      </c>
      <c r="I50" t="s">
        <v>108</v>
      </c>
      <c r="J50" t="s">
        <v>155</v>
      </c>
      <c r="K50">
        <v>4</v>
      </c>
      <c r="L50">
        <v>8955.2800000000007</v>
      </c>
      <c r="M50">
        <v>0.1</v>
      </c>
      <c r="N50">
        <v>32239.01</v>
      </c>
      <c r="O50">
        <v>24216.14</v>
      </c>
      <c r="P50">
        <v>8022.87</v>
      </c>
      <c r="Q50" t="s">
        <v>31</v>
      </c>
      <c r="R50">
        <v>0.24885596673098831</v>
      </c>
      <c r="S50">
        <v>2024</v>
      </c>
      <c r="T50" t="s">
        <v>32</v>
      </c>
      <c r="U50">
        <v>1</v>
      </c>
      <c r="V50" t="s">
        <v>33</v>
      </c>
    </row>
    <row r="51" spans="1:22" x14ac:dyDescent="0.3">
      <c r="A51" t="s">
        <v>229</v>
      </c>
      <c r="B51" s="1">
        <v>45303</v>
      </c>
      <c r="C51" t="s">
        <v>230</v>
      </c>
      <c r="D51" t="s">
        <v>231</v>
      </c>
      <c r="E51" t="s">
        <v>61</v>
      </c>
      <c r="F51" t="s">
        <v>71</v>
      </c>
      <c r="G51" t="s">
        <v>100</v>
      </c>
      <c r="H51" t="s">
        <v>64</v>
      </c>
      <c r="I51" t="s">
        <v>65</v>
      </c>
      <c r="J51" t="s">
        <v>232</v>
      </c>
      <c r="K51">
        <v>2</v>
      </c>
      <c r="L51">
        <v>3981.2</v>
      </c>
      <c r="M51">
        <v>0.15</v>
      </c>
      <c r="N51">
        <v>6768.04</v>
      </c>
      <c r="O51">
        <v>4981.96</v>
      </c>
      <c r="P51">
        <v>1786.08</v>
      </c>
      <c r="Q51" t="s">
        <v>53</v>
      </c>
      <c r="R51">
        <v>0.26389914953221322</v>
      </c>
      <c r="S51">
        <v>2024</v>
      </c>
      <c r="T51" t="s">
        <v>32</v>
      </c>
      <c r="U51">
        <v>1</v>
      </c>
      <c r="V51" t="s">
        <v>33</v>
      </c>
    </row>
    <row r="52" spans="1:22" x14ac:dyDescent="0.3">
      <c r="A52" t="s">
        <v>233</v>
      </c>
      <c r="B52" s="1">
        <v>45303</v>
      </c>
      <c r="C52" t="s">
        <v>234</v>
      </c>
      <c r="D52" t="s">
        <v>235</v>
      </c>
      <c r="E52" t="s">
        <v>61</v>
      </c>
      <c r="F52" t="s">
        <v>78</v>
      </c>
      <c r="G52" t="s">
        <v>216</v>
      </c>
      <c r="H52" t="s">
        <v>84</v>
      </c>
      <c r="I52" t="s">
        <v>138</v>
      </c>
      <c r="J52" t="s">
        <v>139</v>
      </c>
      <c r="K52">
        <v>3</v>
      </c>
      <c r="L52">
        <v>13622.38</v>
      </c>
      <c r="M52">
        <v>0.05</v>
      </c>
      <c r="N52">
        <v>38823.78</v>
      </c>
      <c r="O52">
        <v>29597.08</v>
      </c>
      <c r="P52">
        <v>9226.7000000000007</v>
      </c>
      <c r="Q52" t="s">
        <v>53</v>
      </c>
      <c r="R52">
        <v>0.23765589028167791</v>
      </c>
      <c r="S52">
        <v>2024</v>
      </c>
      <c r="T52" t="s">
        <v>32</v>
      </c>
      <c r="U52">
        <v>1</v>
      </c>
      <c r="V52" t="s">
        <v>33</v>
      </c>
    </row>
    <row r="53" spans="1:22" x14ac:dyDescent="0.3">
      <c r="A53" t="s">
        <v>236</v>
      </c>
      <c r="B53" s="1">
        <v>45304</v>
      </c>
      <c r="C53" t="s">
        <v>237</v>
      </c>
      <c r="D53" t="s">
        <v>238</v>
      </c>
      <c r="E53" t="s">
        <v>61</v>
      </c>
      <c r="F53" t="s">
        <v>62</v>
      </c>
      <c r="G53" t="s">
        <v>90</v>
      </c>
      <c r="H53" t="s">
        <v>64</v>
      </c>
      <c r="I53" t="s">
        <v>65</v>
      </c>
      <c r="J53" t="s">
        <v>232</v>
      </c>
      <c r="K53">
        <v>1</v>
      </c>
      <c r="L53">
        <v>3903.21</v>
      </c>
      <c r="M53">
        <v>0.1</v>
      </c>
      <c r="N53">
        <v>3512.89</v>
      </c>
      <c r="O53">
        <v>2444.63</v>
      </c>
      <c r="P53">
        <v>1068.26</v>
      </c>
      <c r="Q53" t="s">
        <v>113</v>
      </c>
      <c r="R53">
        <v>0.30409719632553261</v>
      </c>
      <c r="S53">
        <v>2024</v>
      </c>
      <c r="T53" t="s">
        <v>32</v>
      </c>
      <c r="U53">
        <v>1</v>
      </c>
      <c r="V53" t="s">
        <v>33</v>
      </c>
    </row>
    <row r="54" spans="1:22" x14ac:dyDescent="0.3">
      <c r="A54" t="s">
        <v>239</v>
      </c>
      <c r="B54" s="1">
        <v>45304</v>
      </c>
      <c r="C54" t="s">
        <v>240</v>
      </c>
      <c r="D54" t="s">
        <v>241</v>
      </c>
      <c r="E54" t="s">
        <v>61</v>
      </c>
      <c r="F54" t="s">
        <v>78</v>
      </c>
      <c r="G54" t="s">
        <v>79</v>
      </c>
      <c r="H54" t="s">
        <v>28</v>
      </c>
      <c r="I54" t="s">
        <v>91</v>
      </c>
      <c r="J54" t="s">
        <v>92</v>
      </c>
      <c r="K54">
        <v>1</v>
      </c>
      <c r="L54">
        <v>3146.54</v>
      </c>
      <c r="M54">
        <v>0.15</v>
      </c>
      <c r="N54">
        <v>2674.56</v>
      </c>
      <c r="O54">
        <v>1628.13</v>
      </c>
      <c r="P54">
        <v>1046.43</v>
      </c>
      <c r="Q54" t="s">
        <v>113</v>
      </c>
      <c r="R54">
        <v>0.39125314070351758</v>
      </c>
      <c r="S54">
        <v>2024</v>
      </c>
      <c r="T54" t="s">
        <v>32</v>
      </c>
      <c r="U54">
        <v>1</v>
      </c>
      <c r="V54" t="s">
        <v>33</v>
      </c>
    </row>
    <row r="55" spans="1:22" x14ac:dyDescent="0.3">
      <c r="A55" t="s">
        <v>242</v>
      </c>
      <c r="B55" s="1">
        <v>45304</v>
      </c>
      <c r="C55" t="s">
        <v>243</v>
      </c>
      <c r="D55" t="s">
        <v>244</v>
      </c>
      <c r="E55" t="s">
        <v>120</v>
      </c>
      <c r="F55" t="s">
        <v>121</v>
      </c>
      <c r="G55" t="s">
        <v>122</v>
      </c>
      <c r="H55" t="s">
        <v>28</v>
      </c>
      <c r="I55" t="s">
        <v>29</v>
      </c>
      <c r="J55" t="s">
        <v>30</v>
      </c>
      <c r="K55">
        <v>4</v>
      </c>
      <c r="L55">
        <v>60993.4</v>
      </c>
      <c r="M55">
        <v>0.1</v>
      </c>
      <c r="N55">
        <v>219576.24</v>
      </c>
      <c r="O55">
        <v>218525.12</v>
      </c>
      <c r="P55">
        <v>1051.1199999999999</v>
      </c>
      <c r="Q55" t="s">
        <v>53</v>
      </c>
      <c r="R55">
        <v>4.7870388890892748E-3</v>
      </c>
      <c r="S55">
        <v>2024</v>
      </c>
      <c r="T55" t="s">
        <v>32</v>
      </c>
      <c r="U55">
        <v>1</v>
      </c>
      <c r="V55" t="s">
        <v>33</v>
      </c>
    </row>
    <row r="56" spans="1:22" x14ac:dyDescent="0.3">
      <c r="A56" t="s">
        <v>245</v>
      </c>
      <c r="B56" s="1">
        <v>45304</v>
      </c>
      <c r="C56" t="s">
        <v>246</v>
      </c>
      <c r="D56" t="s">
        <v>247</v>
      </c>
      <c r="E56" t="s">
        <v>61</v>
      </c>
      <c r="F56" t="s">
        <v>78</v>
      </c>
      <c r="G56" t="s">
        <v>79</v>
      </c>
      <c r="H56" t="s">
        <v>43</v>
      </c>
      <c r="I56" t="s">
        <v>44</v>
      </c>
      <c r="J56" t="s">
        <v>248</v>
      </c>
      <c r="K56">
        <v>2</v>
      </c>
      <c r="L56">
        <v>306.48</v>
      </c>
      <c r="M56">
        <v>0.05</v>
      </c>
      <c r="N56">
        <v>582.30999999999995</v>
      </c>
      <c r="O56">
        <v>250.05</v>
      </c>
      <c r="P56">
        <v>332.26</v>
      </c>
      <c r="Q56" t="s">
        <v>53</v>
      </c>
      <c r="R56">
        <v>0.57058954852226484</v>
      </c>
      <c r="S56">
        <v>2024</v>
      </c>
      <c r="T56" t="s">
        <v>32</v>
      </c>
      <c r="U56">
        <v>1</v>
      </c>
      <c r="V56" t="s">
        <v>33</v>
      </c>
    </row>
    <row r="57" spans="1:22" x14ac:dyDescent="0.3">
      <c r="A57" t="s">
        <v>249</v>
      </c>
      <c r="B57" s="1">
        <v>45305</v>
      </c>
      <c r="C57" t="s">
        <v>250</v>
      </c>
      <c r="D57" t="s">
        <v>212</v>
      </c>
      <c r="E57" t="s">
        <v>61</v>
      </c>
      <c r="F57" t="s">
        <v>78</v>
      </c>
      <c r="G57" t="s">
        <v>104</v>
      </c>
      <c r="H57" t="s">
        <v>64</v>
      </c>
      <c r="I57" t="s">
        <v>65</v>
      </c>
      <c r="J57" t="s">
        <v>66</v>
      </c>
      <c r="K57">
        <v>1</v>
      </c>
      <c r="L57">
        <v>5176.16</v>
      </c>
      <c r="M57">
        <v>0.1</v>
      </c>
      <c r="N57">
        <v>4658.54</v>
      </c>
      <c r="O57">
        <v>3179.89</v>
      </c>
      <c r="P57">
        <v>1478.65</v>
      </c>
      <c r="Q57" t="s">
        <v>31</v>
      </c>
      <c r="R57">
        <v>0.31740631184877671</v>
      </c>
      <c r="S57">
        <v>2024</v>
      </c>
      <c r="T57" t="s">
        <v>32</v>
      </c>
      <c r="U57">
        <v>1</v>
      </c>
      <c r="V57" t="s">
        <v>33</v>
      </c>
    </row>
    <row r="58" spans="1:22" x14ac:dyDescent="0.3">
      <c r="A58" t="s">
        <v>251</v>
      </c>
      <c r="B58" s="1">
        <v>45305</v>
      </c>
      <c r="C58" t="s">
        <v>252</v>
      </c>
      <c r="D58" t="s">
        <v>253</v>
      </c>
      <c r="E58" t="s">
        <v>61</v>
      </c>
      <c r="F58" t="s">
        <v>78</v>
      </c>
      <c r="G58" t="s">
        <v>216</v>
      </c>
      <c r="H58" t="s">
        <v>64</v>
      </c>
      <c r="I58" t="s">
        <v>108</v>
      </c>
      <c r="J58" t="s">
        <v>109</v>
      </c>
      <c r="K58">
        <v>3</v>
      </c>
      <c r="L58">
        <v>7374.25</v>
      </c>
      <c r="M58">
        <v>0.05</v>
      </c>
      <c r="N58">
        <v>21016.61</v>
      </c>
      <c r="O58">
        <v>14197.4</v>
      </c>
      <c r="P58">
        <v>6819.21</v>
      </c>
      <c r="Q58" t="s">
        <v>31</v>
      </c>
      <c r="R58">
        <v>0.32446764725614652</v>
      </c>
      <c r="S58">
        <v>2024</v>
      </c>
      <c r="T58" t="s">
        <v>32</v>
      </c>
      <c r="U58">
        <v>1</v>
      </c>
      <c r="V58" t="s">
        <v>33</v>
      </c>
    </row>
    <row r="59" spans="1:22" x14ac:dyDescent="0.3">
      <c r="A59" t="s">
        <v>254</v>
      </c>
      <c r="B59" s="1">
        <v>45305</v>
      </c>
      <c r="C59" t="s">
        <v>255</v>
      </c>
      <c r="D59" t="s">
        <v>256</v>
      </c>
      <c r="E59" t="s">
        <v>41</v>
      </c>
      <c r="F59" t="s">
        <v>42</v>
      </c>
      <c r="G59" t="s">
        <v>50</v>
      </c>
      <c r="H59" t="s">
        <v>28</v>
      </c>
      <c r="I59" t="s">
        <v>29</v>
      </c>
      <c r="J59" t="s">
        <v>30</v>
      </c>
      <c r="K59">
        <v>1</v>
      </c>
      <c r="L59">
        <v>61205.07</v>
      </c>
      <c r="M59">
        <v>0.1</v>
      </c>
      <c r="N59">
        <v>55084.56</v>
      </c>
      <c r="O59">
        <v>52255.1</v>
      </c>
      <c r="P59">
        <v>2829.46</v>
      </c>
      <c r="Q59" t="s">
        <v>31</v>
      </c>
      <c r="R59">
        <v>5.1365754759591438E-2</v>
      </c>
      <c r="S59">
        <v>2024</v>
      </c>
      <c r="T59" t="s">
        <v>32</v>
      </c>
      <c r="U59">
        <v>1</v>
      </c>
      <c r="V59" t="s">
        <v>33</v>
      </c>
    </row>
    <row r="60" spans="1:22" x14ac:dyDescent="0.3">
      <c r="A60" t="s">
        <v>257</v>
      </c>
      <c r="B60" s="1">
        <v>45306</v>
      </c>
      <c r="C60" t="s">
        <v>258</v>
      </c>
      <c r="D60" t="s">
        <v>259</v>
      </c>
      <c r="E60" t="s">
        <v>25</v>
      </c>
      <c r="F60" t="s">
        <v>26</v>
      </c>
      <c r="G60" t="s">
        <v>260</v>
      </c>
      <c r="H60" t="s">
        <v>28</v>
      </c>
      <c r="I60" t="s">
        <v>29</v>
      </c>
      <c r="J60" t="s">
        <v>57</v>
      </c>
      <c r="K60">
        <v>3</v>
      </c>
      <c r="L60">
        <v>16005.06</v>
      </c>
      <c r="M60">
        <v>0.1</v>
      </c>
      <c r="N60">
        <v>43213.66</v>
      </c>
      <c r="O60">
        <v>34830.370000000003</v>
      </c>
      <c r="P60">
        <v>8383.2900000000009</v>
      </c>
      <c r="Q60" t="s">
        <v>31</v>
      </c>
      <c r="R60">
        <v>0.1939962965414177</v>
      </c>
      <c r="S60">
        <v>2024</v>
      </c>
      <c r="T60" t="s">
        <v>32</v>
      </c>
      <c r="U60">
        <v>1</v>
      </c>
      <c r="V60" t="s">
        <v>33</v>
      </c>
    </row>
    <row r="61" spans="1:22" x14ac:dyDescent="0.3">
      <c r="A61" t="s">
        <v>261</v>
      </c>
      <c r="B61" s="1">
        <v>45306</v>
      </c>
      <c r="C61" t="s">
        <v>262</v>
      </c>
      <c r="D61" t="s">
        <v>209</v>
      </c>
      <c r="E61" t="s">
        <v>120</v>
      </c>
      <c r="F61" t="s">
        <v>121</v>
      </c>
      <c r="G61" t="s">
        <v>122</v>
      </c>
      <c r="H61" t="s">
        <v>43</v>
      </c>
      <c r="I61" t="s">
        <v>51</v>
      </c>
      <c r="J61" t="s">
        <v>96</v>
      </c>
      <c r="K61">
        <v>3</v>
      </c>
      <c r="L61">
        <v>524.96</v>
      </c>
      <c r="M61">
        <v>0.05</v>
      </c>
      <c r="N61">
        <v>1496.14</v>
      </c>
      <c r="O61">
        <v>732.67</v>
      </c>
      <c r="P61">
        <v>763.47</v>
      </c>
      <c r="Q61" t="s">
        <v>31</v>
      </c>
      <c r="R61">
        <v>0.51029315438394796</v>
      </c>
      <c r="S61">
        <v>2024</v>
      </c>
      <c r="T61" t="s">
        <v>32</v>
      </c>
      <c r="U61">
        <v>1</v>
      </c>
      <c r="V61" t="s">
        <v>33</v>
      </c>
    </row>
    <row r="62" spans="1:22" x14ac:dyDescent="0.3">
      <c r="A62" t="s">
        <v>263</v>
      </c>
      <c r="B62" s="1">
        <v>45306</v>
      </c>
      <c r="C62" t="s">
        <v>264</v>
      </c>
      <c r="D62" t="s">
        <v>265</v>
      </c>
      <c r="E62" t="s">
        <v>61</v>
      </c>
      <c r="F62" t="s">
        <v>78</v>
      </c>
      <c r="G62" t="s">
        <v>216</v>
      </c>
      <c r="H62" t="s">
        <v>43</v>
      </c>
      <c r="I62" t="s">
        <v>51</v>
      </c>
      <c r="J62" t="s">
        <v>96</v>
      </c>
      <c r="K62">
        <v>2</v>
      </c>
      <c r="L62">
        <v>496.58</v>
      </c>
      <c r="M62">
        <v>0.1</v>
      </c>
      <c r="N62">
        <v>893.84</v>
      </c>
      <c r="O62">
        <v>463.44</v>
      </c>
      <c r="P62">
        <v>430.4</v>
      </c>
      <c r="Q62" t="s">
        <v>31</v>
      </c>
      <c r="R62">
        <v>0.48151794504609319</v>
      </c>
      <c r="S62">
        <v>2024</v>
      </c>
      <c r="T62" t="s">
        <v>32</v>
      </c>
      <c r="U62">
        <v>1</v>
      </c>
      <c r="V62" t="s">
        <v>33</v>
      </c>
    </row>
    <row r="63" spans="1:22" x14ac:dyDescent="0.3">
      <c r="A63" t="s">
        <v>266</v>
      </c>
      <c r="B63" s="1">
        <v>45306</v>
      </c>
      <c r="C63" t="s">
        <v>267</v>
      </c>
      <c r="D63" t="s">
        <v>268</v>
      </c>
      <c r="E63" t="s">
        <v>120</v>
      </c>
      <c r="F63" t="s">
        <v>121</v>
      </c>
      <c r="G63" t="s">
        <v>224</v>
      </c>
      <c r="H63" t="s">
        <v>28</v>
      </c>
      <c r="I63" t="s">
        <v>91</v>
      </c>
      <c r="J63" t="s">
        <v>92</v>
      </c>
      <c r="K63">
        <v>2</v>
      </c>
      <c r="L63">
        <v>2882.68</v>
      </c>
      <c r="M63">
        <v>0.1</v>
      </c>
      <c r="N63">
        <v>5188.82</v>
      </c>
      <c r="O63">
        <v>3083.52</v>
      </c>
      <c r="P63">
        <v>2105.3000000000002</v>
      </c>
      <c r="Q63" t="s">
        <v>53</v>
      </c>
      <c r="R63">
        <v>0.40573772071492181</v>
      </c>
      <c r="S63">
        <v>2024</v>
      </c>
      <c r="T63" t="s">
        <v>32</v>
      </c>
      <c r="U63">
        <v>1</v>
      </c>
      <c r="V63" t="s">
        <v>33</v>
      </c>
    </row>
    <row r="64" spans="1:22" x14ac:dyDescent="0.3">
      <c r="A64" t="s">
        <v>269</v>
      </c>
      <c r="B64" s="1">
        <v>45306</v>
      </c>
      <c r="C64" t="s">
        <v>262</v>
      </c>
      <c r="D64" t="s">
        <v>270</v>
      </c>
      <c r="E64" t="s">
        <v>25</v>
      </c>
      <c r="F64" t="s">
        <v>26</v>
      </c>
      <c r="G64" t="s">
        <v>37</v>
      </c>
      <c r="H64" t="s">
        <v>84</v>
      </c>
      <c r="I64" t="s">
        <v>85</v>
      </c>
      <c r="J64" t="s">
        <v>145</v>
      </c>
      <c r="K64">
        <v>1</v>
      </c>
      <c r="L64">
        <v>3388.44</v>
      </c>
      <c r="M64">
        <v>0.05</v>
      </c>
      <c r="N64">
        <v>3219.02</v>
      </c>
      <c r="O64">
        <v>1974.03</v>
      </c>
      <c r="P64">
        <v>1244.99</v>
      </c>
      <c r="Q64" t="s">
        <v>53</v>
      </c>
      <c r="R64">
        <v>0.3867605668806034</v>
      </c>
      <c r="S64">
        <v>2024</v>
      </c>
      <c r="T64" t="s">
        <v>32</v>
      </c>
      <c r="U64">
        <v>1</v>
      </c>
      <c r="V64" t="s">
        <v>33</v>
      </c>
    </row>
    <row r="65" spans="1:22" x14ac:dyDescent="0.3">
      <c r="A65" t="s">
        <v>271</v>
      </c>
      <c r="B65" s="1">
        <v>45307</v>
      </c>
      <c r="C65" t="s">
        <v>272</v>
      </c>
      <c r="D65" t="s">
        <v>273</v>
      </c>
      <c r="E65" t="s">
        <v>25</v>
      </c>
      <c r="F65" t="s">
        <v>26</v>
      </c>
      <c r="G65" t="s">
        <v>171</v>
      </c>
      <c r="H65" t="s">
        <v>28</v>
      </c>
      <c r="I65" t="s">
        <v>29</v>
      </c>
      <c r="J65" t="s">
        <v>30</v>
      </c>
      <c r="K65">
        <v>5</v>
      </c>
      <c r="L65">
        <v>61429.68</v>
      </c>
      <c r="M65">
        <v>0.15</v>
      </c>
      <c r="N65">
        <v>261076.14</v>
      </c>
      <c r="O65">
        <v>280630.92</v>
      </c>
      <c r="P65">
        <v>-19554.78</v>
      </c>
      <c r="Q65" t="s">
        <v>46</v>
      </c>
      <c r="R65">
        <v>-7.4900678399795542E-2</v>
      </c>
      <c r="S65">
        <v>2024</v>
      </c>
      <c r="T65" t="s">
        <v>32</v>
      </c>
      <c r="U65">
        <v>1</v>
      </c>
      <c r="V65" t="s">
        <v>33</v>
      </c>
    </row>
    <row r="66" spans="1:22" x14ac:dyDescent="0.3">
      <c r="A66" t="s">
        <v>274</v>
      </c>
      <c r="B66" s="1">
        <v>45307</v>
      </c>
      <c r="C66" t="s">
        <v>275</v>
      </c>
      <c r="D66" t="s">
        <v>276</v>
      </c>
      <c r="E66" t="s">
        <v>25</v>
      </c>
      <c r="F66" t="s">
        <v>26</v>
      </c>
      <c r="G66" t="s">
        <v>37</v>
      </c>
      <c r="H66" t="s">
        <v>28</v>
      </c>
      <c r="I66" t="s">
        <v>73</v>
      </c>
      <c r="J66" t="s">
        <v>74</v>
      </c>
      <c r="K66">
        <v>2</v>
      </c>
      <c r="L66">
        <v>2505.46</v>
      </c>
      <c r="M66">
        <v>0.1</v>
      </c>
      <c r="N66">
        <v>4509.83</v>
      </c>
      <c r="O66">
        <v>2794.49</v>
      </c>
      <c r="P66">
        <v>1715.34</v>
      </c>
      <c r="Q66" t="s">
        <v>31</v>
      </c>
      <c r="R66">
        <v>0.3803558005512403</v>
      </c>
      <c r="S66">
        <v>2024</v>
      </c>
      <c r="T66" t="s">
        <v>32</v>
      </c>
      <c r="U66">
        <v>1</v>
      </c>
      <c r="V66" t="s">
        <v>33</v>
      </c>
    </row>
    <row r="67" spans="1:22" x14ac:dyDescent="0.3">
      <c r="A67" t="s">
        <v>277</v>
      </c>
      <c r="B67" s="1">
        <v>45308</v>
      </c>
      <c r="C67" t="s">
        <v>262</v>
      </c>
      <c r="D67" t="s">
        <v>278</v>
      </c>
      <c r="E67" t="s">
        <v>41</v>
      </c>
      <c r="F67" t="s">
        <v>42</v>
      </c>
      <c r="G67" t="s">
        <v>50</v>
      </c>
      <c r="H67" t="s">
        <v>28</v>
      </c>
      <c r="I67" t="s">
        <v>91</v>
      </c>
      <c r="J67" t="s">
        <v>92</v>
      </c>
      <c r="K67">
        <v>1</v>
      </c>
      <c r="L67">
        <v>3136.71</v>
      </c>
      <c r="M67">
        <v>0.15</v>
      </c>
      <c r="N67">
        <v>2666.2</v>
      </c>
      <c r="O67">
        <v>1671.23</v>
      </c>
      <c r="P67">
        <v>994.97</v>
      </c>
      <c r="Q67" t="s">
        <v>46</v>
      </c>
      <c r="R67">
        <v>0.37317905633485859</v>
      </c>
      <c r="S67">
        <v>2024</v>
      </c>
      <c r="T67" t="s">
        <v>32</v>
      </c>
      <c r="U67">
        <v>1</v>
      </c>
      <c r="V67" t="s">
        <v>33</v>
      </c>
    </row>
    <row r="68" spans="1:22" x14ac:dyDescent="0.3">
      <c r="A68" t="s">
        <v>279</v>
      </c>
      <c r="B68" s="1">
        <v>45308</v>
      </c>
      <c r="C68" t="s">
        <v>280</v>
      </c>
      <c r="D68" t="s">
        <v>60</v>
      </c>
      <c r="E68" t="s">
        <v>61</v>
      </c>
      <c r="F68" t="s">
        <v>62</v>
      </c>
      <c r="G68" t="s">
        <v>90</v>
      </c>
      <c r="H68" t="s">
        <v>43</v>
      </c>
      <c r="I68" t="s">
        <v>51</v>
      </c>
      <c r="J68" t="s">
        <v>96</v>
      </c>
      <c r="K68">
        <v>2</v>
      </c>
      <c r="L68">
        <v>506.58</v>
      </c>
      <c r="M68">
        <v>0.1</v>
      </c>
      <c r="N68">
        <v>911.84</v>
      </c>
      <c r="O68">
        <v>454.78</v>
      </c>
      <c r="P68">
        <v>457.06</v>
      </c>
      <c r="Q68" t="s">
        <v>67</v>
      </c>
      <c r="R68">
        <v>0.50125021933672576</v>
      </c>
      <c r="S68">
        <v>2024</v>
      </c>
      <c r="T68" t="s">
        <v>32</v>
      </c>
      <c r="U68">
        <v>1</v>
      </c>
      <c r="V68" t="s">
        <v>33</v>
      </c>
    </row>
    <row r="69" spans="1:22" x14ac:dyDescent="0.3">
      <c r="A69" t="s">
        <v>281</v>
      </c>
      <c r="B69" s="1">
        <v>45308</v>
      </c>
      <c r="C69" t="s">
        <v>282</v>
      </c>
      <c r="D69" t="s">
        <v>283</v>
      </c>
      <c r="E69" t="s">
        <v>61</v>
      </c>
      <c r="F69" t="s">
        <v>78</v>
      </c>
      <c r="G69" t="s">
        <v>104</v>
      </c>
      <c r="H69" t="s">
        <v>84</v>
      </c>
      <c r="I69" t="s">
        <v>138</v>
      </c>
      <c r="J69" t="s">
        <v>220</v>
      </c>
      <c r="K69">
        <v>1</v>
      </c>
      <c r="L69">
        <v>7874.8</v>
      </c>
      <c r="M69">
        <v>0.05</v>
      </c>
      <c r="N69">
        <v>7481.06</v>
      </c>
      <c r="O69">
        <v>5076.96</v>
      </c>
      <c r="P69">
        <v>2404.1</v>
      </c>
      <c r="Q69" t="s">
        <v>31</v>
      </c>
      <c r="R69">
        <v>0.32135820324927211</v>
      </c>
      <c r="S69">
        <v>2024</v>
      </c>
      <c r="T69" t="s">
        <v>32</v>
      </c>
      <c r="U69">
        <v>1</v>
      </c>
      <c r="V69" t="s">
        <v>33</v>
      </c>
    </row>
    <row r="70" spans="1:22" x14ac:dyDescent="0.3">
      <c r="A70" t="s">
        <v>284</v>
      </c>
      <c r="B70" s="1">
        <v>45308</v>
      </c>
      <c r="C70" t="s">
        <v>48</v>
      </c>
      <c r="D70" t="s">
        <v>285</v>
      </c>
      <c r="E70" t="s">
        <v>41</v>
      </c>
      <c r="F70" t="s">
        <v>42</v>
      </c>
      <c r="G70" t="s">
        <v>42</v>
      </c>
      <c r="H70" t="s">
        <v>64</v>
      </c>
      <c r="I70" t="s">
        <v>108</v>
      </c>
      <c r="J70" t="s">
        <v>109</v>
      </c>
      <c r="K70">
        <v>1</v>
      </c>
      <c r="L70">
        <v>7090.61</v>
      </c>
      <c r="M70">
        <v>0.05</v>
      </c>
      <c r="N70">
        <v>6736.08</v>
      </c>
      <c r="O70">
        <v>4705.9399999999996</v>
      </c>
      <c r="P70">
        <v>2030.14</v>
      </c>
      <c r="Q70" t="s">
        <v>46</v>
      </c>
      <c r="R70">
        <v>0.30138300020189779</v>
      </c>
      <c r="S70">
        <v>2024</v>
      </c>
      <c r="T70" t="s">
        <v>32</v>
      </c>
      <c r="U70">
        <v>1</v>
      </c>
      <c r="V70" t="s">
        <v>33</v>
      </c>
    </row>
    <row r="71" spans="1:22" x14ac:dyDescent="0.3">
      <c r="A71" t="s">
        <v>286</v>
      </c>
      <c r="B71" s="1">
        <v>45308</v>
      </c>
      <c r="C71" t="s">
        <v>287</v>
      </c>
      <c r="D71" t="s">
        <v>247</v>
      </c>
      <c r="E71" t="s">
        <v>120</v>
      </c>
      <c r="F71" t="s">
        <v>121</v>
      </c>
      <c r="G71" t="s">
        <v>122</v>
      </c>
      <c r="H71" t="s">
        <v>43</v>
      </c>
      <c r="I71" t="s">
        <v>51</v>
      </c>
      <c r="J71" t="s">
        <v>52</v>
      </c>
      <c r="K71">
        <v>5</v>
      </c>
      <c r="L71">
        <v>700.58</v>
      </c>
      <c r="M71">
        <v>0.15</v>
      </c>
      <c r="N71">
        <v>2977.47</v>
      </c>
      <c r="O71">
        <v>1622.12</v>
      </c>
      <c r="P71">
        <v>1355.35</v>
      </c>
      <c r="Q71" t="s">
        <v>31</v>
      </c>
      <c r="R71">
        <v>0.45520189959932428</v>
      </c>
      <c r="S71">
        <v>2024</v>
      </c>
      <c r="T71" t="s">
        <v>32</v>
      </c>
      <c r="U71">
        <v>1</v>
      </c>
      <c r="V71" t="s">
        <v>33</v>
      </c>
    </row>
    <row r="72" spans="1:22" x14ac:dyDescent="0.3">
      <c r="A72" t="s">
        <v>288</v>
      </c>
      <c r="B72" s="1">
        <v>45308</v>
      </c>
      <c r="C72" t="s">
        <v>289</v>
      </c>
      <c r="D72" t="s">
        <v>215</v>
      </c>
      <c r="E72" t="s">
        <v>61</v>
      </c>
      <c r="F72" t="s">
        <v>78</v>
      </c>
      <c r="G72" t="s">
        <v>104</v>
      </c>
      <c r="H72" t="s">
        <v>28</v>
      </c>
      <c r="I72" t="s">
        <v>29</v>
      </c>
      <c r="J72" t="s">
        <v>57</v>
      </c>
      <c r="K72">
        <v>2</v>
      </c>
      <c r="L72">
        <v>16138.17</v>
      </c>
      <c r="M72">
        <v>0.15</v>
      </c>
      <c r="N72">
        <v>27434.89</v>
      </c>
      <c r="O72">
        <v>24417.21</v>
      </c>
      <c r="P72">
        <v>3017.68</v>
      </c>
      <c r="Q72" t="s">
        <v>46</v>
      </c>
      <c r="R72">
        <v>0.1099942445550173</v>
      </c>
      <c r="S72">
        <v>2024</v>
      </c>
      <c r="T72" t="s">
        <v>32</v>
      </c>
      <c r="U72">
        <v>1</v>
      </c>
      <c r="V72" t="s">
        <v>33</v>
      </c>
    </row>
    <row r="73" spans="1:22" x14ac:dyDescent="0.3">
      <c r="A73" t="s">
        <v>290</v>
      </c>
      <c r="B73" s="1">
        <v>45308</v>
      </c>
      <c r="C73" t="s">
        <v>291</v>
      </c>
      <c r="D73" t="s">
        <v>292</v>
      </c>
      <c r="E73" t="s">
        <v>61</v>
      </c>
      <c r="F73" t="s">
        <v>62</v>
      </c>
      <c r="G73" t="s">
        <v>134</v>
      </c>
      <c r="H73" t="s">
        <v>64</v>
      </c>
      <c r="I73" t="s">
        <v>65</v>
      </c>
      <c r="J73" t="s">
        <v>66</v>
      </c>
      <c r="K73">
        <v>1</v>
      </c>
      <c r="L73">
        <v>4886.47</v>
      </c>
      <c r="M73">
        <v>0</v>
      </c>
      <c r="N73">
        <v>4886.47</v>
      </c>
      <c r="O73">
        <v>2957.61</v>
      </c>
      <c r="P73">
        <v>1928.86</v>
      </c>
      <c r="Q73" t="s">
        <v>31</v>
      </c>
      <c r="R73">
        <v>0.39473484949257842</v>
      </c>
      <c r="S73">
        <v>2024</v>
      </c>
      <c r="T73" t="s">
        <v>32</v>
      </c>
      <c r="U73">
        <v>1</v>
      </c>
      <c r="V73" t="s">
        <v>33</v>
      </c>
    </row>
    <row r="74" spans="1:22" x14ac:dyDescent="0.3">
      <c r="A74" t="s">
        <v>293</v>
      </c>
      <c r="B74" s="1">
        <v>45308</v>
      </c>
      <c r="C74" t="s">
        <v>294</v>
      </c>
      <c r="D74" t="s">
        <v>295</v>
      </c>
      <c r="E74" t="s">
        <v>120</v>
      </c>
      <c r="F74" t="s">
        <v>121</v>
      </c>
      <c r="G74" t="s">
        <v>122</v>
      </c>
      <c r="H74" t="s">
        <v>28</v>
      </c>
      <c r="I74" t="s">
        <v>73</v>
      </c>
      <c r="J74" t="s">
        <v>74</v>
      </c>
      <c r="K74">
        <v>1</v>
      </c>
      <c r="L74">
        <v>2375.89</v>
      </c>
      <c r="M74">
        <v>0.15</v>
      </c>
      <c r="N74">
        <v>2019.51</v>
      </c>
      <c r="O74">
        <v>1301.6600000000001</v>
      </c>
      <c r="P74">
        <v>717.85</v>
      </c>
      <c r="Q74" t="s">
        <v>53</v>
      </c>
      <c r="R74">
        <v>0.35545751197072561</v>
      </c>
      <c r="S74">
        <v>2024</v>
      </c>
      <c r="T74" t="s">
        <v>32</v>
      </c>
      <c r="U74">
        <v>1</v>
      </c>
      <c r="V74" t="s">
        <v>33</v>
      </c>
    </row>
    <row r="75" spans="1:22" x14ac:dyDescent="0.3">
      <c r="A75" t="s">
        <v>296</v>
      </c>
      <c r="B75" s="1">
        <v>45309</v>
      </c>
      <c r="C75" t="s">
        <v>297</v>
      </c>
      <c r="D75" t="s">
        <v>298</v>
      </c>
      <c r="E75" t="s">
        <v>61</v>
      </c>
      <c r="F75" t="s">
        <v>78</v>
      </c>
      <c r="G75" t="s">
        <v>83</v>
      </c>
      <c r="H75" t="s">
        <v>84</v>
      </c>
      <c r="I75" t="s">
        <v>85</v>
      </c>
      <c r="J75" t="s">
        <v>86</v>
      </c>
      <c r="K75">
        <v>6</v>
      </c>
      <c r="L75">
        <v>1860.32</v>
      </c>
      <c r="M75">
        <v>0.05</v>
      </c>
      <c r="N75">
        <v>10603.82</v>
      </c>
      <c r="O75">
        <v>6185.71</v>
      </c>
      <c r="P75">
        <v>4418.1099999999997</v>
      </c>
      <c r="Q75" t="s">
        <v>67</v>
      </c>
      <c r="R75">
        <v>0.41665267799717459</v>
      </c>
      <c r="S75">
        <v>2024</v>
      </c>
      <c r="T75" t="s">
        <v>32</v>
      </c>
      <c r="U75">
        <v>1</v>
      </c>
      <c r="V75" t="s">
        <v>33</v>
      </c>
    </row>
    <row r="76" spans="1:22" x14ac:dyDescent="0.3">
      <c r="A76" t="s">
        <v>299</v>
      </c>
      <c r="B76" s="1">
        <v>45309</v>
      </c>
      <c r="C76" t="s">
        <v>300</v>
      </c>
      <c r="D76" t="s">
        <v>301</v>
      </c>
      <c r="E76" t="s">
        <v>41</v>
      </c>
      <c r="F76" t="s">
        <v>42</v>
      </c>
      <c r="G76" t="s">
        <v>50</v>
      </c>
      <c r="H76" t="s">
        <v>28</v>
      </c>
      <c r="I76" t="s">
        <v>73</v>
      </c>
      <c r="J76" t="s">
        <v>80</v>
      </c>
      <c r="K76">
        <v>1</v>
      </c>
      <c r="L76">
        <v>813.68</v>
      </c>
      <c r="M76">
        <v>0.1</v>
      </c>
      <c r="N76">
        <v>732.31</v>
      </c>
      <c r="O76">
        <v>510.49</v>
      </c>
      <c r="P76">
        <v>221.82</v>
      </c>
      <c r="Q76" t="s">
        <v>31</v>
      </c>
      <c r="R76">
        <v>0.30290450765386251</v>
      </c>
      <c r="S76">
        <v>2024</v>
      </c>
      <c r="T76" t="s">
        <v>32</v>
      </c>
      <c r="U76">
        <v>1</v>
      </c>
      <c r="V76" t="s">
        <v>33</v>
      </c>
    </row>
    <row r="77" spans="1:22" x14ac:dyDescent="0.3">
      <c r="A77" t="s">
        <v>302</v>
      </c>
      <c r="B77" s="1">
        <v>45310</v>
      </c>
      <c r="C77" t="s">
        <v>303</v>
      </c>
      <c r="D77" t="s">
        <v>304</v>
      </c>
      <c r="E77" t="s">
        <v>41</v>
      </c>
      <c r="F77" t="s">
        <v>42</v>
      </c>
      <c r="G77" t="s">
        <v>50</v>
      </c>
      <c r="H77" t="s">
        <v>84</v>
      </c>
      <c r="I77" t="s">
        <v>85</v>
      </c>
      <c r="J77" t="s">
        <v>145</v>
      </c>
      <c r="K77">
        <v>2</v>
      </c>
      <c r="L77">
        <v>3406.09</v>
      </c>
      <c r="M77">
        <v>0.1</v>
      </c>
      <c r="N77">
        <v>6130.96</v>
      </c>
      <c r="O77">
        <v>3846.69</v>
      </c>
      <c r="P77">
        <v>2284.27</v>
      </c>
      <c r="Q77" t="s">
        <v>46</v>
      </c>
      <c r="R77">
        <v>0.37257949815363328</v>
      </c>
      <c r="S77">
        <v>2024</v>
      </c>
      <c r="T77" t="s">
        <v>32</v>
      </c>
      <c r="U77">
        <v>1</v>
      </c>
      <c r="V77" t="s">
        <v>33</v>
      </c>
    </row>
    <row r="78" spans="1:22" x14ac:dyDescent="0.3">
      <c r="A78" t="s">
        <v>305</v>
      </c>
      <c r="B78" s="1">
        <v>45310</v>
      </c>
      <c r="C78" t="s">
        <v>306</v>
      </c>
      <c r="D78" t="s">
        <v>307</v>
      </c>
      <c r="E78" t="s">
        <v>25</v>
      </c>
      <c r="F78" t="s">
        <v>26</v>
      </c>
      <c r="G78" t="s">
        <v>260</v>
      </c>
      <c r="H78" t="s">
        <v>64</v>
      </c>
      <c r="I78" t="s">
        <v>65</v>
      </c>
      <c r="J78" t="s">
        <v>66</v>
      </c>
      <c r="K78">
        <v>1</v>
      </c>
      <c r="L78">
        <v>5189.8500000000004</v>
      </c>
      <c r="M78">
        <v>0.15</v>
      </c>
      <c r="N78">
        <v>4411.37</v>
      </c>
      <c r="O78">
        <v>3154.73</v>
      </c>
      <c r="P78">
        <v>1256.6400000000001</v>
      </c>
      <c r="Q78" t="s">
        <v>31</v>
      </c>
      <c r="R78">
        <v>0.28486388582231831</v>
      </c>
      <c r="S78">
        <v>2024</v>
      </c>
      <c r="T78" t="s">
        <v>32</v>
      </c>
      <c r="U78">
        <v>1</v>
      </c>
      <c r="V78" t="s">
        <v>33</v>
      </c>
    </row>
    <row r="79" spans="1:22" x14ac:dyDescent="0.3">
      <c r="A79" t="s">
        <v>308</v>
      </c>
      <c r="B79" s="1">
        <v>45311</v>
      </c>
      <c r="C79" t="s">
        <v>309</v>
      </c>
      <c r="D79" t="s">
        <v>310</v>
      </c>
      <c r="E79" t="s">
        <v>41</v>
      </c>
      <c r="F79" t="s">
        <v>42</v>
      </c>
      <c r="G79" t="s">
        <v>50</v>
      </c>
      <c r="H79" t="s">
        <v>43</v>
      </c>
      <c r="I79" t="s">
        <v>44</v>
      </c>
      <c r="J79" t="s">
        <v>248</v>
      </c>
      <c r="K79">
        <v>6</v>
      </c>
      <c r="L79">
        <v>309.5</v>
      </c>
      <c r="M79">
        <v>0.05</v>
      </c>
      <c r="N79">
        <v>1764.15</v>
      </c>
      <c r="O79">
        <v>780.33</v>
      </c>
      <c r="P79">
        <v>983.82</v>
      </c>
      <c r="Q79" t="s">
        <v>46</v>
      </c>
      <c r="R79">
        <v>0.55767366720516964</v>
      </c>
      <c r="S79">
        <v>2024</v>
      </c>
      <c r="T79" t="s">
        <v>32</v>
      </c>
      <c r="U79">
        <v>1</v>
      </c>
      <c r="V79" t="s">
        <v>33</v>
      </c>
    </row>
    <row r="80" spans="1:22" x14ac:dyDescent="0.3">
      <c r="A80" t="s">
        <v>311</v>
      </c>
      <c r="B80" s="1">
        <v>45311</v>
      </c>
      <c r="C80" t="s">
        <v>312</v>
      </c>
      <c r="D80" t="s">
        <v>313</v>
      </c>
      <c r="E80" t="s">
        <v>61</v>
      </c>
      <c r="F80" t="s">
        <v>78</v>
      </c>
      <c r="G80" t="s">
        <v>104</v>
      </c>
      <c r="H80" t="s">
        <v>28</v>
      </c>
      <c r="I80" t="s">
        <v>29</v>
      </c>
      <c r="J80" t="s">
        <v>30</v>
      </c>
      <c r="K80">
        <v>4</v>
      </c>
      <c r="L80">
        <v>56652.49</v>
      </c>
      <c r="M80">
        <v>0.15</v>
      </c>
      <c r="N80">
        <v>192618.47</v>
      </c>
      <c r="O80">
        <v>202748.84</v>
      </c>
      <c r="P80">
        <v>-10130.370000000001</v>
      </c>
      <c r="Q80" t="s">
        <v>53</v>
      </c>
      <c r="R80">
        <v>-5.2592931508593128E-2</v>
      </c>
      <c r="S80">
        <v>2024</v>
      </c>
      <c r="T80" t="s">
        <v>32</v>
      </c>
      <c r="U80">
        <v>1</v>
      </c>
      <c r="V80" t="s">
        <v>33</v>
      </c>
    </row>
    <row r="81" spans="1:22" x14ac:dyDescent="0.3">
      <c r="A81" t="s">
        <v>314</v>
      </c>
      <c r="B81" s="1">
        <v>45311</v>
      </c>
      <c r="C81" t="s">
        <v>315</v>
      </c>
      <c r="D81" t="s">
        <v>316</v>
      </c>
      <c r="E81" t="s">
        <v>61</v>
      </c>
      <c r="F81" t="s">
        <v>71</v>
      </c>
      <c r="G81" t="s">
        <v>317</v>
      </c>
      <c r="H81" t="s">
        <v>43</v>
      </c>
      <c r="I81" t="s">
        <v>51</v>
      </c>
      <c r="J81" t="s">
        <v>96</v>
      </c>
      <c r="K81">
        <v>6</v>
      </c>
      <c r="L81">
        <v>507.59</v>
      </c>
      <c r="M81">
        <v>0.15</v>
      </c>
      <c r="N81">
        <v>2588.71</v>
      </c>
      <c r="O81">
        <v>1377.42</v>
      </c>
      <c r="P81">
        <v>1211.29</v>
      </c>
      <c r="Q81" t="s">
        <v>53</v>
      </c>
      <c r="R81">
        <v>0.46791258966821309</v>
      </c>
      <c r="S81">
        <v>2024</v>
      </c>
      <c r="T81" t="s">
        <v>32</v>
      </c>
      <c r="U81">
        <v>1</v>
      </c>
      <c r="V81" t="s">
        <v>33</v>
      </c>
    </row>
    <row r="82" spans="1:22" x14ac:dyDescent="0.3">
      <c r="A82" t="s">
        <v>318</v>
      </c>
      <c r="B82" s="1">
        <v>45311</v>
      </c>
      <c r="C82" t="s">
        <v>319</v>
      </c>
      <c r="D82" t="s">
        <v>307</v>
      </c>
      <c r="E82" t="s">
        <v>120</v>
      </c>
      <c r="F82" t="s">
        <v>121</v>
      </c>
      <c r="G82" t="s">
        <v>130</v>
      </c>
      <c r="H82" t="s">
        <v>28</v>
      </c>
      <c r="I82" t="s">
        <v>91</v>
      </c>
      <c r="J82" t="s">
        <v>126</v>
      </c>
      <c r="K82">
        <v>5</v>
      </c>
      <c r="L82">
        <v>1940.45</v>
      </c>
      <c r="M82">
        <v>0.05</v>
      </c>
      <c r="N82">
        <v>9217.14</v>
      </c>
      <c r="O82">
        <v>5852.13</v>
      </c>
      <c r="P82">
        <v>3365.01</v>
      </c>
      <c r="Q82" t="s">
        <v>31</v>
      </c>
      <c r="R82">
        <v>0.36508179326775991</v>
      </c>
      <c r="S82">
        <v>2024</v>
      </c>
      <c r="T82" t="s">
        <v>32</v>
      </c>
      <c r="U82">
        <v>1</v>
      </c>
      <c r="V82" t="s">
        <v>33</v>
      </c>
    </row>
    <row r="83" spans="1:22" x14ac:dyDescent="0.3">
      <c r="A83" t="s">
        <v>320</v>
      </c>
      <c r="B83" s="1">
        <v>45311</v>
      </c>
      <c r="C83" t="s">
        <v>321</v>
      </c>
      <c r="D83" t="s">
        <v>133</v>
      </c>
      <c r="E83" t="s">
        <v>61</v>
      </c>
      <c r="F83" t="s">
        <v>62</v>
      </c>
      <c r="G83" t="s">
        <v>134</v>
      </c>
      <c r="H83" t="s">
        <v>64</v>
      </c>
      <c r="I83" t="s">
        <v>108</v>
      </c>
      <c r="J83" t="s">
        <v>109</v>
      </c>
      <c r="K83">
        <v>3</v>
      </c>
      <c r="L83">
        <v>7388.37</v>
      </c>
      <c r="M83">
        <v>0.05</v>
      </c>
      <c r="N83">
        <v>21056.85</v>
      </c>
      <c r="O83">
        <v>13624.94</v>
      </c>
      <c r="P83">
        <v>7431.91</v>
      </c>
      <c r="Q83" t="s">
        <v>31</v>
      </c>
      <c r="R83">
        <v>0.35294500364489467</v>
      </c>
      <c r="S83">
        <v>2024</v>
      </c>
      <c r="T83" t="s">
        <v>32</v>
      </c>
      <c r="U83">
        <v>1</v>
      </c>
      <c r="V83" t="s">
        <v>33</v>
      </c>
    </row>
    <row r="84" spans="1:22" x14ac:dyDescent="0.3">
      <c r="A84" t="s">
        <v>322</v>
      </c>
      <c r="B84" s="1">
        <v>45311</v>
      </c>
      <c r="C84" t="s">
        <v>323</v>
      </c>
      <c r="D84" t="s">
        <v>70</v>
      </c>
      <c r="E84" t="s">
        <v>41</v>
      </c>
      <c r="F84" t="s">
        <v>42</v>
      </c>
      <c r="G84" t="s">
        <v>50</v>
      </c>
      <c r="H84" t="s">
        <v>43</v>
      </c>
      <c r="I84" t="s">
        <v>51</v>
      </c>
      <c r="J84" t="s">
        <v>52</v>
      </c>
      <c r="K84">
        <v>2</v>
      </c>
      <c r="L84">
        <v>739.99</v>
      </c>
      <c r="M84">
        <v>0</v>
      </c>
      <c r="N84">
        <v>1479.98</v>
      </c>
      <c r="O84">
        <v>684.63</v>
      </c>
      <c r="P84">
        <v>795.35</v>
      </c>
      <c r="Q84" t="s">
        <v>31</v>
      </c>
      <c r="R84">
        <v>0.53740591089068768</v>
      </c>
      <c r="S84">
        <v>2024</v>
      </c>
      <c r="T84" t="s">
        <v>32</v>
      </c>
      <c r="U84">
        <v>1</v>
      </c>
      <c r="V84" t="s">
        <v>33</v>
      </c>
    </row>
    <row r="85" spans="1:22" x14ac:dyDescent="0.3">
      <c r="A85" t="s">
        <v>324</v>
      </c>
      <c r="B85" s="1">
        <v>45311</v>
      </c>
      <c r="C85" t="s">
        <v>325</v>
      </c>
      <c r="D85" t="s">
        <v>326</v>
      </c>
      <c r="E85" t="s">
        <v>61</v>
      </c>
      <c r="F85" t="s">
        <v>78</v>
      </c>
      <c r="G85" t="s">
        <v>104</v>
      </c>
      <c r="H85" t="s">
        <v>43</v>
      </c>
      <c r="I85" t="s">
        <v>44</v>
      </c>
      <c r="J85" t="s">
        <v>248</v>
      </c>
      <c r="K85">
        <v>1</v>
      </c>
      <c r="L85">
        <v>309.42</v>
      </c>
      <c r="M85">
        <v>0.1</v>
      </c>
      <c r="N85">
        <v>278.48</v>
      </c>
      <c r="O85">
        <v>128.4</v>
      </c>
      <c r="P85">
        <v>150.08000000000001</v>
      </c>
      <c r="Q85" t="s">
        <v>46</v>
      </c>
      <c r="R85">
        <v>0.53892559609307666</v>
      </c>
      <c r="S85">
        <v>2024</v>
      </c>
      <c r="T85" t="s">
        <v>32</v>
      </c>
      <c r="U85">
        <v>1</v>
      </c>
      <c r="V85" t="s">
        <v>33</v>
      </c>
    </row>
    <row r="86" spans="1:22" x14ac:dyDescent="0.3">
      <c r="A86" t="s">
        <v>327</v>
      </c>
      <c r="B86" s="1">
        <v>45311</v>
      </c>
      <c r="C86" t="s">
        <v>328</v>
      </c>
      <c r="D86" t="s">
        <v>36</v>
      </c>
      <c r="E86" t="s">
        <v>41</v>
      </c>
      <c r="F86" t="s">
        <v>42</v>
      </c>
      <c r="G86" t="s">
        <v>50</v>
      </c>
      <c r="H86" t="s">
        <v>43</v>
      </c>
      <c r="I86" t="s">
        <v>44</v>
      </c>
      <c r="J86" t="s">
        <v>248</v>
      </c>
      <c r="K86">
        <v>1</v>
      </c>
      <c r="L86">
        <v>310.38</v>
      </c>
      <c r="M86">
        <v>0</v>
      </c>
      <c r="N86">
        <v>310.38</v>
      </c>
      <c r="O86">
        <v>130.1</v>
      </c>
      <c r="P86">
        <v>180.28</v>
      </c>
      <c r="Q86" t="s">
        <v>53</v>
      </c>
      <c r="R86">
        <v>0.58083639409755783</v>
      </c>
      <c r="S86">
        <v>2024</v>
      </c>
      <c r="T86" t="s">
        <v>32</v>
      </c>
      <c r="U86">
        <v>1</v>
      </c>
      <c r="V86" t="s">
        <v>33</v>
      </c>
    </row>
    <row r="87" spans="1:22" x14ac:dyDescent="0.3">
      <c r="A87" t="s">
        <v>329</v>
      </c>
      <c r="B87" s="1">
        <v>45313</v>
      </c>
      <c r="C87" t="s">
        <v>330</v>
      </c>
      <c r="D87" t="s">
        <v>331</v>
      </c>
      <c r="E87" t="s">
        <v>61</v>
      </c>
      <c r="F87" t="s">
        <v>62</v>
      </c>
      <c r="G87" t="s">
        <v>63</v>
      </c>
      <c r="H87" t="s">
        <v>84</v>
      </c>
      <c r="I87" t="s">
        <v>138</v>
      </c>
      <c r="J87" t="s">
        <v>220</v>
      </c>
      <c r="K87">
        <v>6</v>
      </c>
      <c r="L87">
        <v>7705.36</v>
      </c>
      <c r="M87">
        <v>0.15</v>
      </c>
      <c r="N87">
        <v>39297.339999999997</v>
      </c>
      <c r="O87">
        <v>30117.45</v>
      </c>
      <c r="P87">
        <v>9179.89</v>
      </c>
      <c r="Q87" t="s">
        <v>31</v>
      </c>
      <c r="R87">
        <v>0.23360079842554229</v>
      </c>
      <c r="S87">
        <v>2024</v>
      </c>
      <c r="T87" t="s">
        <v>32</v>
      </c>
      <c r="U87">
        <v>1</v>
      </c>
      <c r="V87" t="s">
        <v>33</v>
      </c>
    </row>
    <row r="88" spans="1:22" x14ac:dyDescent="0.3">
      <c r="A88" t="s">
        <v>332</v>
      </c>
      <c r="B88" s="1">
        <v>45314</v>
      </c>
      <c r="C88" t="s">
        <v>333</v>
      </c>
      <c r="D88" t="s">
        <v>334</v>
      </c>
      <c r="E88" t="s">
        <v>25</v>
      </c>
      <c r="F88" t="s">
        <v>26</v>
      </c>
      <c r="G88" t="s">
        <v>171</v>
      </c>
      <c r="H88" t="s">
        <v>28</v>
      </c>
      <c r="I88" t="s">
        <v>73</v>
      </c>
      <c r="J88" t="s">
        <v>74</v>
      </c>
      <c r="K88">
        <v>1</v>
      </c>
      <c r="L88">
        <v>2538.17</v>
      </c>
      <c r="M88">
        <v>0.05</v>
      </c>
      <c r="N88">
        <v>2411.2600000000002</v>
      </c>
      <c r="O88">
        <v>1397.42</v>
      </c>
      <c r="P88">
        <v>1013.84</v>
      </c>
      <c r="Q88" t="s">
        <v>46</v>
      </c>
      <c r="R88">
        <v>0.42046067201380188</v>
      </c>
      <c r="S88">
        <v>2024</v>
      </c>
      <c r="T88" t="s">
        <v>32</v>
      </c>
      <c r="U88">
        <v>1</v>
      </c>
      <c r="V88" t="s">
        <v>33</v>
      </c>
    </row>
    <row r="89" spans="1:22" x14ac:dyDescent="0.3">
      <c r="A89" t="s">
        <v>335</v>
      </c>
      <c r="B89" s="1">
        <v>45314</v>
      </c>
      <c r="C89" t="s">
        <v>336</v>
      </c>
      <c r="D89" t="s">
        <v>313</v>
      </c>
      <c r="E89" t="s">
        <v>61</v>
      </c>
      <c r="F89" t="s">
        <v>62</v>
      </c>
      <c r="G89" t="s">
        <v>63</v>
      </c>
      <c r="H89" t="s">
        <v>28</v>
      </c>
      <c r="I89" t="s">
        <v>73</v>
      </c>
      <c r="J89" t="s">
        <v>80</v>
      </c>
      <c r="K89">
        <v>6</v>
      </c>
      <c r="L89">
        <v>797.1</v>
      </c>
      <c r="M89">
        <v>0.05</v>
      </c>
      <c r="N89">
        <v>4543.47</v>
      </c>
      <c r="O89">
        <v>3032.77</v>
      </c>
      <c r="P89">
        <v>1510.7</v>
      </c>
      <c r="Q89" t="s">
        <v>67</v>
      </c>
      <c r="R89">
        <v>0.33249916913724531</v>
      </c>
      <c r="S89">
        <v>2024</v>
      </c>
      <c r="T89" t="s">
        <v>32</v>
      </c>
      <c r="U89">
        <v>1</v>
      </c>
      <c r="V89" t="s">
        <v>33</v>
      </c>
    </row>
    <row r="90" spans="1:22" x14ac:dyDescent="0.3">
      <c r="A90" t="s">
        <v>337</v>
      </c>
      <c r="B90" s="1">
        <v>45314</v>
      </c>
      <c r="C90" t="s">
        <v>338</v>
      </c>
      <c r="D90" t="s">
        <v>339</v>
      </c>
      <c r="E90" t="s">
        <v>120</v>
      </c>
      <c r="F90" t="s">
        <v>121</v>
      </c>
      <c r="G90" t="s">
        <v>130</v>
      </c>
      <c r="H90" t="s">
        <v>64</v>
      </c>
      <c r="I90" t="s">
        <v>65</v>
      </c>
      <c r="J90" t="s">
        <v>232</v>
      </c>
      <c r="K90">
        <v>2</v>
      </c>
      <c r="L90">
        <v>3884.1</v>
      </c>
      <c r="M90">
        <v>0.15</v>
      </c>
      <c r="N90">
        <v>6602.97</v>
      </c>
      <c r="O90">
        <v>5060.3500000000004</v>
      </c>
      <c r="P90">
        <v>1542.62</v>
      </c>
      <c r="Q90" t="s">
        <v>31</v>
      </c>
      <c r="R90">
        <v>0.23362517170303659</v>
      </c>
      <c r="S90">
        <v>2024</v>
      </c>
      <c r="T90" t="s">
        <v>32</v>
      </c>
      <c r="U90">
        <v>1</v>
      </c>
      <c r="V90" t="s">
        <v>33</v>
      </c>
    </row>
    <row r="91" spans="1:22" x14ac:dyDescent="0.3">
      <c r="A91" t="s">
        <v>340</v>
      </c>
      <c r="B91" s="1">
        <v>45315</v>
      </c>
      <c r="C91" t="s">
        <v>341</v>
      </c>
      <c r="D91" t="s">
        <v>342</v>
      </c>
      <c r="E91" t="s">
        <v>61</v>
      </c>
      <c r="F91" t="s">
        <v>62</v>
      </c>
      <c r="G91" t="s">
        <v>228</v>
      </c>
      <c r="H91" t="s">
        <v>43</v>
      </c>
      <c r="I91" t="s">
        <v>51</v>
      </c>
      <c r="J91" t="s">
        <v>96</v>
      </c>
      <c r="K91">
        <v>1</v>
      </c>
      <c r="L91">
        <v>481.79</v>
      </c>
      <c r="M91">
        <v>0.1</v>
      </c>
      <c r="N91">
        <v>433.61</v>
      </c>
      <c r="O91">
        <v>212.55</v>
      </c>
      <c r="P91">
        <v>221.06</v>
      </c>
      <c r="Q91" t="s">
        <v>46</v>
      </c>
      <c r="R91">
        <v>0.50981296556813727</v>
      </c>
      <c r="S91">
        <v>2024</v>
      </c>
      <c r="T91" t="s">
        <v>32</v>
      </c>
      <c r="U91">
        <v>1</v>
      </c>
      <c r="V91" t="s">
        <v>33</v>
      </c>
    </row>
    <row r="92" spans="1:22" x14ac:dyDescent="0.3">
      <c r="A92" t="s">
        <v>343</v>
      </c>
      <c r="B92" s="1">
        <v>45315</v>
      </c>
      <c r="C92" t="s">
        <v>344</v>
      </c>
      <c r="D92" t="s">
        <v>304</v>
      </c>
      <c r="E92" t="s">
        <v>41</v>
      </c>
      <c r="F92" t="s">
        <v>42</v>
      </c>
      <c r="G92" t="s">
        <v>50</v>
      </c>
      <c r="H92" t="s">
        <v>28</v>
      </c>
      <c r="I92" t="s">
        <v>91</v>
      </c>
      <c r="J92" t="s">
        <v>126</v>
      </c>
      <c r="K92">
        <v>4</v>
      </c>
      <c r="L92">
        <v>1957.41</v>
      </c>
      <c r="M92">
        <v>0.1</v>
      </c>
      <c r="N92">
        <v>7046.68</v>
      </c>
      <c r="O92">
        <v>4363.7</v>
      </c>
      <c r="P92">
        <v>2682.98</v>
      </c>
      <c r="Q92" t="s">
        <v>53</v>
      </c>
      <c r="R92">
        <v>0.38074383965214831</v>
      </c>
      <c r="S92">
        <v>2024</v>
      </c>
      <c r="T92" t="s">
        <v>32</v>
      </c>
      <c r="U92">
        <v>1</v>
      </c>
      <c r="V92" t="s">
        <v>33</v>
      </c>
    </row>
    <row r="93" spans="1:22" x14ac:dyDescent="0.3">
      <c r="A93" t="s">
        <v>345</v>
      </c>
      <c r="B93" s="1">
        <v>45315</v>
      </c>
      <c r="C93" t="s">
        <v>346</v>
      </c>
      <c r="D93" t="s">
        <v>158</v>
      </c>
      <c r="E93" t="s">
        <v>25</v>
      </c>
      <c r="F93" t="s">
        <v>26</v>
      </c>
      <c r="G93" t="s">
        <v>260</v>
      </c>
      <c r="H93" t="s">
        <v>84</v>
      </c>
      <c r="I93" t="s">
        <v>138</v>
      </c>
      <c r="J93" t="s">
        <v>139</v>
      </c>
      <c r="K93">
        <v>1</v>
      </c>
      <c r="L93">
        <v>13515.03</v>
      </c>
      <c r="M93">
        <v>0</v>
      </c>
      <c r="N93">
        <v>13515.03</v>
      </c>
      <c r="O93">
        <v>9454.5499999999993</v>
      </c>
      <c r="P93">
        <v>4060.48</v>
      </c>
      <c r="Q93" t="s">
        <v>31</v>
      </c>
      <c r="R93">
        <v>0.30044180442070789</v>
      </c>
      <c r="S93">
        <v>2024</v>
      </c>
      <c r="T93" t="s">
        <v>32</v>
      </c>
      <c r="U93">
        <v>1</v>
      </c>
      <c r="V93" t="s">
        <v>33</v>
      </c>
    </row>
    <row r="94" spans="1:22" x14ac:dyDescent="0.3">
      <c r="A94" t="s">
        <v>347</v>
      </c>
      <c r="B94" s="1">
        <v>45316</v>
      </c>
      <c r="C94" t="s">
        <v>348</v>
      </c>
      <c r="D94" t="s">
        <v>349</v>
      </c>
      <c r="E94" t="s">
        <v>41</v>
      </c>
      <c r="F94" t="s">
        <v>42</v>
      </c>
      <c r="G94" t="s">
        <v>50</v>
      </c>
      <c r="H94" t="s">
        <v>28</v>
      </c>
      <c r="I94" t="s">
        <v>91</v>
      </c>
      <c r="J94" t="s">
        <v>92</v>
      </c>
      <c r="K94">
        <v>3</v>
      </c>
      <c r="L94">
        <v>3117.45</v>
      </c>
      <c r="M94">
        <v>0.2</v>
      </c>
      <c r="N94">
        <v>7481.88</v>
      </c>
      <c r="O94">
        <v>4776.54</v>
      </c>
      <c r="P94">
        <v>2705.34</v>
      </c>
      <c r="Q94" t="s">
        <v>67</v>
      </c>
      <c r="R94">
        <v>0.36158559078734231</v>
      </c>
      <c r="S94">
        <v>2024</v>
      </c>
      <c r="T94" t="s">
        <v>32</v>
      </c>
      <c r="U94">
        <v>1</v>
      </c>
      <c r="V94" t="s">
        <v>33</v>
      </c>
    </row>
    <row r="95" spans="1:22" x14ac:dyDescent="0.3">
      <c r="A95" t="s">
        <v>350</v>
      </c>
      <c r="B95" s="1">
        <v>45316</v>
      </c>
      <c r="C95" t="s">
        <v>351</v>
      </c>
      <c r="D95" t="s">
        <v>154</v>
      </c>
      <c r="E95" t="s">
        <v>120</v>
      </c>
      <c r="F95" t="s">
        <v>121</v>
      </c>
      <c r="G95" t="s">
        <v>224</v>
      </c>
      <c r="H95" t="s">
        <v>28</v>
      </c>
      <c r="I95" t="s">
        <v>29</v>
      </c>
      <c r="J95" t="s">
        <v>57</v>
      </c>
      <c r="K95">
        <v>5</v>
      </c>
      <c r="L95">
        <v>16217.76</v>
      </c>
      <c r="M95">
        <v>0.1</v>
      </c>
      <c r="N95">
        <v>72979.92</v>
      </c>
      <c r="O95">
        <v>62698.19</v>
      </c>
      <c r="P95">
        <v>10281.73</v>
      </c>
      <c r="Q95" t="s">
        <v>46</v>
      </c>
      <c r="R95">
        <v>0.14088436928952511</v>
      </c>
      <c r="S95">
        <v>2024</v>
      </c>
      <c r="T95" t="s">
        <v>32</v>
      </c>
      <c r="U95">
        <v>1</v>
      </c>
      <c r="V95" t="s">
        <v>33</v>
      </c>
    </row>
    <row r="96" spans="1:22" x14ac:dyDescent="0.3">
      <c r="A96" t="s">
        <v>352</v>
      </c>
      <c r="B96" s="1">
        <v>45316</v>
      </c>
      <c r="C96" t="s">
        <v>353</v>
      </c>
      <c r="D96" t="s">
        <v>354</v>
      </c>
      <c r="E96" t="s">
        <v>61</v>
      </c>
      <c r="F96" t="s">
        <v>62</v>
      </c>
      <c r="G96" t="s">
        <v>228</v>
      </c>
      <c r="H96" t="s">
        <v>84</v>
      </c>
      <c r="I96" t="s">
        <v>138</v>
      </c>
      <c r="J96" t="s">
        <v>220</v>
      </c>
      <c r="K96">
        <v>1</v>
      </c>
      <c r="L96">
        <v>7345.07</v>
      </c>
      <c r="M96">
        <v>0</v>
      </c>
      <c r="N96">
        <v>7345.07</v>
      </c>
      <c r="O96">
        <v>4772.57</v>
      </c>
      <c r="P96">
        <v>2572.5</v>
      </c>
      <c r="Q96" t="s">
        <v>53</v>
      </c>
      <c r="R96">
        <v>0.35023491947660129</v>
      </c>
      <c r="S96">
        <v>2024</v>
      </c>
      <c r="T96" t="s">
        <v>32</v>
      </c>
      <c r="U96">
        <v>1</v>
      </c>
      <c r="V96" t="s">
        <v>33</v>
      </c>
    </row>
    <row r="97" spans="1:22" x14ac:dyDescent="0.3">
      <c r="A97" t="s">
        <v>355</v>
      </c>
      <c r="B97" s="1">
        <v>45316</v>
      </c>
      <c r="C97" t="s">
        <v>356</v>
      </c>
      <c r="D97" t="s">
        <v>357</v>
      </c>
      <c r="E97" t="s">
        <v>25</v>
      </c>
      <c r="F97" t="s">
        <v>26</v>
      </c>
      <c r="G97" t="s">
        <v>171</v>
      </c>
      <c r="H97" t="s">
        <v>64</v>
      </c>
      <c r="I97" t="s">
        <v>65</v>
      </c>
      <c r="J97" t="s">
        <v>232</v>
      </c>
      <c r="K97">
        <v>2</v>
      </c>
      <c r="L97">
        <v>4202.42</v>
      </c>
      <c r="M97">
        <v>0</v>
      </c>
      <c r="N97">
        <v>8404.84</v>
      </c>
      <c r="O97">
        <v>5270.29</v>
      </c>
      <c r="P97">
        <v>3134.55</v>
      </c>
      <c r="Q97" t="s">
        <v>53</v>
      </c>
      <c r="R97">
        <v>0.37294582645237739</v>
      </c>
      <c r="S97">
        <v>2024</v>
      </c>
      <c r="T97" t="s">
        <v>32</v>
      </c>
      <c r="U97">
        <v>1</v>
      </c>
      <c r="V97" t="s">
        <v>33</v>
      </c>
    </row>
    <row r="98" spans="1:22" x14ac:dyDescent="0.3">
      <c r="A98" t="s">
        <v>358</v>
      </c>
      <c r="B98" s="1">
        <v>45316</v>
      </c>
      <c r="C98" t="s">
        <v>359</v>
      </c>
      <c r="D98" t="s">
        <v>360</v>
      </c>
      <c r="E98" t="s">
        <v>61</v>
      </c>
      <c r="F98" t="s">
        <v>78</v>
      </c>
      <c r="G98" t="s">
        <v>83</v>
      </c>
      <c r="H98" t="s">
        <v>28</v>
      </c>
      <c r="I98" t="s">
        <v>29</v>
      </c>
      <c r="J98" t="s">
        <v>57</v>
      </c>
      <c r="K98">
        <v>2</v>
      </c>
      <c r="L98">
        <v>15739.41</v>
      </c>
      <c r="M98">
        <v>0.05</v>
      </c>
      <c r="N98">
        <v>29904.880000000001</v>
      </c>
      <c r="O98">
        <v>23938.44</v>
      </c>
      <c r="P98">
        <v>5966.44</v>
      </c>
      <c r="Q98" t="s">
        <v>31</v>
      </c>
      <c r="R98">
        <v>0.19951392548640889</v>
      </c>
      <c r="S98">
        <v>2024</v>
      </c>
      <c r="T98" t="s">
        <v>32</v>
      </c>
      <c r="U98">
        <v>1</v>
      </c>
      <c r="V98" t="s">
        <v>33</v>
      </c>
    </row>
    <row r="99" spans="1:22" x14ac:dyDescent="0.3">
      <c r="A99" t="s">
        <v>361</v>
      </c>
      <c r="B99" s="1">
        <v>45316</v>
      </c>
      <c r="C99" t="s">
        <v>362</v>
      </c>
      <c r="D99" t="s">
        <v>363</v>
      </c>
      <c r="E99" t="s">
        <v>25</v>
      </c>
      <c r="F99" t="s">
        <v>26</v>
      </c>
      <c r="G99" t="s">
        <v>260</v>
      </c>
      <c r="H99" t="s">
        <v>43</v>
      </c>
      <c r="I99" t="s">
        <v>44</v>
      </c>
      <c r="J99" t="s">
        <v>248</v>
      </c>
      <c r="K99">
        <v>4</v>
      </c>
      <c r="L99">
        <v>295.97000000000003</v>
      </c>
      <c r="M99">
        <v>0</v>
      </c>
      <c r="N99">
        <v>1183.8800000000001</v>
      </c>
      <c r="O99">
        <v>511.7</v>
      </c>
      <c r="P99">
        <v>672.18</v>
      </c>
      <c r="Q99" t="s">
        <v>53</v>
      </c>
      <c r="R99">
        <v>0.56777713957495679</v>
      </c>
      <c r="S99">
        <v>2024</v>
      </c>
      <c r="T99" t="s">
        <v>32</v>
      </c>
      <c r="U99">
        <v>1</v>
      </c>
      <c r="V99" t="s">
        <v>33</v>
      </c>
    </row>
    <row r="100" spans="1:22" x14ac:dyDescent="0.3">
      <c r="A100" t="s">
        <v>364</v>
      </c>
      <c r="B100" s="1">
        <v>45316</v>
      </c>
      <c r="C100" t="s">
        <v>365</v>
      </c>
      <c r="D100" t="s">
        <v>366</v>
      </c>
      <c r="E100" t="s">
        <v>61</v>
      </c>
      <c r="F100" t="s">
        <v>78</v>
      </c>
      <c r="G100" t="s">
        <v>79</v>
      </c>
      <c r="H100" t="s">
        <v>64</v>
      </c>
      <c r="I100" t="s">
        <v>108</v>
      </c>
      <c r="J100" t="s">
        <v>109</v>
      </c>
      <c r="K100">
        <v>1</v>
      </c>
      <c r="L100">
        <v>6961.14</v>
      </c>
      <c r="M100">
        <v>0.15</v>
      </c>
      <c r="N100">
        <v>5916.97</v>
      </c>
      <c r="O100">
        <v>4617.04</v>
      </c>
      <c r="P100">
        <v>1299.93</v>
      </c>
      <c r="Q100" t="s">
        <v>67</v>
      </c>
      <c r="R100">
        <v>0.2196952156255651</v>
      </c>
      <c r="S100">
        <v>2024</v>
      </c>
      <c r="T100" t="s">
        <v>32</v>
      </c>
      <c r="U100">
        <v>1</v>
      </c>
      <c r="V100" t="s">
        <v>33</v>
      </c>
    </row>
    <row r="101" spans="1:22" x14ac:dyDescent="0.3">
      <c r="A101" t="s">
        <v>367</v>
      </c>
      <c r="B101" s="1">
        <v>45316</v>
      </c>
      <c r="C101" t="s">
        <v>368</v>
      </c>
      <c r="D101" t="s">
        <v>369</v>
      </c>
      <c r="E101" t="s">
        <v>61</v>
      </c>
      <c r="F101" t="s">
        <v>78</v>
      </c>
      <c r="G101" t="s">
        <v>79</v>
      </c>
      <c r="H101" t="s">
        <v>28</v>
      </c>
      <c r="I101" t="s">
        <v>91</v>
      </c>
      <c r="J101" t="s">
        <v>126</v>
      </c>
      <c r="K101">
        <v>5</v>
      </c>
      <c r="L101">
        <v>2070.02</v>
      </c>
      <c r="M101">
        <v>0.15</v>
      </c>
      <c r="N101">
        <v>8797.59</v>
      </c>
      <c r="O101">
        <v>6151.55</v>
      </c>
      <c r="P101">
        <v>2646.04</v>
      </c>
      <c r="Q101" t="s">
        <v>31</v>
      </c>
      <c r="R101">
        <v>0.30076873325535741</v>
      </c>
      <c r="S101">
        <v>2024</v>
      </c>
      <c r="T101" t="s">
        <v>32</v>
      </c>
      <c r="U101">
        <v>1</v>
      </c>
      <c r="V101" t="s">
        <v>33</v>
      </c>
    </row>
    <row r="102" spans="1:22" x14ac:dyDescent="0.3">
      <c r="A102" t="s">
        <v>370</v>
      </c>
      <c r="B102" s="1">
        <v>45317</v>
      </c>
      <c r="C102" t="s">
        <v>181</v>
      </c>
      <c r="D102" t="s">
        <v>371</v>
      </c>
      <c r="E102" t="s">
        <v>120</v>
      </c>
      <c r="F102" t="s">
        <v>121</v>
      </c>
      <c r="G102" t="s">
        <v>122</v>
      </c>
      <c r="H102" t="s">
        <v>43</v>
      </c>
      <c r="I102" t="s">
        <v>44</v>
      </c>
      <c r="J102" t="s">
        <v>45</v>
      </c>
      <c r="K102">
        <v>3</v>
      </c>
      <c r="L102">
        <v>254.68</v>
      </c>
      <c r="M102">
        <v>0.1</v>
      </c>
      <c r="N102">
        <v>687.64</v>
      </c>
      <c r="O102">
        <v>290.25</v>
      </c>
      <c r="P102">
        <v>397.39</v>
      </c>
      <c r="Q102" t="s">
        <v>53</v>
      </c>
      <c r="R102">
        <v>0.57790413588505618</v>
      </c>
      <c r="S102">
        <v>2024</v>
      </c>
      <c r="T102" t="s">
        <v>32</v>
      </c>
      <c r="U102">
        <v>1</v>
      </c>
      <c r="V102" t="s">
        <v>33</v>
      </c>
    </row>
    <row r="103" spans="1:22" x14ac:dyDescent="0.3">
      <c r="A103" t="s">
        <v>372</v>
      </c>
      <c r="B103" s="1">
        <v>45317</v>
      </c>
      <c r="C103" t="s">
        <v>373</v>
      </c>
      <c r="D103" t="s">
        <v>374</v>
      </c>
      <c r="E103" t="s">
        <v>61</v>
      </c>
      <c r="F103" t="s">
        <v>71</v>
      </c>
      <c r="G103" t="s">
        <v>100</v>
      </c>
      <c r="H103" t="s">
        <v>43</v>
      </c>
      <c r="I103" t="s">
        <v>51</v>
      </c>
      <c r="J103" t="s">
        <v>96</v>
      </c>
      <c r="K103">
        <v>1</v>
      </c>
      <c r="L103">
        <v>518.62</v>
      </c>
      <c r="M103">
        <v>0.05</v>
      </c>
      <c r="N103">
        <v>492.69</v>
      </c>
      <c r="O103">
        <v>226.9</v>
      </c>
      <c r="P103">
        <v>265.79000000000002</v>
      </c>
      <c r="Q103" t="s">
        <v>31</v>
      </c>
      <c r="R103">
        <v>0.53946700765187039</v>
      </c>
      <c r="S103">
        <v>2024</v>
      </c>
      <c r="T103" t="s">
        <v>32</v>
      </c>
      <c r="U103">
        <v>1</v>
      </c>
      <c r="V103" t="s">
        <v>33</v>
      </c>
    </row>
    <row r="104" spans="1:22" x14ac:dyDescent="0.3">
      <c r="A104" t="s">
        <v>375</v>
      </c>
      <c r="B104" s="1">
        <v>45317</v>
      </c>
      <c r="C104" t="s">
        <v>98</v>
      </c>
      <c r="D104" t="s">
        <v>235</v>
      </c>
      <c r="E104" t="s">
        <v>61</v>
      </c>
      <c r="F104" t="s">
        <v>78</v>
      </c>
      <c r="G104" t="s">
        <v>104</v>
      </c>
      <c r="H104" t="s">
        <v>84</v>
      </c>
      <c r="I104" t="s">
        <v>138</v>
      </c>
      <c r="J104" t="s">
        <v>139</v>
      </c>
      <c r="K104">
        <v>2</v>
      </c>
      <c r="L104">
        <v>12655.79</v>
      </c>
      <c r="M104">
        <v>0.1</v>
      </c>
      <c r="N104">
        <v>22780.42</v>
      </c>
      <c r="O104">
        <v>18754.29</v>
      </c>
      <c r="P104">
        <v>4026.13</v>
      </c>
      <c r="Q104" t="s">
        <v>31</v>
      </c>
      <c r="R104">
        <v>0.17673642540392151</v>
      </c>
      <c r="S104">
        <v>2024</v>
      </c>
      <c r="T104" t="s">
        <v>32</v>
      </c>
      <c r="U104">
        <v>1</v>
      </c>
      <c r="V104" t="s">
        <v>33</v>
      </c>
    </row>
    <row r="105" spans="1:22" x14ac:dyDescent="0.3">
      <c r="A105" t="s">
        <v>376</v>
      </c>
      <c r="B105" s="1">
        <v>45317</v>
      </c>
      <c r="C105" t="s">
        <v>377</v>
      </c>
      <c r="D105" t="s">
        <v>241</v>
      </c>
      <c r="E105" t="s">
        <v>41</v>
      </c>
      <c r="F105" t="s">
        <v>42</v>
      </c>
      <c r="G105" t="s">
        <v>50</v>
      </c>
      <c r="H105" t="s">
        <v>28</v>
      </c>
      <c r="I105" t="s">
        <v>73</v>
      </c>
      <c r="J105" t="s">
        <v>74</v>
      </c>
      <c r="K105">
        <v>3</v>
      </c>
      <c r="L105">
        <v>2545.91</v>
      </c>
      <c r="M105">
        <v>0.05</v>
      </c>
      <c r="N105">
        <v>7255.84</v>
      </c>
      <c r="O105">
        <v>4284.74</v>
      </c>
      <c r="P105">
        <v>2971.1</v>
      </c>
      <c r="Q105" t="s">
        <v>31</v>
      </c>
      <c r="R105">
        <v>0.40947705572338972</v>
      </c>
      <c r="S105">
        <v>2024</v>
      </c>
      <c r="T105" t="s">
        <v>32</v>
      </c>
      <c r="U105">
        <v>1</v>
      </c>
      <c r="V105" t="s">
        <v>33</v>
      </c>
    </row>
    <row r="106" spans="1:22" x14ac:dyDescent="0.3">
      <c r="A106" t="s">
        <v>378</v>
      </c>
      <c r="B106" s="1">
        <v>45317</v>
      </c>
      <c r="C106" t="s">
        <v>379</v>
      </c>
      <c r="D106" t="s">
        <v>380</v>
      </c>
      <c r="E106" t="s">
        <v>61</v>
      </c>
      <c r="F106" t="s">
        <v>71</v>
      </c>
      <c r="G106" t="s">
        <v>72</v>
      </c>
      <c r="H106" t="s">
        <v>28</v>
      </c>
      <c r="I106" t="s">
        <v>91</v>
      </c>
      <c r="J106" t="s">
        <v>92</v>
      </c>
      <c r="K106">
        <v>1</v>
      </c>
      <c r="L106">
        <v>2830.91</v>
      </c>
      <c r="M106">
        <v>0.1</v>
      </c>
      <c r="N106">
        <v>2547.8200000000002</v>
      </c>
      <c r="O106">
        <v>1439.72</v>
      </c>
      <c r="P106">
        <v>1108.0999999999999</v>
      </c>
      <c r="Q106" t="s">
        <v>31</v>
      </c>
      <c r="R106">
        <v>0.43492083428185663</v>
      </c>
      <c r="S106">
        <v>2024</v>
      </c>
      <c r="T106" t="s">
        <v>32</v>
      </c>
      <c r="U106">
        <v>1</v>
      </c>
      <c r="V106" t="s">
        <v>33</v>
      </c>
    </row>
    <row r="107" spans="1:22" x14ac:dyDescent="0.3">
      <c r="A107" t="s">
        <v>381</v>
      </c>
      <c r="B107" s="1">
        <v>45318</v>
      </c>
      <c r="C107" t="s">
        <v>362</v>
      </c>
      <c r="D107" t="s">
        <v>382</v>
      </c>
      <c r="E107" t="s">
        <v>61</v>
      </c>
      <c r="F107" t="s">
        <v>62</v>
      </c>
      <c r="G107" t="s">
        <v>228</v>
      </c>
      <c r="H107" t="s">
        <v>84</v>
      </c>
      <c r="I107" t="s">
        <v>138</v>
      </c>
      <c r="J107" t="s">
        <v>139</v>
      </c>
      <c r="K107">
        <v>4</v>
      </c>
      <c r="L107">
        <v>13699.57</v>
      </c>
      <c r="M107">
        <v>0.1</v>
      </c>
      <c r="N107">
        <v>49318.45</v>
      </c>
      <c r="O107">
        <v>39465.51</v>
      </c>
      <c r="P107">
        <v>9852.94</v>
      </c>
      <c r="Q107" t="s">
        <v>31</v>
      </c>
      <c r="R107">
        <v>0.19978202883505061</v>
      </c>
      <c r="S107">
        <v>2024</v>
      </c>
      <c r="T107" t="s">
        <v>32</v>
      </c>
      <c r="U107">
        <v>1</v>
      </c>
      <c r="V107" t="s">
        <v>33</v>
      </c>
    </row>
    <row r="108" spans="1:22" x14ac:dyDescent="0.3">
      <c r="A108" t="s">
        <v>383</v>
      </c>
      <c r="B108" s="1">
        <v>45318</v>
      </c>
      <c r="C108" t="s">
        <v>384</v>
      </c>
      <c r="D108" t="s">
        <v>385</v>
      </c>
      <c r="E108" t="s">
        <v>120</v>
      </c>
      <c r="F108" t="s">
        <v>121</v>
      </c>
      <c r="G108" t="s">
        <v>130</v>
      </c>
      <c r="H108" t="s">
        <v>28</v>
      </c>
      <c r="I108" t="s">
        <v>29</v>
      </c>
      <c r="J108" t="s">
        <v>30</v>
      </c>
      <c r="K108">
        <v>2</v>
      </c>
      <c r="L108">
        <v>55967.86</v>
      </c>
      <c r="M108">
        <v>0.1</v>
      </c>
      <c r="N108">
        <v>100742.15</v>
      </c>
      <c r="O108">
        <v>97628.46</v>
      </c>
      <c r="P108">
        <v>3113.69</v>
      </c>
      <c r="Q108" t="s">
        <v>46</v>
      </c>
      <c r="R108">
        <v>3.0907519841496339E-2</v>
      </c>
      <c r="S108">
        <v>2024</v>
      </c>
      <c r="T108" t="s">
        <v>32</v>
      </c>
      <c r="U108">
        <v>1</v>
      </c>
      <c r="V108" t="s">
        <v>33</v>
      </c>
    </row>
    <row r="109" spans="1:22" x14ac:dyDescent="0.3">
      <c r="A109" t="s">
        <v>386</v>
      </c>
      <c r="B109" s="1">
        <v>45318</v>
      </c>
      <c r="C109" t="s">
        <v>387</v>
      </c>
      <c r="D109" t="s">
        <v>310</v>
      </c>
      <c r="E109" t="s">
        <v>120</v>
      </c>
      <c r="F109" t="s">
        <v>121</v>
      </c>
      <c r="G109" t="s">
        <v>224</v>
      </c>
      <c r="H109" t="s">
        <v>84</v>
      </c>
      <c r="I109" t="s">
        <v>138</v>
      </c>
      <c r="J109" t="s">
        <v>220</v>
      </c>
      <c r="K109">
        <v>3</v>
      </c>
      <c r="L109">
        <v>7927.95</v>
      </c>
      <c r="M109">
        <v>0.15</v>
      </c>
      <c r="N109">
        <v>20216.27</v>
      </c>
      <c r="O109">
        <v>15645.18</v>
      </c>
      <c r="P109">
        <v>4571.09</v>
      </c>
      <c r="Q109" t="s">
        <v>31</v>
      </c>
      <c r="R109">
        <v>0.22610946529701079</v>
      </c>
      <c r="S109">
        <v>2024</v>
      </c>
      <c r="T109" t="s">
        <v>32</v>
      </c>
      <c r="U109">
        <v>1</v>
      </c>
      <c r="V109" t="s">
        <v>33</v>
      </c>
    </row>
    <row r="110" spans="1:22" x14ac:dyDescent="0.3">
      <c r="A110" t="s">
        <v>388</v>
      </c>
      <c r="B110" s="1">
        <v>45318</v>
      </c>
      <c r="C110" t="s">
        <v>389</v>
      </c>
      <c r="D110" t="s">
        <v>390</v>
      </c>
      <c r="E110" t="s">
        <v>61</v>
      </c>
      <c r="F110" t="s">
        <v>62</v>
      </c>
      <c r="G110" t="s">
        <v>228</v>
      </c>
      <c r="H110" t="s">
        <v>43</v>
      </c>
      <c r="I110" t="s">
        <v>44</v>
      </c>
      <c r="J110" t="s">
        <v>45</v>
      </c>
      <c r="K110">
        <v>2</v>
      </c>
      <c r="L110">
        <v>235.26</v>
      </c>
      <c r="M110">
        <v>0.05</v>
      </c>
      <c r="N110">
        <v>446.99</v>
      </c>
      <c r="O110">
        <v>184.78</v>
      </c>
      <c r="P110">
        <v>262.20999999999998</v>
      </c>
      <c r="Q110" t="s">
        <v>31</v>
      </c>
      <c r="R110">
        <v>0.58661267589878963</v>
      </c>
      <c r="S110">
        <v>2024</v>
      </c>
      <c r="T110" t="s">
        <v>32</v>
      </c>
      <c r="U110">
        <v>1</v>
      </c>
      <c r="V110" t="s">
        <v>33</v>
      </c>
    </row>
    <row r="111" spans="1:22" x14ac:dyDescent="0.3">
      <c r="A111" t="s">
        <v>391</v>
      </c>
      <c r="B111" s="1">
        <v>45319</v>
      </c>
      <c r="C111" t="s">
        <v>392</v>
      </c>
      <c r="D111" t="s">
        <v>393</v>
      </c>
      <c r="E111" t="s">
        <v>25</v>
      </c>
      <c r="F111" t="s">
        <v>26</v>
      </c>
      <c r="G111" t="s">
        <v>260</v>
      </c>
      <c r="H111" t="s">
        <v>28</v>
      </c>
      <c r="I111" t="s">
        <v>29</v>
      </c>
      <c r="J111" t="s">
        <v>30</v>
      </c>
      <c r="K111">
        <v>2</v>
      </c>
      <c r="L111">
        <v>59882.98</v>
      </c>
      <c r="M111">
        <v>0.1</v>
      </c>
      <c r="N111">
        <v>107789.36</v>
      </c>
      <c r="O111">
        <v>107342.57</v>
      </c>
      <c r="P111">
        <v>446.79</v>
      </c>
      <c r="Q111" t="s">
        <v>53</v>
      </c>
      <c r="R111">
        <v>4.145028785772548E-3</v>
      </c>
      <c r="S111">
        <v>2024</v>
      </c>
      <c r="T111" t="s">
        <v>32</v>
      </c>
      <c r="U111">
        <v>1</v>
      </c>
      <c r="V111" t="s">
        <v>33</v>
      </c>
    </row>
    <row r="112" spans="1:22" x14ac:dyDescent="0.3">
      <c r="A112" t="s">
        <v>394</v>
      </c>
      <c r="B112" s="1">
        <v>45319</v>
      </c>
      <c r="C112" t="s">
        <v>395</v>
      </c>
      <c r="D112" t="s">
        <v>316</v>
      </c>
      <c r="E112" t="s">
        <v>61</v>
      </c>
      <c r="F112" t="s">
        <v>78</v>
      </c>
      <c r="G112" t="s">
        <v>83</v>
      </c>
      <c r="H112" t="s">
        <v>64</v>
      </c>
      <c r="I112" t="s">
        <v>108</v>
      </c>
      <c r="J112" t="s">
        <v>109</v>
      </c>
      <c r="K112">
        <v>3</v>
      </c>
      <c r="L112">
        <v>7275.95</v>
      </c>
      <c r="M112">
        <v>0.05</v>
      </c>
      <c r="N112">
        <v>20736.46</v>
      </c>
      <c r="O112">
        <v>14021.01</v>
      </c>
      <c r="P112">
        <v>6715.45</v>
      </c>
      <c r="Q112" t="s">
        <v>53</v>
      </c>
      <c r="R112">
        <v>0.32384746480353932</v>
      </c>
      <c r="S112">
        <v>2024</v>
      </c>
      <c r="T112" t="s">
        <v>32</v>
      </c>
      <c r="U112">
        <v>1</v>
      </c>
      <c r="V112" t="s">
        <v>33</v>
      </c>
    </row>
    <row r="113" spans="1:22" x14ac:dyDescent="0.3">
      <c r="A113" t="s">
        <v>396</v>
      </c>
      <c r="B113" s="1">
        <v>45319</v>
      </c>
      <c r="C113" t="s">
        <v>397</v>
      </c>
      <c r="D113" t="s">
        <v>398</v>
      </c>
      <c r="E113" t="s">
        <v>61</v>
      </c>
      <c r="F113" t="s">
        <v>78</v>
      </c>
      <c r="G113" t="s">
        <v>83</v>
      </c>
      <c r="H113" t="s">
        <v>43</v>
      </c>
      <c r="I113" t="s">
        <v>44</v>
      </c>
      <c r="J113" t="s">
        <v>248</v>
      </c>
      <c r="K113">
        <v>5</v>
      </c>
      <c r="L113">
        <v>285.62</v>
      </c>
      <c r="M113">
        <v>0.2</v>
      </c>
      <c r="N113">
        <v>1142.48</v>
      </c>
      <c r="O113">
        <v>608.71</v>
      </c>
      <c r="P113">
        <v>533.77</v>
      </c>
      <c r="Q113" t="s">
        <v>67</v>
      </c>
      <c r="R113">
        <v>0.46720292696589871</v>
      </c>
      <c r="S113">
        <v>2024</v>
      </c>
      <c r="T113" t="s">
        <v>32</v>
      </c>
      <c r="U113">
        <v>1</v>
      </c>
      <c r="V113" t="s">
        <v>33</v>
      </c>
    </row>
    <row r="114" spans="1:22" x14ac:dyDescent="0.3">
      <c r="A114" t="s">
        <v>399</v>
      </c>
      <c r="B114" s="1">
        <v>45320</v>
      </c>
      <c r="C114" t="s">
        <v>400</v>
      </c>
      <c r="D114" t="s">
        <v>357</v>
      </c>
      <c r="E114" t="s">
        <v>61</v>
      </c>
      <c r="F114" t="s">
        <v>71</v>
      </c>
      <c r="G114" t="s">
        <v>317</v>
      </c>
      <c r="H114" t="s">
        <v>43</v>
      </c>
      <c r="I114" t="s">
        <v>51</v>
      </c>
      <c r="J114" t="s">
        <v>96</v>
      </c>
      <c r="K114">
        <v>3</v>
      </c>
      <c r="L114">
        <v>501.55</v>
      </c>
      <c r="M114">
        <v>0</v>
      </c>
      <c r="N114">
        <v>1504.65</v>
      </c>
      <c r="O114">
        <v>690.74</v>
      </c>
      <c r="P114">
        <v>813.91</v>
      </c>
      <c r="Q114" t="s">
        <v>31</v>
      </c>
      <c r="R114">
        <v>0.54092978433522743</v>
      </c>
      <c r="S114">
        <v>2024</v>
      </c>
      <c r="T114" t="s">
        <v>32</v>
      </c>
      <c r="U114">
        <v>1</v>
      </c>
      <c r="V114" t="s">
        <v>33</v>
      </c>
    </row>
    <row r="115" spans="1:22" x14ac:dyDescent="0.3">
      <c r="A115" t="s">
        <v>401</v>
      </c>
      <c r="B115" s="1">
        <v>45320</v>
      </c>
      <c r="C115" t="s">
        <v>402</v>
      </c>
      <c r="D115" t="s">
        <v>403</v>
      </c>
      <c r="E115" t="s">
        <v>25</v>
      </c>
      <c r="F115" t="s">
        <v>26</v>
      </c>
      <c r="G115" t="s">
        <v>37</v>
      </c>
      <c r="H115" t="s">
        <v>43</v>
      </c>
      <c r="I115" t="s">
        <v>44</v>
      </c>
      <c r="J115" t="s">
        <v>248</v>
      </c>
      <c r="K115">
        <v>3</v>
      </c>
      <c r="L115">
        <v>304.58</v>
      </c>
      <c r="M115">
        <v>0.05</v>
      </c>
      <c r="N115">
        <v>868.05</v>
      </c>
      <c r="O115">
        <v>371.31</v>
      </c>
      <c r="P115">
        <v>496.74</v>
      </c>
      <c r="Q115" t="s">
        <v>113</v>
      </c>
      <c r="R115">
        <v>0.57224814238811128</v>
      </c>
      <c r="S115">
        <v>2024</v>
      </c>
      <c r="T115" t="s">
        <v>32</v>
      </c>
      <c r="U115">
        <v>1</v>
      </c>
      <c r="V115" t="s">
        <v>33</v>
      </c>
    </row>
    <row r="116" spans="1:22" x14ac:dyDescent="0.3">
      <c r="A116" t="s">
        <v>404</v>
      </c>
      <c r="B116" s="1">
        <v>45321</v>
      </c>
      <c r="C116" t="s">
        <v>405</v>
      </c>
      <c r="D116" t="s">
        <v>406</v>
      </c>
      <c r="E116" t="s">
        <v>25</v>
      </c>
      <c r="F116" t="s">
        <v>26</v>
      </c>
      <c r="G116" t="s">
        <v>37</v>
      </c>
      <c r="H116" t="s">
        <v>28</v>
      </c>
      <c r="I116" t="s">
        <v>91</v>
      </c>
      <c r="J116" t="s">
        <v>126</v>
      </c>
      <c r="K116">
        <v>3</v>
      </c>
      <c r="L116">
        <v>1983.66</v>
      </c>
      <c r="M116">
        <v>0.2</v>
      </c>
      <c r="N116">
        <v>4760.78</v>
      </c>
      <c r="O116">
        <v>3340.58</v>
      </c>
      <c r="P116">
        <v>1420.2</v>
      </c>
      <c r="Q116" t="s">
        <v>67</v>
      </c>
      <c r="R116">
        <v>0.29831246140338352</v>
      </c>
      <c r="S116">
        <v>2024</v>
      </c>
      <c r="T116" t="s">
        <v>32</v>
      </c>
      <c r="U116">
        <v>1</v>
      </c>
      <c r="V116" t="s">
        <v>33</v>
      </c>
    </row>
    <row r="117" spans="1:22" x14ac:dyDescent="0.3">
      <c r="A117" t="s">
        <v>407</v>
      </c>
      <c r="B117" s="1">
        <v>45322</v>
      </c>
      <c r="C117" t="s">
        <v>408</v>
      </c>
      <c r="D117" t="s">
        <v>235</v>
      </c>
      <c r="E117" t="s">
        <v>25</v>
      </c>
      <c r="F117" t="s">
        <v>26</v>
      </c>
      <c r="G117" t="s">
        <v>260</v>
      </c>
      <c r="H117" t="s">
        <v>43</v>
      </c>
      <c r="I117" t="s">
        <v>44</v>
      </c>
      <c r="J117" t="s">
        <v>45</v>
      </c>
      <c r="K117">
        <v>1</v>
      </c>
      <c r="L117">
        <v>253.04</v>
      </c>
      <c r="M117">
        <v>0.1</v>
      </c>
      <c r="N117">
        <v>227.74</v>
      </c>
      <c r="O117">
        <v>97.54</v>
      </c>
      <c r="P117">
        <v>130.19999999999999</v>
      </c>
      <c r="Q117" t="s">
        <v>53</v>
      </c>
      <c r="R117">
        <v>0.57170457539299191</v>
      </c>
      <c r="S117">
        <v>2024</v>
      </c>
      <c r="T117" t="s">
        <v>32</v>
      </c>
      <c r="U117">
        <v>1</v>
      </c>
      <c r="V117" t="s">
        <v>33</v>
      </c>
    </row>
    <row r="118" spans="1:22" x14ac:dyDescent="0.3">
      <c r="A118" t="s">
        <v>409</v>
      </c>
      <c r="B118" s="1">
        <v>45323</v>
      </c>
      <c r="C118" t="s">
        <v>410</v>
      </c>
      <c r="D118" t="s">
        <v>411</v>
      </c>
      <c r="E118" t="s">
        <v>41</v>
      </c>
      <c r="F118" t="s">
        <v>42</v>
      </c>
      <c r="G118" t="s">
        <v>50</v>
      </c>
      <c r="H118" t="s">
        <v>28</v>
      </c>
      <c r="I118" t="s">
        <v>91</v>
      </c>
      <c r="J118" t="s">
        <v>92</v>
      </c>
      <c r="K118">
        <v>1</v>
      </c>
      <c r="L118">
        <v>2968.03</v>
      </c>
      <c r="M118">
        <v>0.1</v>
      </c>
      <c r="N118">
        <v>2671.23</v>
      </c>
      <c r="O118">
        <v>1503.45</v>
      </c>
      <c r="P118">
        <v>1167.78</v>
      </c>
      <c r="Q118" t="s">
        <v>31</v>
      </c>
      <c r="R118">
        <v>0.43716939387473192</v>
      </c>
      <c r="S118">
        <v>2024</v>
      </c>
      <c r="T118" t="s">
        <v>412</v>
      </c>
      <c r="U118">
        <v>2</v>
      </c>
      <c r="V118" t="s">
        <v>33</v>
      </c>
    </row>
    <row r="119" spans="1:22" x14ac:dyDescent="0.3">
      <c r="A119" t="s">
        <v>413</v>
      </c>
      <c r="B119" s="1">
        <v>45323</v>
      </c>
      <c r="C119" t="s">
        <v>414</v>
      </c>
      <c r="D119" t="s">
        <v>415</v>
      </c>
      <c r="E119" t="s">
        <v>61</v>
      </c>
      <c r="F119" t="s">
        <v>62</v>
      </c>
      <c r="G119" t="s">
        <v>134</v>
      </c>
      <c r="H119" t="s">
        <v>64</v>
      </c>
      <c r="I119" t="s">
        <v>65</v>
      </c>
      <c r="J119" t="s">
        <v>232</v>
      </c>
      <c r="K119">
        <v>3</v>
      </c>
      <c r="L119">
        <v>3879.32</v>
      </c>
      <c r="M119">
        <v>0.1</v>
      </c>
      <c r="N119">
        <v>10474.16</v>
      </c>
      <c r="O119">
        <v>7304.21</v>
      </c>
      <c r="P119">
        <v>3169.95</v>
      </c>
      <c r="Q119" t="s">
        <v>31</v>
      </c>
      <c r="R119">
        <v>0.30264479442742898</v>
      </c>
      <c r="S119">
        <v>2024</v>
      </c>
      <c r="T119" t="s">
        <v>412</v>
      </c>
      <c r="U119">
        <v>2</v>
      </c>
      <c r="V119" t="s">
        <v>33</v>
      </c>
    </row>
    <row r="120" spans="1:22" x14ac:dyDescent="0.3">
      <c r="A120" t="s">
        <v>416</v>
      </c>
      <c r="B120" s="1">
        <v>45323</v>
      </c>
      <c r="C120" t="s">
        <v>417</v>
      </c>
      <c r="D120" t="s">
        <v>418</v>
      </c>
      <c r="E120" t="s">
        <v>61</v>
      </c>
      <c r="F120" t="s">
        <v>62</v>
      </c>
      <c r="G120" t="s">
        <v>134</v>
      </c>
      <c r="H120" t="s">
        <v>84</v>
      </c>
      <c r="I120" t="s">
        <v>85</v>
      </c>
      <c r="J120" t="s">
        <v>86</v>
      </c>
      <c r="K120">
        <v>4</v>
      </c>
      <c r="L120">
        <v>1899.01</v>
      </c>
      <c r="M120">
        <v>0.05</v>
      </c>
      <c r="N120">
        <v>7216.24</v>
      </c>
      <c r="O120">
        <v>3977.28</v>
      </c>
      <c r="P120">
        <v>3238.96</v>
      </c>
      <c r="Q120" t="s">
        <v>53</v>
      </c>
      <c r="R120">
        <v>0.44884316486147913</v>
      </c>
      <c r="S120">
        <v>2024</v>
      </c>
      <c r="T120" t="s">
        <v>412</v>
      </c>
      <c r="U120">
        <v>2</v>
      </c>
      <c r="V120" t="s">
        <v>33</v>
      </c>
    </row>
    <row r="121" spans="1:22" x14ac:dyDescent="0.3">
      <c r="A121" t="s">
        <v>419</v>
      </c>
      <c r="B121" s="1">
        <v>45323</v>
      </c>
      <c r="C121" t="s">
        <v>294</v>
      </c>
      <c r="D121" t="s">
        <v>273</v>
      </c>
      <c r="E121" t="s">
        <v>120</v>
      </c>
      <c r="F121" t="s">
        <v>121</v>
      </c>
      <c r="G121" t="s">
        <v>130</v>
      </c>
      <c r="H121" t="s">
        <v>84</v>
      </c>
      <c r="I121" t="s">
        <v>138</v>
      </c>
      <c r="J121" t="s">
        <v>139</v>
      </c>
      <c r="K121">
        <v>1</v>
      </c>
      <c r="L121">
        <v>12788.57</v>
      </c>
      <c r="M121">
        <v>0.05</v>
      </c>
      <c r="N121">
        <v>12149.14</v>
      </c>
      <c r="O121">
        <v>9240.64</v>
      </c>
      <c r="P121">
        <v>2908.5</v>
      </c>
      <c r="Q121" t="s">
        <v>53</v>
      </c>
      <c r="R121">
        <v>0.23939966121058781</v>
      </c>
      <c r="S121">
        <v>2024</v>
      </c>
      <c r="T121" t="s">
        <v>412</v>
      </c>
      <c r="U121">
        <v>2</v>
      </c>
      <c r="V121" t="s">
        <v>33</v>
      </c>
    </row>
    <row r="122" spans="1:22" x14ac:dyDescent="0.3">
      <c r="A122" t="s">
        <v>420</v>
      </c>
      <c r="B122" s="1">
        <v>45324</v>
      </c>
      <c r="C122" t="s">
        <v>421</v>
      </c>
      <c r="D122" t="s">
        <v>349</v>
      </c>
      <c r="E122" t="s">
        <v>41</v>
      </c>
      <c r="F122" t="s">
        <v>42</v>
      </c>
      <c r="G122" t="s">
        <v>42</v>
      </c>
      <c r="H122" t="s">
        <v>43</v>
      </c>
      <c r="I122" t="s">
        <v>44</v>
      </c>
      <c r="J122" t="s">
        <v>45</v>
      </c>
      <c r="K122">
        <v>3</v>
      </c>
      <c r="L122">
        <v>259.23</v>
      </c>
      <c r="M122">
        <v>0.15</v>
      </c>
      <c r="N122">
        <v>661.04</v>
      </c>
      <c r="O122">
        <v>304.25</v>
      </c>
      <c r="P122">
        <v>356.79</v>
      </c>
      <c r="Q122" t="s">
        <v>31</v>
      </c>
      <c r="R122">
        <v>0.53974040905240228</v>
      </c>
      <c r="S122">
        <v>2024</v>
      </c>
      <c r="T122" t="s">
        <v>412</v>
      </c>
      <c r="U122">
        <v>2</v>
      </c>
      <c r="V122" t="s">
        <v>33</v>
      </c>
    </row>
    <row r="123" spans="1:22" x14ac:dyDescent="0.3">
      <c r="A123" t="s">
        <v>422</v>
      </c>
      <c r="B123" s="1">
        <v>45324</v>
      </c>
      <c r="C123" t="s">
        <v>423</v>
      </c>
      <c r="D123" t="s">
        <v>424</v>
      </c>
      <c r="E123" t="s">
        <v>61</v>
      </c>
      <c r="F123" t="s">
        <v>62</v>
      </c>
      <c r="G123" t="s">
        <v>90</v>
      </c>
      <c r="H123" t="s">
        <v>84</v>
      </c>
      <c r="I123" t="s">
        <v>85</v>
      </c>
      <c r="J123" t="s">
        <v>86</v>
      </c>
      <c r="K123">
        <v>1</v>
      </c>
      <c r="L123">
        <v>1694.87</v>
      </c>
      <c r="M123">
        <v>0.1</v>
      </c>
      <c r="N123">
        <v>1525.38</v>
      </c>
      <c r="O123">
        <v>899.62</v>
      </c>
      <c r="P123">
        <v>625.76</v>
      </c>
      <c r="Q123" t="s">
        <v>31</v>
      </c>
      <c r="R123">
        <v>0.41023220443430491</v>
      </c>
      <c r="S123">
        <v>2024</v>
      </c>
      <c r="T123" t="s">
        <v>412</v>
      </c>
      <c r="U123">
        <v>2</v>
      </c>
      <c r="V123" t="s">
        <v>33</v>
      </c>
    </row>
    <row r="124" spans="1:22" x14ac:dyDescent="0.3">
      <c r="A124" t="s">
        <v>425</v>
      </c>
      <c r="B124" s="1">
        <v>45324</v>
      </c>
      <c r="C124" t="s">
        <v>426</v>
      </c>
      <c r="D124" t="s">
        <v>209</v>
      </c>
      <c r="E124" t="s">
        <v>25</v>
      </c>
      <c r="F124" t="s">
        <v>26</v>
      </c>
      <c r="G124" t="s">
        <v>171</v>
      </c>
      <c r="H124" t="s">
        <v>28</v>
      </c>
      <c r="I124" t="s">
        <v>91</v>
      </c>
      <c r="J124" t="s">
        <v>126</v>
      </c>
      <c r="K124">
        <v>1</v>
      </c>
      <c r="L124">
        <v>1987.46</v>
      </c>
      <c r="M124">
        <v>0</v>
      </c>
      <c r="N124">
        <v>1987.46</v>
      </c>
      <c r="O124">
        <v>1164.0999999999999</v>
      </c>
      <c r="P124">
        <v>823.36</v>
      </c>
      <c r="Q124" t="s">
        <v>53</v>
      </c>
      <c r="R124">
        <v>0.414277520050718</v>
      </c>
      <c r="S124">
        <v>2024</v>
      </c>
      <c r="T124" t="s">
        <v>412</v>
      </c>
      <c r="U124">
        <v>2</v>
      </c>
      <c r="V124" t="s">
        <v>33</v>
      </c>
    </row>
    <row r="125" spans="1:22" x14ac:dyDescent="0.3">
      <c r="A125" t="s">
        <v>427</v>
      </c>
      <c r="B125" s="1">
        <v>45324</v>
      </c>
      <c r="C125" t="s">
        <v>428</v>
      </c>
      <c r="D125" t="s">
        <v>235</v>
      </c>
      <c r="E125" t="s">
        <v>61</v>
      </c>
      <c r="F125" t="s">
        <v>62</v>
      </c>
      <c r="G125" t="s">
        <v>90</v>
      </c>
      <c r="H125" t="s">
        <v>64</v>
      </c>
      <c r="I125" t="s">
        <v>108</v>
      </c>
      <c r="J125" t="s">
        <v>155</v>
      </c>
      <c r="K125">
        <v>1</v>
      </c>
      <c r="L125">
        <v>8344.2000000000007</v>
      </c>
      <c r="M125">
        <v>0.1</v>
      </c>
      <c r="N125">
        <v>7509.78</v>
      </c>
      <c r="O125">
        <v>5557.45</v>
      </c>
      <c r="P125">
        <v>1952.33</v>
      </c>
      <c r="Q125" t="s">
        <v>31</v>
      </c>
      <c r="R125">
        <v>0.25997166361730972</v>
      </c>
      <c r="S125">
        <v>2024</v>
      </c>
      <c r="T125" t="s">
        <v>412</v>
      </c>
      <c r="U125">
        <v>2</v>
      </c>
      <c r="V125" t="s">
        <v>33</v>
      </c>
    </row>
    <row r="126" spans="1:22" x14ac:dyDescent="0.3">
      <c r="A126" t="s">
        <v>429</v>
      </c>
      <c r="B126" s="1">
        <v>45324</v>
      </c>
      <c r="C126" t="s">
        <v>59</v>
      </c>
      <c r="D126" t="s">
        <v>430</v>
      </c>
      <c r="E126" t="s">
        <v>61</v>
      </c>
      <c r="F126" t="s">
        <v>71</v>
      </c>
      <c r="G126" t="s">
        <v>72</v>
      </c>
      <c r="H126" t="s">
        <v>28</v>
      </c>
      <c r="I126" t="s">
        <v>29</v>
      </c>
      <c r="J126" t="s">
        <v>57</v>
      </c>
      <c r="K126">
        <v>5</v>
      </c>
      <c r="L126">
        <v>15251.38</v>
      </c>
      <c r="M126">
        <v>0.15</v>
      </c>
      <c r="N126">
        <v>64818.36</v>
      </c>
      <c r="O126">
        <v>59466.81</v>
      </c>
      <c r="P126">
        <v>5351.55</v>
      </c>
      <c r="Q126" t="s">
        <v>113</v>
      </c>
      <c r="R126">
        <v>8.2562255509087246E-2</v>
      </c>
      <c r="S126">
        <v>2024</v>
      </c>
      <c r="T126" t="s">
        <v>412</v>
      </c>
      <c r="U126">
        <v>2</v>
      </c>
      <c r="V126" t="s">
        <v>33</v>
      </c>
    </row>
    <row r="127" spans="1:22" x14ac:dyDescent="0.3">
      <c r="A127" t="s">
        <v>431</v>
      </c>
      <c r="B127" s="1">
        <v>45324</v>
      </c>
      <c r="C127" t="s">
        <v>432</v>
      </c>
      <c r="D127" t="s">
        <v>125</v>
      </c>
      <c r="E127" t="s">
        <v>61</v>
      </c>
      <c r="F127" t="s">
        <v>78</v>
      </c>
      <c r="G127" t="s">
        <v>104</v>
      </c>
      <c r="H127" t="s">
        <v>64</v>
      </c>
      <c r="I127" t="s">
        <v>108</v>
      </c>
      <c r="J127" t="s">
        <v>109</v>
      </c>
      <c r="K127">
        <v>4</v>
      </c>
      <c r="L127">
        <v>7165.52</v>
      </c>
      <c r="M127">
        <v>0</v>
      </c>
      <c r="N127">
        <v>28662.080000000002</v>
      </c>
      <c r="O127">
        <v>18155.400000000001</v>
      </c>
      <c r="P127">
        <v>10506.68</v>
      </c>
      <c r="Q127" t="s">
        <v>46</v>
      </c>
      <c r="R127">
        <v>0.3665707443423506</v>
      </c>
      <c r="S127">
        <v>2024</v>
      </c>
      <c r="T127" t="s">
        <v>412</v>
      </c>
      <c r="U127">
        <v>2</v>
      </c>
      <c r="V127" t="s">
        <v>33</v>
      </c>
    </row>
    <row r="128" spans="1:22" x14ac:dyDescent="0.3">
      <c r="A128" t="s">
        <v>433</v>
      </c>
      <c r="B128" s="1">
        <v>45325</v>
      </c>
      <c r="C128" t="s">
        <v>434</v>
      </c>
      <c r="D128" t="s">
        <v>310</v>
      </c>
      <c r="E128" t="s">
        <v>61</v>
      </c>
      <c r="F128" t="s">
        <v>62</v>
      </c>
      <c r="G128" t="s">
        <v>228</v>
      </c>
      <c r="H128" t="s">
        <v>64</v>
      </c>
      <c r="I128" t="s">
        <v>108</v>
      </c>
      <c r="J128" t="s">
        <v>155</v>
      </c>
      <c r="K128">
        <v>3</v>
      </c>
      <c r="L128">
        <v>8659.24</v>
      </c>
      <c r="M128">
        <v>0.1</v>
      </c>
      <c r="N128">
        <v>23379.95</v>
      </c>
      <c r="O128">
        <v>17314.830000000002</v>
      </c>
      <c r="P128">
        <v>6065.12</v>
      </c>
      <c r="Q128" t="s">
        <v>31</v>
      </c>
      <c r="R128">
        <v>0.25941543929734667</v>
      </c>
      <c r="S128">
        <v>2024</v>
      </c>
      <c r="T128" t="s">
        <v>412</v>
      </c>
      <c r="U128">
        <v>2</v>
      </c>
      <c r="V128" t="s">
        <v>33</v>
      </c>
    </row>
    <row r="129" spans="1:22" x14ac:dyDescent="0.3">
      <c r="A129" t="s">
        <v>435</v>
      </c>
      <c r="B129" s="1">
        <v>45325</v>
      </c>
      <c r="C129" t="s">
        <v>436</v>
      </c>
      <c r="D129" t="s">
        <v>437</v>
      </c>
      <c r="E129" t="s">
        <v>61</v>
      </c>
      <c r="F129" t="s">
        <v>78</v>
      </c>
      <c r="G129" t="s">
        <v>79</v>
      </c>
      <c r="H129" t="s">
        <v>43</v>
      </c>
      <c r="I129" t="s">
        <v>44</v>
      </c>
      <c r="J129" t="s">
        <v>45</v>
      </c>
      <c r="K129">
        <v>3</v>
      </c>
      <c r="L129">
        <v>258.27999999999997</v>
      </c>
      <c r="M129">
        <v>0.15</v>
      </c>
      <c r="N129">
        <v>658.61</v>
      </c>
      <c r="O129">
        <v>299.43</v>
      </c>
      <c r="P129">
        <v>359.18</v>
      </c>
      <c r="Q129" t="s">
        <v>53</v>
      </c>
      <c r="R129">
        <v>0.54536068386450254</v>
      </c>
      <c r="S129">
        <v>2024</v>
      </c>
      <c r="T129" t="s">
        <v>412</v>
      </c>
      <c r="U129">
        <v>2</v>
      </c>
      <c r="V129" t="s">
        <v>33</v>
      </c>
    </row>
    <row r="130" spans="1:22" x14ac:dyDescent="0.3">
      <c r="A130" t="s">
        <v>438</v>
      </c>
      <c r="B130" s="1">
        <v>45325</v>
      </c>
      <c r="C130" t="s">
        <v>439</v>
      </c>
      <c r="D130" t="s">
        <v>440</v>
      </c>
      <c r="E130" t="s">
        <v>61</v>
      </c>
      <c r="F130" t="s">
        <v>71</v>
      </c>
      <c r="G130" t="s">
        <v>317</v>
      </c>
      <c r="H130" t="s">
        <v>28</v>
      </c>
      <c r="I130" t="s">
        <v>91</v>
      </c>
      <c r="J130" t="s">
        <v>126</v>
      </c>
      <c r="K130">
        <v>2</v>
      </c>
      <c r="L130">
        <v>2035.59</v>
      </c>
      <c r="M130">
        <v>0.2</v>
      </c>
      <c r="N130">
        <v>3256.94</v>
      </c>
      <c r="O130">
        <v>2360.44</v>
      </c>
      <c r="P130">
        <v>896.5</v>
      </c>
      <c r="Q130" t="s">
        <v>31</v>
      </c>
      <c r="R130">
        <v>0.27525837135470721</v>
      </c>
      <c r="S130">
        <v>2024</v>
      </c>
      <c r="T130" t="s">
        <v>412</v>
      </c>
      <c r="U130">
        <v>2</v>
      </c>
      <c r="V130" t="s">
        <v>33</v>
      </c>
    </row>
    <row r="131" spans="1:22" x14ac:dyDescent="0.3">
      <c r="A131" t="s">
        <v>441</v>
      </c>
      <c r="B131" s="1">
        <v>45325</v>
      </c>
      <c r="C131" t="s">
        <v>417</v>
      </c>
      <c r="D131" t="s">
        <v>369</v>
      </c>
      <c r="E131" t="s">
        <v>61</v>
      </c>
      <c r="F131" t="s">
        <v>62</v>
      </c>
      <c r="G131" t="s">
        <v>228</v>
      </c>
      <c r="H131" t="s">
        <v>28</v>
      </c>
      <c r="I131" t="s">
        <v>73</v>
      </c>
      <c r="J131" t="s">
        <v>80</v>
      </c>
      <c r="K131">
        <v>1</v>
      </c>
      <c r="L131">
        <v>846.7</v>
      </c>
      <c r="M131">
        <v>0.15</v>
      </c>
      <c r="N131">
        <v>719.7</v>
      </c>
      <c r="O131">
        <v>524.42999999999995</v>
      </c>
      <c r="P131">
        <v>195.27</v>
      </c>
      <c r="Q131" t="s">
        <v>31</v>
      </c>
      <c r="R131">
        <v>0.27132138390996252</v>
      </c>
      <c r="S131">
        <v>2024</v>
      </c>
      <c r="T131" t="s">
        <v>412</v>
      </c>
      <c r="U131">
        <v>2</v>
      </c>
      <c r="V131" t="s">
        <v>33</v>
      </c>
    </row>
    <row r="132" spans="1:22" x14ac:dyDescent="0.3">
      <c r="A132" t="s">
        <v>442</v>
      </c>
      <c r="B132" s="1">
        <v>45325</v>
      </c>
      <c r="C132" t="s">
        <v>443</v>
      </c>
      <c r="D132" t="s">
        <v>444</v>
      </c>
      <c r="E132" t="s">
        <v>61</v>
      </c>
      <c r="F132" t="s">
        <v>71</v>
      </c>
      <c r="G132" t="s">
        <v>317</v>
      </c>
      <c r="H132" t="s">
        <v>43</v>
      </c>
      <c r="I132" t="s">
        <v>51</v>
      </c>
      <c r="J132" t="s">
        <v>52</v>
      </c>
      <c r="K132">
        <v>2</v>
      </c>
      <c r="L132">
        <v>666.25</v>
      </c>
      <c r="M132">
        <v>0.1</v>
      </c>
      <c r="N132">
        <v>1199.25</v>
      </c>
      <c r="O132">
        <v>614.03</v>
      </c>
      <c r="P132">
        <v>585.22</v>
      </c>
      <c r="Q132" t="s">
        <v>67</v>
      </c>
      <c r="R132">
        <v>0.48798832603710662</v>
      </c>
      <c r="S132">
        <v>2024</v>
      </c>
      <c r="T132" t="s">
        <v>412</v>
      </c>
      <c r="U132">
        <v>2</v>
      </c>
      <c r="V132" t="s">
        <v>33</v>
      </c>
    </row>
    <row r="133" spans="1:22" x14ac:dyDescent="0.3">
      <c r="A133" t="s">
        <v>445</v>
      </c>
      <c r="B133" s="1">
        <v>45326</v>
      </c>
      <c r="C133" t="s">
        <v>275</v>
      </c>
      <c r="D133" t="s">
        <v>446</v>
      </c>
      <c r="E133" t="s">
        <v>41</v>
      </c>
      <c r="F133" t="s">
        <v>42</v>
      </c>
      <c r="G133" t="s">
        <v>42</v>
      </c>
      <c r="H133" t="s">
        <v>64</v>
      </c>
      <c r="I133" t="s">
        <v>65</v>
      </c>
      <c r="J133" t="s">
        <v>232</v>
      </c>
      <c r="K133">
        <v>2</v>
      </c>
      <c r="L133">
        <v>3783.72</v>
      </c>
      <c r="M133">
        <v>0</v>
      </c>
      <c r="N133">
        <v>7567.44</v>
      </c>
      <c r="O133">
        <v>4806.07</v>
      </c>
      <c r="P133">
        <v>2761.37</v>
      </c>
      <c r="Q133" t="s">
        <v>31</v>
      </c>
      <c r="R133">
        <v>0.36490147262482431</v>
      </c>
      <c r="S133">
        <v>2024</v>
      </c>
      <c r="T133" t="s">
        <v>412</v>
      </c>
      <c r="U133">
        <v>2</v>
      </c>
      <c r="V133" t="s">
        <v>33</v>
      </c>
    </row>
    <row r="134" spans="1:22" x14ac:dyDescent="0.3">
      <c r="A134" t="s">
        <v>447</v>
      </c>
      <c r="B134" s="1">
        <v>45326</v>
      </c>
      <c r="C134" t="s">
        <v>448</v>
      </c>
      <c r="D134" t="s">
        <v>449</v>
      </c>
      <c r="E134" t="s">
        <v>120</v>
      </c>
      <c r="F134" t="s">
        <v>121</v>
      </c>
      <c r="G134" t="s">
        <v>122</v>
      </c>
      <c r="H134" t="s">
        <v>84</v>
      </c>
      <c r="I134" t="s">
        <v>138</v>
      </c>
      <c r="J134" t="s">
        <v>220</v>
      </c>
      <c r="K134">
        <v>2</v>
      </c>
      <c r="L134">
        <v>7256.17</v>
      </c>
      <c r="M134">
        <v>0</v>
      </c>
      <c r="N134">
        <v>14512.34</v>
      </c>
      <c r="O134">
        <v>9363.23</v>
      </c>
      <c r="P134">
        <v>5149.1099999999997</v>
      </c>
      <c r="Q134" t="s">
        <v>46</v>
      </c>
      <c r="R134">
        <v>0.35480907972112008</v>
      </c>
      <c r="S134">
        <v>2024</v>
      </c>
      <c r="T134" t="s">
        <v>412</v>
      </c>
      <c r="U134">
        <v>2</v>
      </c>
      <c r="V134" t="s">
        <v>33</v>
      </c>
    </row>
    <row r="135" spans="1:22" x14ac:dyDescent="0.3">
      <c r="A135" t="s">
        <v>450</v>
      </c>
      <c r="B135" s="1">
        <v>45326</v>
      </c>
      <c r="C135" t="s">
        <v>315</v>
      </c>
      <c r="D135" t="s">
        <v>451</v>
      </c>
      <c r="E135" t="s">
        <v>61</v>
      </c>
      <c r="F135" t="s">
        <v>78</v>
      </c>
      <c r="G135" t="s">
        <v>83</v>
      </c>
      <c r="H135" t="s">
        <v>84</v>
      </c>
      <c r="I135" t="s">
        <v>138</v>
      </c>
      <c r="J135" t="s">
        <v>220</v>
      </c>
      <c r="K135">
        <v>1</v>
      </c>
      <c r="L135">
        <v>7280.95</v>
      </c>
      <c r="M135">
        <v>0.05</v>
      </c>
      <c r="N135">
        <v>6916.9</v>
      </c>
      <c r="O135">
        <v>4607.6499999999996</v>
      </c>
      <c r="P135">
        <v>2309.25</v>
      </c>
      <c r="Q135" t="s">
        <v>67</v>
      </c>
      <c r="R135">
        <v>0.33385620726047799</v>
      </c>
      <c r="S135">
        <v>2024</v>
      </c>
      <c r="T135" t="s">
        <v>412</v>
      </c>
      <c r="U135">
        <v>2</v>
      </c>
      <c r="V135" t="s">
        <v>33</v>
      </c>
    </row>
    <row r="136" spans="1:22" x14ac:dyDescent="0.3">
      <c r="A136" t="s">
        <v>452</v>
      </c>
      <c r="B136" s="1">
        <v>45327</v>
      </c>
      <c r="C136" t="s">
        <v>453</v>
      </c>
      <c r="D136" t="s">
        <v>454</v>
      </c>
      <c r="E136" t="s">
        <v>61</v>
      </c>
      <c r="F136" t="s">
        <v>78</v>
      </c>
      <c r="G136" t="s">
        <v>83</v>
      </c>
      <c r="H136" t="s">
        <v>84</v>
      </c>
      <c r="I136" t="s">
        <v>138</v>
      </c>
      <c r="J136" t="s">
        <v>220</v>
      </c>
      <c r="K136">
        <v>1</v>
      </c>
      <c r="L136">
        <v>7493.13</v>
      </c>
      <c r="M136">
        <v>0.2</v>
      </c>
      <c r="N136">
        <v>5994.5</v>
      </c>
      <c r="O136">
        <v>4814.24</v>
      </c>
      <c r="P136">
        <v>1180.26</v>
      </c>
      <c r="Q136" t="s">
        <v>31</v>
      </c>
      <c r="R136">
        <v>0.19689048294269751</v>
      </c>
      <c r="S136">
        <v>2024</v>
      </c>
      <c r="T136" t="s">
        <v>412</v>
      </c>
      <c r="U136">
        <v>2</v>
      </c>
      <c r="V136" t="s">
        <v>33</v>
      </c>
    </row>
    <row r="137" spans="1:22" x14ac:dyDescent="0.3">
      <c r="A137" t="s">
        <v>455</v>
      </c>
      <c r="B137" s="1">
        <v>45327</v>
      </c>
      <c r="C137" t="s">
        <v>456</v>
      </c>
      <c r="D137" t="s">
        <v>457</v>
      </c>
      <c r="E137" t="s">
        <v>61</v>
      </c>
      <c r="F137" t="s">
        <v>78</v>
      </c>
      <c r="G137" t="s">
        <v>83</v>
      </c>
      <c r="H137" t="s">
        <v>64</v>
      </c>
      <c r="I137" t="s">
        <v>65</v>
      </c>
      <c r="J137" t="s">
        <v>66</v>
      </c>
      <c r="K137">
        <v>5</v>
      </c>
      <c r="L137">
        <v>4915.6000000000004</v>
      </c>
      <c r="M137">
        <v>0.05</v>
      </c>
      <c r="N137">
        <v>23349.1</v>
      </c>
      <c r="O137">
        <v>15303.84</v>
      </c>
      <c r="P137">
        <v>8045.26</v>
      </c>
      <c r="Q137" t="s">
        <v>31</v>
      </c>
      <c r="R137">
        <v>0.34456403030523658</v>
      </c>
      <c r="S137">
        <v>2024</v>
      </c>
      <c r="T137" t="s">
        <v>412</v>
      </c>
      <c r="U137">
        <v>2</v>
      </c>
      <c r="V137" t="s">
        <v>33</v>
      </c>
    </row>
    <row r="138" spans="1:22" x14ac:dyDescent="0.3">
      <c r="A138" t="s">
        <v>458</v>
      </c>
      <c r="B138" s="1">
        <v>45328</v>
      </c>
      <c r="C138" t="s">
        <v>459</v>
      </c>
      <c r="D138" t="s">
        <v>231</v>
      </c>
      <c r="E138" t="s">
        <v>120</v>
      </c>
      <c r="F138" t="s">
        <v>121</v>
      </c>
      <c r="G138" t="s">
        <v>224</v>
      </c>
      <c r="H138" t="s">
        <v>28</v>
      </c>
      <c r="I138" t="s">
        <v>29</v>
      </c>
      <c r="J138" t="s">
        <v>57</v>
      </c>
      <c r="K138">
        <v>2</v>
      </c>
      <c r="L138">
        <v>15533.18</v>
      </c>
      <c r="M138">
        <v>0.05</v>
      </c>
      <c r="N138">
        <v>29513.040000000001</v>
      </c>
      <c r="O138">
        <v>23304.76</v>
      </c>
      <c r="P138">
        <v>6208.28</v>
      </c>
      <c r="Q138" t="s">
        <v>53</v>
      </c>
      <c r="R138">
        <v>0.21035718448523091</v>
      </c>
      <c r="S138">
        <v>2024</v>
      </c>
      <c r="T138" t="s">
        <v>412</v>
      </c>
      <c r="U138">
        <v>2</v>
      </c>
      <c r="V138" t="s">
        <v>33</v>
      </c>
    </row>
    <row r="139" spans="1:22" x14ac:dyDescent="0.3">
      <c r="A139" t="s">
        <v>460</v>
      </c>
      <c r="B139" s="1">
        <v>45328</v>
      </c>
      <c r="C139" t="s">
        <v>461</v>
      </c>
      <c r="D139" t="s">
        <v>462</v>
      </c>
      <c r="E139" t="s">
        <v>41</v>
      </c>
      <c r="F139" t="s">
        <v>42</v>
      </c>
      <c r="G139" t="s">
        <v>50</v>
      </c>
      <c r="H139" t="s">
        <v>43</v>
      </c>
      <c r="I139" t="s">
        <v>44</v>
      </c>
      <c r="J139" t="s">
        <v>248</v>
      </c>
      <c r="K139">
        <v>2</v>
      </c>
      <c r="L139">
        <v>303.39999999999998</v>
      </c>
      <c r="M139">
        <v>0.15</v>
      </c>
      <c r="N139">
        <v>515.78</v>
      </c>
      <c r="O139">
        <v>259.97000000000003</v>
      </c>
      <c r="P139">
        <v>255.81</v>
      </c>
      <c r="Q139" t="s">
        <v>67</v>
      </c>
      <c r="R139">
        <v>0.49596727286827719</v>
      </c>
      <c r="S139">
        <v>2024</v>
      </c>
      <c r="T139" t="s">
        <v>412</v>
      </c>
      <c r="U139">
        <v>2</v>
      </c>
      <c r="V139" t="s">
        <v>33</v>
      </c>
    </row>
    <row r="140" spans="1:22" x14ac:dyDescent="0.3">
      <c r="A140" t="s">
        <v>463</v>
      </c>
      <c r="B140" s="1">
        <v>45328</v>
      </c>
      <c r="C140" t="s">
        <v>464</v>
      </c>
      <c r="D140" t="s">
        <v>465</v>
      </c>
      <c r="E140" t="s">
        <v>61</v>
      </c>
      <c r="F140" t="s">
        <v>62</v>
      </c>
      <c r="G140" t="s">
        <v>90</v>
      </c>
      <c r="H140" t="s">
        <v>43</v>
      </c>
      <c r="I140" t="s">
        <v>51</v>
      </c>
      <c r="J140" t="s">
        <v>52</v>
      </c>
      <c r="K140">
        <v>2</v>
      </c>
      <c r="L140">
        <v>662.9</v>
      </c>
      <c r="M140">
        <v>0.15</v>
      </c>
      <c r="N140">
        <v>1126.93</v>
      </c>
      <c r="O140">
        <v>614.91999999999996</v>
      </c>
      <c r="P140">
        <v>512.01</v>
      </c>
      <c r="Q140" t="s">
        <v>46</v>
      </c>
      <c r="R140">
        <v>0.4543405535392615</v>
      </c>
      <c r="S140">
        <v>2024</v>
      </c>
      <c r="T140" t="s">
        <v>412</v>
      </c>
      <c r="U140">
        <v>2</v>
      </c>
      <c r="V140" t="s">
        <v>33</v>
      </c>
    </row>
    <row r="141" spans="1:22" x14ac:dyDescent="0.3">
      <c r="A141" t="s">
        <v>466</v>
      </c>
      <c r="B141" s="1">
        <v>45328</v>
      </c>
      <c r="C141" t="s">
        <v>467</v>
      </c>
      <c r="D141" t="s">
        <v>468</v>
      </c>
      <c r="E141" t="s">
        <v>41</v>
      </c>
      <c r="F141" t="s">
        <v>42</v>
      </c>
      <c r="G141" t="s">
        <v>50</v>
      </c>
      <c r="H141" t="s">
        <v>84</v>
      </c>
      <c r="I141" t="s">
        <v>85</v>
      </c>
      <c r="J141" t="s">
        <v>145</v>
      </c>
      <c r="K141">
        <v>1</v>
      </c>
      <c r="L141">
        <v>3294.1</v>
      </c>
      <c r="M141">
        <v>0.05</v>
      </c>
      <c r="N141">
        <v>3129.39</v>
      </c>
      <c r="O141">
        <v>1843</v>
      </c>
      <c r="P141">
        <v>1286.3900000000001</v>
      </c>
      <c r="Q141" t="s">
        <v>53</v>
      </c>
      <c r="R141">
        <v>0.41106733261114792</v>
      </c>
      <c r="S141">
        <v>2024</v>
      </c>
      <c r="T141" t="s">
        <v>412</v>
      </c>
      <c r="U141">
        <v>2</v>
      </c>
      <c r="V141" t="s">
        <v>33</v>
      </c>
    </row>
    <row r="142" spans="1:22" x14ac:dyDescent="0.3">
      <c r="A142" t="s">
        <v>469</v>
      </c>
      <c r="B142" s="1">
        <v>45328</v>
      </c>
      <c r="C142" t="s">
        <v>470</v>
      </c>
      <c r="D142" t="s">
        <v>471</v>
      </c>
      <c r="E142" t="s">
        <v>61</v>
      </c>
      <c r="F142" t="s">
        <v>71</v>
      </c>
      <c r="G142" t="s">
        <v>72</v>
      </c>
      <c r="H142" t="s">
        <v>28</v>
      </c>
      <c r="I142" t="s">
        <v>73</v>
      </c>
      <c r="J142" t="s">
        <v>80</v>
      </c>
      <c r="K142">
        <v>1</v>
      </c>
      <c r="L142">
        <v>768.15</v>
      </c>
      <c r="M142">
        <v>0.05</v>
      </c>
      <c r="N142">
        <v>729.74</v>
      </c>
      <c r="O142">
        <v>457.97</v>
      </c>
      <c r="P142">
        <v>271.77</v>
      </c>
      <c r="Q142" t="s">
        <v>46</v>
      </c>
      <c r="R142">
        <v>0.37242031408446841</v>
      </c>
      <c r="S142">
        <v>2024</v>
      </c>
      <c r="T142" t="s">
        <v>412</v>
      </c>
      <c r="U142">
        <v>2</v>
      </c>
      <c r="V142" t="s">
        <v>33</v>
      </c>
    </row>
    <row r="143" spans="1:22" x14ac:dyDescent="0.3">
      <c r="A143" t="s">
        <v>472</v>
      </c>
      <c r="B143" s="1">
        <v>45328</v>
      </c>
      <c r="C143" t="s">
        <v>473</v>
      </c>
      <c r="D143" t="s">
        <v>474</v>
      </c>
      <c r="E143" t="s">
        <v>61</v>
      </c>
      <c r="F143" t="s">
        <v>78</v>
      </c>
      <c r="G143" t="s">
        <v>216</v>
      </c>
      <c r="H143" t="s">
        <v>64</v>
      </c>
      <c r="I143" t="s">
        <v>108</v>
      </c>
      <c r="J143" t="s">
        <v>155</v>
      </c>
      <c r="K143">
        <v>4</v>
      </c>
      <c r="L143">
        <v>8109.33</v>
      </c>
      <c r="M143">
        <v>0.05</v>
      </c>
      <c r="N143">
        <v>30815.45</v>
      </c>
      <c r="O143">
        <v>21800.05</v>
      </c>
      <c r="P143">
        <v>9015.4</v>
      </c>
      <c r="Q143" t="s">
        <v>31</v>
      </c>
      <c r="R143">
        <v>0.29256103675266792</v>
      </c>
      <c r="S143">
        <v>2024</v>
      </c>
      <c r="T143" t="s">
        <v>412</v>
      </c>
      <c r="U143">
        <v>2</v>
      </c>
      <c r="V143" t="s">
        <v>33</v>
      </c>
    </row>
    <row r="144" spans="1:22" x14ac:dyDescent="0.3">
      <c r="A144" t="s">
        <v>475</v>
      </c>
      <c r="B144" s="1">
        <v>45329</v>
      </c>
      <c r="C144" t="s">
        <v>476</v>
      </c>
      <c r="D144" t="s">
        <v>477</v>
      </c>
      <c r="E144" t="s">
        <v>61</v>
      </c>
      <c r="F144" t="s">
        <v>62</v>
      </c>
      <c r="G144" t="s">
        <v>228</v>
      </c>
      <c r="H144" t="s">
        <v>84</v>
      </c>
      <c r="I144" t="s">
        <v>85</v>
      </c>
      <c r="J144" t="s">
        <v>86</v>
      </c>
      <c r="K144">
        <v>5</v>
      </c>
      <c r="L144">
        <v>1793.61</v>
      </c>
      <c r="M144">
        <v>0</v>
      </c>
      <c r="N144">
        <v>8968.0499999999993</v>
      </c>
      <c r="O144">
        <v>4860.0600000000004</v>
      </c>
      <c r="P144">
        <v>4107.99</v>
      </c>
      <c r="Q144" t="s">
        <v>31</v>
      </c>
      <c r="R144">
        <v>0.4580694799872882</v>
      </c>
      <c r="S144">
        <v>2024</v>
      </c>
      <c r="T144" t="s">
        <v>412</v>
      </c>
      <c r="U144">
        <v>2</v>
      </c>
      <c r="V144" t="s">
        <v>33</v>
      </c>
    </row>
    <row r="145" spans="1:22" x14ac:dyDescent="0.3">
      <c r="A145" t="s">
        <v>478</v>
      </c>
      <c r="B145" s="1">
        <v>45329</v>
      </c>
      <c r="C145" t="s">
        <v>479</v>
      </c>
      <c r="D145" t="s">
        <v>406</v>
      </c>
      <c r="E145" t="s">
        <v>61</v>
      </c>
      <c r="F145" t="s">
        <v>71</v>
      </c>
      <c r="G145" t="s">
        <v>317</v>
      </c>
      <c r="H145" t="s">
        <v>28</v>
      </c>
      <c r="I145" t="s">
        <v>29</v>
      </c>
      <c r="J145" t="s">
        <v>57</v>
      </c>
      <c r="K145">
        <v>1</v>
      </c>
      <c r="L145">
        <v>15115.82</v>
      </c>
      <c r="M145">
        <v>0.1</v>
      </c>
      <c r="N145">
        <v>13604.24</v>
      </c>
      <c r="O145">
        <v>11590.4</v>
      </c>
      <c r="P145">
        <v>2013.84</v>
      </c>
      <c r="Q145" t="s">
        <v>113</v>
      </c>
      <c r="R145">
        <v>0.14803031995907159</v>
      </c>
      <c r="S145">
        <v>2024</v>
      </c>
      <c r="T145" t="s">
        <v>412</v>
      </c>
      <c r="U145">
        <v>2</v>
      </c>
      <c r="V145" t="s">
        <v>33</v>
      </c>
    </row>
    <row r="146" spans="1:22" x14ac:dyDescent="0.3">
      <c r="A146" t="s">
        <v>480</v>
      </c>
      <c r="B146" s="1">
        <v>45329</v>
      </c>
      <c r="C146" t="s">
        <v>481</v>
      </c>
      <c r="D146" t="s">
        <v>471</v>
      </c>
      <c r="E146" t="s">
        <v>41</v>
      </c>
      <c r="F146" t="s">
        <v>42</v>
      </c>
      <c r="G146" t="s">
        <v>42</v>
      </c>
      <c r="H146" t="s">
        <v>43</v>
      </c>
      <c r="I146" t="s">
        <v>44</v>
      </c>
      <c r="J146" t="s">
        <v>248</v>
      </c>
      <c r="K146">
        <v>5</v>
      </c>
      <c r="L146">
        <v>315.22000000000003</v>
      </c>
      <c r="M146">
        <v>0.1</v>
      </c>
      <c r="N146">
        <v>1418.49</v>
      </c>
      <c r="O146">
        <v>652.11</v>
      </c>
      <c r="P146">
        <v>766.38</v>
      </c>
      <c r="Q146" t="s">
        <v>31</v>
      </c>
      <c r="R146">
        <v>0.54027874711841462</v>
      </c>
      <c r="S146">
        <v>2024</v>
      </c>
      <c r="T146" t="s">
        <v>412</v>
      </c>
      <c r="U146">
        <v>2</v>
      </c>
      <c r="V146" t="s">
        <v>33</v>
      </c>
    </row>
    <row r="147" spans="1:22" x14ac:dyDescent="0.3">
      <c r="A147" t="s">
        <v>482</v>
      </c>
      <c r="B147" s="1">
        <v>45329</v>
      </c>
      <c r="C147" t="s">
        <v>483</v>
      </c>
      <c r="D147" t="s">
        <v>406</v>
      </c>
      <c r="E147" t="s">
        <v>61</v>
      </c>
      <c r="F147" t="s">
        <v>62</v>
      </c>
      <c r="G147" t="s">
        <v>134</v>
      </c>
      <c r="H147" t="s">
        <v>28</v>
      </c>
      <c r="I147" t="s">
        <v>91</v>
      </c>
      <c r="J147" t="s">
        <v>92</v>
      </c>
      <c r="K147">
        <v>2</v>
      </c>
      <c r="L147">
        <v>3042.8</v>
      </c>
      <c r="M147">
        <v>0</v>
      </c>
      <c r="N147">
        <v>6085.6</v>
      </c>
      <c r="O147">
        <v>3288.45</v>
      </c>
      <c r="P147">
        <v>2797.15</v>
      </c>
      <c r="Q147" t="s">
        <v>31</v>
      </c>
      <c r="R147">
        <v>0.4596342184829762</v>
      </c>
      <c r="S147">
        <v>2024</v>
      </c>
      <c r="T147" t="s">
        <v>412</v>
      </c>
      <c r="U147">
        <v>2</v>
      </c>
      <c r="V147" t="s">
        <v>33</v>
      </c>
    </row>
    <row r="148" spans="1:22" x14ac:dyDescent="0.3">
      <c r="A148" t="s">
        <v>484</v>
      </c>
      <c r="B148" s="1">
        <v>45330</v>
      </c>
      <c r="C148" t="s">
        <v>485</v>
      </c>
      <c r="D148" t="s">
        <v>326</v>
      </c>
      <c r="E148" t="s">
        <v>120</v>
      </c>
      <c r="F148" t="s">
        <v>121</v>
      </c>
      <c r="G148" t="s">
        <v>130</v>
      </c>
      <c r="H148" t="s">
        <v>28</v>
      </c>
      <c r="I148" t="s">
        <v>91</v>
      </c>
      <c r="J148" t="s">
        <v>92</v>
      </c>
      <c r="K148">
        <v>2</v>
      </c>
      <c r="L148">
        <v>2890.88</v>
      </c>
      <c r="M148">
        <v>0.05</v>
      </c>
      <c r="N148">
        <v>5492.67</v>
      </c>
      <c r="O148">
        <v>3043.79</v>
      </c>
      <c r="P148">
        <v>2448.88</v>
      </c>
      <c r="Q148" t="s">
        <v>53</v>
      </c>
      <c r="R148">
        <v>0.44584509901377661</v>
      </c>
      <c r="S148">
        <v>2024</v>
      </c>
      <c r="T148" t="s">
        <v>412</v>
      </c>
      <c r="U148">
        <v>2</v>
      </c>
      <c r="V148" t="s">
        <v>33</v>
      </c>
    </row>
    <row r="149" spans="1:22" x14ac:dyDescent="0.3">
      <c r="A149" t="s">
        <v>486</v>
      </c>
      <c r="B149" s="1">
        <v>45330</v>
      </c>
      <c r="C149" t="s">
        <v>487</v>
      </c>
      <c r="D149" t="s">
        <v>235</v>
      </c>
      <c r="E149" t="s">
        <v>61</v>
      </c>
      <c r="F149" t="s">
        <v>62</v>
      </c>
      <c r="G149" t="s">
        <v>90</v>
      </c>
      <c r="H149" t="s">
        <v>28</v>
      </c>
      <c r="I149" t="s">
        <v>73</v>
      </c>
      <c r="J149" t="s">
        <v>74</v>
      </c>
      <c r="K149">
        <v>6</v>
      </c>
      <c r="L149">
        <v>2546.34</v>
      </c>
      <c r="M149">
        <v>0.05</v>
      </c>
      <c r="N149">
        <v>14514.14</v>
      </c>
      <c r="O149">
        <v>8152.26</v>
      </c>
      <c r="P149">
        <v>6361.88</v>
      </c>
      <c r="Q149" t="s">
        <v>46</v>
      </c>
      <c r="R149">
        <v>0.43832290442285943</v>
      </c>
      <c r="S149">
        <v>2024</v>
      </c>
      <c r="T149" t="s">
        <v>412</v>
      </c>
      <c r="U149">
        <v>2</v>
      </c>
      <c r="V149" t="s">
        <v>33</v>
      </c>
    </row>
    <row r="150" spans="1:22" x14ac:dyDescent="0.3">
      <c r="A150" t="s">
        <v>488</v>
      </c>
      <c r="B150" s="1">
        <v>45330</v>
      </c>
      <c r="C150" t="s">
        <v>489</v>
      </c>
      <c r="D150" t="s">
        <v>490</v>
      </c>
      <c r="E150" t="s">
        <v>120</v>
      </c>
      <c r="F150" t="s">
        <v>121</v>
      </c>
      <c r="G150" t="s">
        <v>224</v>
      </c>
      <c r="H150" t="s">
        <v>84</v>
      </c>
      <c r="I150" t="s">
        <v>85</v>
      </c>
      <c r="J150" t="s">
        <v>86</v>
      </c>
      <c r="K150">
        <v>3</v>
      </c>
      <c r="L150">
        <v>1757.8</v>
      </c>
      <c r="M150">
        <v>0.2</v>
      </c>
      <c r="N150">
        <v>4218.72</v>
      </c>
      <c r="O150">
        <v>2941.6</v>
      </c>
      <c r="P150">
        <v>1277.1199999999999</v>
      </c>
      <c r="Q150" t="s">
        <v>67</v>
      </c>
      <c r="R150">
        <v>0.30272689346531639</v>
      </c>
      <c r="S150">
        <v>2024</v>
      </c>
      <c r="T150" t="s">
        <v>412</v>
      </c>
      <c r="U150">
        <v>2</v>
      </c>
      <c r="V150" t="s">
        <v>33</v>
      </c>
    </row>
    <row r="151" spans="1:22" x14ac:dyDescent="0.3">
      <c r="A151" t="s">
        <v>491</v>
      </c>
      <c r="B151" s="1">
        <v>45330</v>
      </c>
      <c r="C151" t="s">
        <v>492</v>
      </c>
      <c r="D151" t="s">
        <v>380</v>
      </c>
      <c r="E151" t="s">
        <v>41</v>
      </c>
      <c r="F151" t="s">
        <v>42</v>
      </c>
      <c r="G151" t="s">
        <v>42</v>
      </c>
      <c r="H151" t="s">
        <v>28</v>
      </c>
      <c r="I151" t="s">
        <v>29</v>
      </c>
      <c r="J151" t="s">
        <v>57</v>
      </c>
      <c r="K151">
        <v>1</v>
      </c>
      <c r="L151">
        <v>16165.26</v>
      </c>
      <c r="M151">
        <v>0.05</v>
      </c>
      <c r="N151">
        <v>15357</v>
      </c>
      <c r="O151">
        <v>11761.16</v>
      </c>
      <c r="P151">
        <v>3595.84</v>
      </c>
      <c r="Q151" t="s">
        <v>31</v>
      </c>
      <c r="R151">
        <v>0.23414989906882849</v>
      </c>
      <c r="S151">
        <v>2024</v>
      </c>
      <c r="T151" t="s">
        <v>412</v>
      </c>
      <c r="U151">
        <v>2</v>
      </c>
      <c r="V151" t="s">
        <v>33</v>
      </c>
    </row>
    <row r="152" spans="1:22" x14ac:dyDescent="0.3">
      <c r="A152" t="s">
        <v>493</v>
      </c>
      <c r="B152" s="1">
        <v>45330</v>
      </c>
      <c r="C152" t="s">
        <v>59</v>
      </c>
      <c r="D152" t="s">
        <v>494</v>
      </c>
      <c r="E152" t="s">
        <v>120</v>
      </c>
      <c r="F152" t="s">
        <v>121</v>
      </c>
      <c r="G152" t="s">
        <v>224</v>
      </c>
      <c r="H152" t="s">
        <v>64</v>
      </c>
      <c r="I152" t="s">
        <v>108</v>
      </c>
      <c r="J152" t="s">
        <v>109</v>
      </c>
      <c r="K152">
        <v>1</v>
      </c>
      <c r="L152">
        <v>7379.15</v>
      </c>
      <c r="M152">
        <v>0</v>
      </c>
      <c r="N152">
        <v>7379.15</v>
      </c>
      <c r="O152">
        <v>4792.1899999999996</v>
      </c>
      <c r="P152">
        <v>2586.96</v>
      </c>
      <c r="Q152" t="s">
        <v>113</v>
      </c>
      <c r="R152">
        <v>0.35057696347140249</v>
      </c>
      <c r="S152">
        <v>2024</v>
      </c>
      <c r="T152" t="s">
        <v>412</v>
      </c>
      <c r="U152">
        <v>2</v>
      </c>
      <c r="V152" t="s">
        <v>33</v>
      </c>
    </row>
    <row r="153" spans="1:22" x14ac:dyDescent="0.3">
      <c r="A153" t="s">
        <v>495</v>
      </c>
      <c r="B153" s="1">
        <v>45330</v>
      </c>
      <c r="C153" t="s">
        <v>496</v>
      </c>
      <c r="D153" t="s">
        <v>497</v>
      </c>
      <c r="E153" t="s">
        <v>61</v>
      </c>
      <c r="F153" t="s">
        <v>71</v>
      </c>
      <c r="G153" t="s">
        <v>100</v>
      </c>
      <c r="H153" t="s">
        <v>28</v>
      </c>
      <c r="I153" t="s">
        <v>29</v>
      </c>
      <c r="J153" t="s">
        <v>57</v>
      </c>
      <c r="K153">
        <v>1</v>
      </c>
      <c r="L153">
        <v>16851.39</v>
      </c>
      <c r="M153">
        <v>0.05</v>
      </c>
      <c r="N153">
        <v>16008.82</v>
      </c>
      <c r="O153">
        <v>12363.32</v>
      </c>
      <c r="P153">
        <v>3645.5</v>
      </c>
      <c r="Q153" t="s">
        <v>46</v>
      </c>
      <c r="R153">
        <v>0.2277182203310425</v>
      </c>
      <c r="S153">
        <v>2024</v>
      </c>
      <c r="T153" t="s">
        <v>412</v>
      </c>
      <c r="U153">
        <v>2</v>
      </c>
      <c r="V153" t="s">
        <v>33</v>
      </c>
    </row>
    <row r="154" spans="1:22" x14ac:dyDescent="0.3">
      <c r="A154" t="s">
        <v>498</v>
      </c>
      <c r="B154" s="1">
        <v>45331</v>
      </c>
      <c r="C154" t="s">
        <v>163</v>
      </c>
      <c r="D154" t="s">
        <v>369</v>
      </c>
      <c r="E154" t="s">
        <v>41</v>
      </c>
      <c r="F154" t="s">
        <v>42</v>
      </c>
      <c r="G154" t="s">
        <v>42</v>
      </c>
      <c r="H154" t="s">
        <v>84</v>
      </c>
      <c r="I154" t="s">
        <v>138</v>
      </c>
      <c r="J154" t="s">
        <v>139</v>
      </c>
      <c r="K154">
        <v>2</v>
      </c>
      <c r="L154">
        <v>12697.68</v>
      </c>
      <c r="M154">
        <v>0.1</v>
      </c>
      <c r="N154">
        <v>22855.82</v>
      </c>
      <c r="O154">
        <v>18184.68</v>
      </c>
      <c r="P154">
        <v>4671.1400000000003</v>
      </c>
      <c r="Q154" t="s">
        <v>31</v>
      </c>
      <c r="R154">
        <v>0.20437420315700769</v>
      </c>
      <c r="S154">
        <v>2024</v>
      </c>
      <c r="T154" t="s">
        <v>412</v>
      </c>
      <c r="U154">
        <v>2</v>
      </c>
      <c r="V154" t="s">
        <v>33</v>
      </c>
    </row>
    <row r="155" spans="1:22" x14ac:dyDescent="0.3">
      <c r="A155" t="s">
        <v>499</v>
      </c>
      <c r="B155" s="1">
        <v>45331</v>
      </c>
      <c r="C155" t="s">
        <v>500</v>
      </c>
      <c r="D155" t="s">
        <v>444</v>
      </c>
      <c r="E155" t="s">
        <v>61</v>
      </c>
      <c r="F155" t="s">
        <v>71</v>
      </c>
      <c r="G155" t="s">
        <v>100</v>
      </c>
      <c r="H155" t="s">
        <v>28</v>
      </c>
      <c r="I155" t="s">
        <v>91</v>
      </c>
      <c r="J155" t="s">
        <v>92</v>
      </c>
      <c r="K155">
        <v>4</v>
      </c>
      <c r="L155">
        <v>2901.3</v>
      </c>
      <c r="M155">
        <v>0.15</v>
      </c>
      <c r="N155">
        <v>9864.42</v>
      </c>
      <c r="O155">
        <v>5811.5</v>
      </c>
      <c r="P155">
        <v>4052.92</v>
      </c>
      <c r="Q155" t="s">
        <v>67</v>
      </c>
      <c r="R155">
        <v>0.41086247341455451</v>
      </c>
      <c r="S155">
        <v>2024</v>
      </c>
      <c r="T155" t="s">
        <v>412</v>
      </c>
      <c r="U155">
        <v>2</v>
      </c>
      <c r="V155" t="s">
        <v>33</v>
      </c>
    </row>
    <row r="156" spans="1:22" x14ac:dyDescent="0.3">
      <c r="A156" t="s">
        <v>501</v>
      </c>
      <c r="B156" s="1">
        <v>45332</v>
      </c>
      <c r="C156" t="s">
        <v>502</v>
      </c>
      <c r="D156" t="s">
        <v>203</v>
      </c>
      <c r="E156" t="s">
        <v>41</v>
      </c>
      <c r="F156" t="s">
        <v>42</v>
      </c>
      <c r="G156" t="s">
        <v>42</v>
      </c>
      <c r="H156" t="s">
        <v>64</v>
      </c>
      <c r="I156" t="s">
        <v>108</v>
      </c>
      <c r="J156" t="s">
        <v>155</v>
      </c>
      <c r="K156">
        <v>4</v>
      </c>
      <c r="L156">
        <v>8450.7099999999991</v>
      </c>
      <c r="M156">
        <v>0.1</v>
      </c>
      <c r="N156">
        <v>30422.560000000001</v>
      </c>
      <c r="O156">
        <v>22839.759999999998</v>
      </c>
      <c r="P156">
        <v>7582.8</v>
      </c>
      <c r="Q156" t="s">
        <v>113</v>
      </c>
      <c r="R156">
        <v>0.24924924135247001</v>
      </c>
      <c r="S156">
        <v>2024</v>
      </c>
      <c r="T156" t="s">
        <v>412</v>
      </c>
      <c r="U156">
        <v>2</v>
      </c>
      <c r="V156" t="s">
        <v>33</v>
      </c>
    </row>
    <row r="157" spans="1:22" x14ac:dyDescent="0.3">
      <c r="A157" t="s">
        <v>503</v>
      </c>
      <c r="B157" s="1">
        <v>45332</v>
      </c>
      <c r="C157" t="s">
        <v>504</v>
      </c>
      <c r="D157" t="s">
        <v>490</v>
      </c>
      <c r="E157" t="s">
        <v>120</v>
      </c>
      <c r="F157" t="s">
        <v>121</v>
      </c>
      <c r="G157" t="s">
        <v>130</v>
      </c>
      <c r="H157" t="s">
        <v>28</v>
      </c>
      <c r="I157" t="s">
        <v>29</v>
      </c>
      <c r="J157" t="s">
        <v>57</v>
      </c>
      <c r="K157">
        <v>1</v>
      </c>
      <c r="L157">
        <v>15893.92</v>
      </c>
      <c r="M157">
        <v>0.2</v>
      </c>
      <c r="N157">
        <v>12715.14</v>
      </c>
      <c r="O157">
        <v>12087.65</v>
      </c>
      <c r="P157">
        <v>627.49</v>
      </c>
      <c r="Q157" t="s">
        <v>31</v>
      </c>
      <c r="R157">
        <v>4.9349830202420113E-2</v>
      </c>
      <c r="S157">
        <v>2024</v>
      </c>
      <c r="T157" t="s">
        <v>412</v>
      </c>
      <c r="U157">
        <v>2</v>
      </c>
      <c r="V157" t="s">
        <v>33</v>
      </c>
    </row>
    <row r="158" spans="1:22" x14ac:dyDescent="0.3">
      <c r="A158" t="s">
        <v>505</v>
      </c>
      <c r="B158" s="1">
        <v>45332</v>
      </c>
      <c r="C158" t="s">
        <v>506</v>
      </c>
      <c r="D158" t="s">
        <v>507</v>
      </c>
      <c r="E158" t="s">
        <v>41</v>
      </c>
      <c r="F158" t="s">
        <v>42</v>
      </c>
      <c r="G158" t="s">
        <v>42</v>
      </c>
      <c r="H158" t="s">
        <v>84</v>
      </c>
      <c r="I158" t="s">
        <v>85</v>
      </c>
      <c r="J158" t="s">
        <v>86</v>
      </c>
      <c r="K158">
        <v>3</v>
      </c>
      <c r="L158">
        <v>1795.99</v>
      </c>
      <c r="M158">
        <v>0</v>
      </c>
      <c r="N158">
        <v>5387.97</v>
      </c>
      <c r="O158">
        <v>2902.18</v>
      </c>
      <c r="P158">
        <v>2485.79</v>
      </c>
      <c r="Q158" t="s">
        <v>31</v>
      </c>
      <c r="R158">
        <v>0.46135928744963312</v>
      </c>
      <c r="S158">
        <v>2024</v>
      </c>
      <c r="T158" t="s">
        <v>412</v>
      </c>
      <c r="U158">
        <v>2</v>
      </c>
      <c r="V158" t="s">
        <v>33</v>
      </c>
    </row>
    <row r="159" spans="1:22" x14ac:dyDescent="0.3">
      <c r="A159" t="s">
        <v>508</v>
      </c>
      <c r="B159" s="1">
        <v>45333</v>
      </c>
      <c r="C159" t="s">
        <v>509</v>
      </c>
      <c r="D159" t="s">
        <v>510</v>
      </c>
      <c r="E159" t="s">
        <v>61</v>
      </c>
      <c r="F159" t="s">
        <v>78</v>
      </c>
      <c r="G159" t="s">
        <v>104</v>
      </c>
      <c r="H159" t="s">
        <v>43</v>
      </c>
      <c r="I159" t="s">
        <v>51</v>
      </c>
      <c r="J159" t="s">
        <v>96</v>
      </c>
      <c r="K159">
        <v>4</v>
      </c>
      <c r="L159">
        <v>489.56</v>
      </c>
      <c r="M159">
        <v>0.15</v>
      </c>
      <c r="N159">
        <v>1664.5</v>
      </c>
      <c r="O159">
        <v>892.42</v>
      </c>
      <c r="P159">
        <v>772.08</v>
      </c>
      <c r="Q159" t="s">
        <v>53</v>
      </c>
      <c r="R159">
        <v>0.4638510063082007</v>
      </c>
      <c r="S159">
        <v>2024</v>
      </c>
      <c r="T159" t="s">
        <v>412</v>
      </c>
      <c r="U159">
        <v>2</v>
      </c>
      <c r="V159" t="s">
        <v>33</v>
      </c>
    </row>
    <row r="160" spans="1:22" x14ac:dyDescent="0.3">
      <c r="A160" t="s">
        <v>511</v>
      </c>
      <c r="B160" s="1">
        <v>45333</v>
      </c>
      <c r="C160" t="s">
        <v>512</v>
      </c>
      <c r="D160" t="s">
        <v>295</v>
      </c>
      <c r="E160" t="s">
        <v>61</v>
      </c>
      <c r="F160" t="s">
        <v>71</v>
      </c>
      <c r="G160" t="s">
        <v>317</v>
      </c>
      <c r="H160" t="s">
        <v>28</v>
      </c>
      <c r="I160" t="s">
        <v>91</v>
      </c>
      <c r="J160" t="s">
        <v>92</v>
      </c>
      <c r="K160">
        <v>3</v>
      </c>
      <c r="L160">
        <v>3137.66</v>
      </c>
      <c r="M160">
        <v>0</v>
      </c>
      <c r="N160">
        <v>9412.98</v>
      </c>
      <c r="O160">
        <v>4876.7299999999996</v>
      </c>
      <c r="P160">
        <v>4536.25</v>
      </c>
      <c r="Q160" t="s">
        <v>46</v>
      </c>
      <c r="R160">
        <v>0.48191433531145289</v>
      </c>
      <c r="S160">
        <v>2024</v>
      </c>
      <c r="T160" t="s">
        <v>412</v>
      </c>
      <c r="U160">
        <v>2</v>
      </c>
      <c r="V160" t="s">
        <v>33</v>
      </c>
    </row>
    <row r="161" spans="1:22" x14ac:dyDescent="0.3">
      <c r="A161" t="s">
        <v>513</v>
      </c>
      <c r="B161" s="1">
        <v>45334</v>
      </c>
      <c r="C161" t="s">
        <v>514</v>
      </c>
      <c r="D161" t="s">
        <v>285</v>
      </c>
      <c r="E161" t="s">
        <v>61</v>
      </c>
      <c r="F161" t="s">
        <v>71</v>
      </c>
      <c r="G161" t="s">
        <v>100</v>
      </c>
      <c r="H161" t="s">
        <v>43</v>
      </c>
      <c r="I161" t="s">
        <v>51</v>
      </c>
      <c r="J161" t="s">
        <v>96</v>
      </c>
      <c r="K161">
        <v>4</v>
      </c>
      <c r="L161">
        <v>502.7</v>
      </c>
      <c r="M161">
        <v>0.1</v>
      </c>
      <c r="N161">
        <v>1809.72</v>
      </c>
      <c r="O161">
        <v>909.52</v>
      </c>
      <c r="P161">
        <v>900.2</v>
      </c>
      <c r="Q161" t="s">
        <v>46</v>
      </c>
      <c r="R161">
        <v>0.49742501602457839</v>
      </c>
      <c r="S161">
        <v>2024</v>
      </c>
      <c r="T161" t="s">
        <v>412</v>
      </c>
      <c r="U161">
        <v>2</v>
      </c>
      <c r="V161" t="s">
        <v>33</v>
      </c>
    </row>
    <row r="162" spans="1:22" x14ac:dyDescent="0.3">
      <c r="A162" t="s">
        <v>515</v>
      </c>
      <c r="B162" s="1">
        <v>45334</v>
      </c>
      <c r="C162" t="s">
        <v>346</v>
      </c>
      <c r="D162" t="s">
        <v>516</v>
      </c>
      <c r="E162" t="s">
        <v>120</v>
      </c>
      <c r="F162" t="s">
        <v>121</v>
      </c>
      <c r="G162" t="s">
        <v>130</v>
      </c>
      <c r="H162" t="s">
        <v>28</v>
      </c>
      <c r="I162" t="s">
        <v>29</v>
      </c>
      <c r="J162" t="s">
        <v>57</v>
      </c>
      <c r="K162">
        <v>4</v>
      </c>
      <c r="L162">
        <v>16528.5</v>
      </c>
      <c r="M162">
        <v>0.15</v>
      </c>
      <c r="N162">
        <v>56196.9</v>
      </c>
      <c r="O162">
        <v>51157.48</v>
      </c>
      <c r="P162">
        <v>5039.42</v>
      </c>
      <c r="Q162" t="s">
        <v>46</v>
      </c>
      <c r="R162">
        <v>8.9674341467233951E-2</v>
      </c>
      <c r="S162">
        <v>2024</v>
      </c>
      <c r="T162" t="s">
        <v>412</v>
      </c>
      <c r="U162">
        <v>2</v>
      </c>
      <c r="V162" t="s">
        <v>33</v>
      </c>
    </row>
    <row r="163" spans="1:22" x14ac:dyDescent="0.3">
      <c r="A163" t="s">
        <v>517</v>
      </c>
      <c r="B163" s="1">
        <v>45335</v>
      </c>
      <c r="C163" t="s">
        <v>518</v>
      </c>
      <c r="D163" t="s">
        <v>519</v>
      </c>
      <c r="E163" t="s">
        <v>25</v>
      </c>
      <c r="F163" t="s">
        <v>26</v>
      </c>
      <c r="G163" t="s">
        <v>37</v>
      </c>
      <c r="H163" t="s">
        <v>28</v>
      </c>
      <c r="I163" t="s">
        <v>29</v>
      </c>
      <c r="J163" t="s">
        <v>30</v>
      </c>
      <c r="K163">
        <v>3</v>
      </c>
      <c r="L163">
        <v>60540.3</v>
      </c>
      <c r="M163">
        <v>0.15</v>
      </c>
      <c r="N163">
        <v>154377.76999999999</v>
      </c>
      <c r="O163">
        <v>161910.68</v>
      </c>
      <c r="P163">
        <v>-7532.91</v>
      </c>
      <c r="Q163" t="s">
        <v>46</v>
      </c>
      <c r="R163">
        <v>-4.8795302587930897E-2</v>
      </c>
      <c r="S163">
        <v>2024</v>
      </c>
      <c r="T163" t="s">
        <v>412</v>
      </c>
      <c r="U163">
        <v>2</v>
      </c>
      <c r="V163" t="s">
        <v>33</v>
      </c>
    </row>
    <row r="164" spans="1:22" x14ac:dyDescent="0.3">
      <c r="A164" t="s">
        <v>520</v>
      </c>
      <c r="B164" s="1">
        <v>45335</v>
      </c>
      <c r="C164" t="s">
        <v>521</v>
      </c>
      <c r="D164" t="s">
        <v>474</v>
      </c>
      <c r="E164" t="s">
        <v>25</v>
      </c>
      <c r="F164" t="s">
        <v>26</v>
      </c>
      <c r="G164" t="s">
        <v>171</v>
      </c>
      <c r="H164" t="s">
        <v>28</v>
      </c>
      <c r="I164" t="s">
        <v>73</v>
      </c>
      <c r="J164" t="s">
        <v>74</v>
      </c>
      <c r="K164">
        <v>2</v>
      </c>
      <c r="L164">
        <v>2402.9699999999998</v>
      </c>
      <c r="M164">
        <v>0.05</v>
      </c>
      <c r="N164">
        <v>4565.6400000000003</v>
      </c>
      <c r="O164">
        <v>2626.51</v>
      </c>
      <c r="P164">
        <v>1939.13</v>
      </c>
      <c r="Q164" t="s">
        <v>46</v>
      </c>
      <c r="R164">
        <v>0.42472249235594572</v>
      </c>
      <c r="S164">
        <v>2024</v>
      </c>
      <c r="T164" t="s">
        <v>412</v>
      </c>
      <c r="U164">
        <v>2</v>
      </c>
      <c r="V164" t="s">
        <v>33</v>
      </c>
    </row>
    <row r="165" spans="1:22" x14ac:dyDescent="0.3">
      <c r="A165" t="s">
        <v>522</v>
      </c>
      <c r="B165" s="1">
        <v>45335</v>
      </c>
      <c r="C165" t="s">
        <v>523</v>
      </c>
      <c r="D165" t="s">
        <v>524</v>
      </c>
      <c r="E165" t="s">
        <v>41</v>
      </c>
      <c r="F165" t="s">
        <v>42</v>
      </c>
      <c r="G165" t="s">
        <v>50</v>
      </c>
      <c r="H165" t="s">
        <v>28</v>
      </c>
      <c r="I165" t="s">
        <v>29</v>
      </c>
      <c r="J165" t="s">
        <v>30</v>
      </c>
      <c r="K165">
        <v>3</v>
      </c>
      <c r="L165">
        <v>60718.43</v>
      </c>
      <c r="M165">
        <v>0.1</v>
      </c>
      <c r="N165">
        <v>163939.76</v>
      </c>
      <c r="O165">
        <v>160818.03</v>
      </c>
      <c r="P165">
        <v>3121.73</v>
      </c>
      <c r="Q165" t="s">
        <v>31</v>
      </c>
      <c r="R165">
        <v>1.9041933451653219E-2</v>
      </c>
      <c r="S165">
        <v>2024</v>
      </c>
      <c r="T165" t="s">
        <v>412</v>
      </c>
      <c r="U165">
        <v>2</v>
      </c>
      <c r="V165" t="s">
        <v>33</v>
      </c>
    </row>
    <row r="166" spans="1:22" x14ac:dyDescent="0.3">
      <c r="A166" t="s">
        <v>525</v>
      </c>
      <c r="B166" s="1">
        <v>45336</v>
      </c>
      <c r="C166" t="s">
        <v>526</v>
      </c>
      <c r="D166" t="s">
        <v>527</v>
      </c>
      <c r="E166" t="s">
        <v>120</v>
      </c>
      <c r="F166" t="s">
        <v>121</v>
      </c>
      <c r="G166" t="s">
        <v>224</v>
      </c>
      <c r="H166" t="s">
        <v>28</v>
      </c>
      <c r="I166" t="s">
        <v>91</v>
      </c>
      <c r="J166" t="s">
        <v>92</v>
      </c>
      <c r="K166">
        <v>3</v>
      </c>
      <c r="L166">
        <v>2893.81</v>
      </c>
      <c r="M166">
        <v>0</v>
      </c>
      <c r="N166">
        <v>8681.43</v>
      </c>
      <c r="O166">
        <v>4418.01</v>
      </c>
      <c r="P166">
        <v>4263.42</v>
      </c>
      <c r="Q166" t="s">
        <v>46</v>
      </c>
      <c r="R166">
        <v>0.49109651290167627</v>
      </c>
      <c r="S166">
        <v>2024</v>
      </c>
      <c r="T166" t="s">
        <v>412</v>
      </c>
      <c r="U166">
        <v>2</v>
      </c>
      <c r="V166" t="s">
        <v>33</v>
      </c>
    </row>
    <row r="167" spans="1:22" x14ac:dyDescent="0.3">
      <c r="A167" t="s">
        <v>528</v>
      </c>
      <c r="B167" s="1">
        <v>45336</v>
      </c>
      <c r="C167" t="s">
        <v>291</v>
      </c>
      <c r="D167" t="s">
        <v>529</v>
      </c>
      <c r="E167" t="s">
        <v>120</v>
      </c>
      <c r="F167" t="s">
        <v>121</v>
      </c>
      <c r="G167" t="s">
        <v>130</v>
      </c>
      <c r="H167" t="s">
        <v>64</v>
      </c>
      <c r="I167" t="s">
        <v>65</v>
      </c>
      <c r="J167" t="s">
        <v>66</v>
      </c>
      <c r="K167">
        <v>2</v>
      </c>
      <c r="L167">
        <v>5183.9799999999996</v>
      </c>
      <c r="M167">
        <v>0.1</v>
      </c>
      <c r="N167">
        <v>9331.16</v>
      </c>
      <c r="O167">
        <v>6317.88</v>
      </c>
      <c r="P167">
        <v>3013.28</v>
      </c>
      <c r="Q167" t="s">
        <v>31</v>
      </c>
      <c r="R167">
        <v>0.3229266243425255</v>
      </c>
      <c r="S167">
        <v>2024</v>
      </c>
      <c r="T167" t="s">
        <v>412</v>
      </c>
      <c r="U167">
        <v>2</v>
      </c>
      <c r="V167" t="s">
        <v>33</v>
      </c>
    </row>
    <row r="168" spans="1:22" x14ac:dyDescent="0.3">
      <c r="A168" t="s">
        <v>530</v>
      </c>
      <c r="B168" s="1">
        <v>45336</v>
      </c>
      <c r="C168" t="s">
        <v>531</v>
      </c>
      <c r="D168" t="s">
        <v>532</v>
      </c>
      <c r="E168" t="s">
        <v>120</v>
      </c>
      <c r="F168" t="s">
        <v>121</v>
      </c>
      <c r="G168" t="s">
        <v>122</v>
      </c>
      <c r="H168" t="s">
        <v>28</v>
      </c>
      <c r="I168" t="s">
        <v>73</v>
      </c>
      <c r="J168" t="s">
        <v>74</v>
      </c>
      <c r="K168">
        <v>4</v>
      </c>
      <c r="L168">
        <v>2543.81</v>
      </c>
      <c r="M168">
        <v>0.1</v>
      </c>
      <c r="N168">
        <v>9157.7199999999993</v>
      </c>
      <c r="O168">
        <v>5563.66</v>
      </c>
      <c r="P168">
        <v>3594.06</v>
      </c>
      <c r="Q168" t="s">
        <v>31</v>
      </c>
      <c r="R168">
        <v>0.39246231594763759</v>
      </c>
      <c r="S168">
        <v>2024</v>
      </c>
      <c r="T168" t="s">
        <v>412</v>
      </c>
      <c r="U168">
        <v>2</v>
      </c>
      <c r="V168" t="s">
        <v>33</v>
      </c>
    </row>
    <row r="169" spans="1:22" x14ac:dyDescent="0.3">
      <c r="A169" t="s">
        <v>533</v>
      </c>
      <c r="B169" s="1">
        <v>45336</v>
      </c>
      <c r="C169" t="s">
        <v>534</v>
      </c>
      <c r="D169" t="s">
        <v>535</v>
      </c>
      <c r="E169" t="s">
        <v>25</v>
      </c>
      <c r="F169" t="s">
        <v>26</v>
      </c>
      <c r="G169" t="s">
        <v>260</v>
      </c>
      <c r="H169" t="s">
        <v>43</v>
      </c>
      <c r="I169" t="s">
        <v>44</v>
      </c>
      <c r="J169" t="s">
        <v>248</v>
      </c>
      <c r="K169">
        <v>5</v>
      </c>
      <c r="L169">
        <v>309.49</v>
      </c>
      <c r="M169">
        <v>0.1</v>
      </c>
      <c r="N169">
        <v>1392.71</v>
      </c>
      <c r="O169">
        <v>637.6</v>
      </c>
      <c r="P169">
        <v>755.11</v>
      </c>
      <c r="Q169" t="s">
        <v>46</v>
      </c>
      <c r="R169">
        <v>0.5421875336574018</v>
      </c>
      <c r="S169">
        <v>2024</v>
      </c>
      <c r="T169" t="s">
        <v>412</v>
      </c>
      <c r="U169">
        <v>2</v>
      </c>
      <c r="V169" t="s">
        <v>33</v>
      </c>
    </row>
    <row r="170" spans="1:22" x14ac:dyDescent="0.3">
      <c r="A170" t="s">
        <v>536</v>
      </c>
      <c r="B170" s="1">
        <v>45336</v>
      </c>
      <c r="C170" t="s">
        <v>537</v>
      </c>
      <c r="D170" t="s">
        <v>283</v>
      </c>
      <c r="E170" t="s">
        <v>61</v>
      </c>
      <c r="F170" t="s">
        <v>62</v>
      </c>
      <c r="G170" t="s">
        <v>134</v>
      </c>
      <c r="H170" t="s">
        <v>84</v>
      </c>
      <c r="I170" t="s">
        <v>85</v>
      </c>
      <c r="J170" t="s">
        <v>145</v>
      </c>
      <c r="K170">
        <v>1</v>
      </c>
      <c r="L170">
        <v>3454.14</v>
      </c>
      <c r="M170">
        <v>0.2</v>
      </c>
      <c r="N170">
        <v>2763.31</v>
      </c>
      <c r="O170">
        <v>2041.79</v>
      </c>
      <c r="P170">
        <v>721.52</v>
      </c>
      <c r="Q170" t="s">
        <v>53</v>
      </c>
      <c r="R170">
        <v>0.26110715048257338</v>
      </c>
      <c r="S170">
        <v>2024</v>
      </c>
      <c r="T170" t="s">
        <v>412</v>
      </c>
      <c r="U170">
        <v>2</v>
      </c>
      <c r="V170" t="s">
        <v>33</v>
      </c>
    </row>
    <row r="171" spans="1:22" x14ac:dyDescent="0.3">
      <c r="A171" t="s">
        <v>538</v>
      </c>
      <c r="B171" s="1">
        <v>45337</v>
      </c>
      <c r="C171" t="s">
        <v>539</v>
      </c>
      <c r="D171" t="s">
        <v>540</v>
      </c>
      <c r="E171" t="s">
        <v>61</v>
      </c>
      <c r="F171" t="s">
        <v>78</v>
      </c>
      <c r="G171" t="s">
        <v>79</v>
      </c>
      <c r="H171" t="s">
        <v>84</v>
      </c>
      <c r="I171" t="s">
        <v>85</v>
      </c>
      <c r="J171" t="s">
        <v>86</v>
      </c>
      <c r="K171">
        <v>2</v>
      </c>
      <c r="L171">
        <v>1890.06</v>
      </c>
      <c r="M171">
        <v>0.1</v>
      </c>
      <c r="N171">
        <v>3402.11</v>
      </c>
      <c r="O171">
        <v>2011.16</v>
      </c>
      <c r="P171">
        <v>1390.95</v>
      </c>
      <c r="Q171" t="s">
        <v>31</v>
      </c>
      <c r="R171">
        <v>0.40884921416415099</v>
      </c>
      <c r="S171">
        <v>2024</v>
      </c>
      <c r="T171" t="s">
        <v>412</v>
      </c>
      <c r="U171">
        <v>2</v>
      </c>
      <c r="V171" t="s">
        <v>33</v>
      </c>
    </row>
    <row r="172" spans="1:22" x14ac:dyDescent="0.3">
      <c r="A172" t="s">
        <v>541</v>
      </c>
      <c r="B172" s="1">
        <v>45337</v>
      </c>
      <c r="C172" t="s">
        <v>173</v>
      </c>
      <c r="D172" t="s">
        <v>542</v>
      </c>
      <c r="E172" t="s">
        <v>120</v>
      </c>
      <c r="F172" t="s">
        <v>121</v>
      </c>
      <c r="G172" t="s">
        <v>224</v>
      </c>
      <c r="H172" t="s">
        <v>64</v>
      </c>
      <c r="I172" t="s">
        <v>65</v>
      </c>
      <c r="J172" t="s">
        <v>66</v>
      </c>
      <c r="K172">
        <v>1</v>
      </c>
      <c r="L172">
        <v>5158.74</v>
      </c>
      <c r="M172">
        <v>0</v>
      </c>
      <c r="N172">
        <v>5158.74</v>
      </c>
      <c r="O172">
        <v>3072.54</v>
      </c>
      <c r="P172">
        <v>2086.1999999999998</v>
      </c>
      <c r="Q172" t="s">
        <v>113</v>
      </c>
      <c r="R172">
        <v>0.40440107468102682</v>
      </c>
      <c r="S172">
        <v>2024</v>
      </c>
      <c r="T172" t="s">
        <v>412</v>
      </c>
      <c r="U172">
        <v>2</v>
      </c>
      <c r="V172" t="s">
        <v>33</v>
      </c>
    </row>
    <row r="173" spans="1:22" x14ac:dyDescent="0.3">
      <c r="A173" t="s">
        <v>543</v>
      </c>
      <c r="B173" s="1">
        <v>45337</v>
      </c>
      <c r="C173" t="s">
        <v>234</v>
      </c>
      <c r="D173" t="s">
        <v>544</v>
      </c>
      <c r="E173" t="s">
        <v>61</v>
      </c>
      <c r="F173" t="s">
        <v>62</v>
      </c>
      <c r="G173" t="s">
        <v>134</v>
      </c>
      <c r="H173" t="s">
        <v>84</v>
      </c>
      <c r="I173" t="s">
        <v>85</v>
      </c>
      <c r="J173" t="s">
        <v>86</v>
      </c>
      <c r="K173">
        <v>1</v>
      </c>
      <c r="L173">
        <v>1755.99</v>
      </c>
      <c r="M173">
        <v>0.15</v>
      </c>
      <c r="N173">
        <v>1492.59</v>
      </c>
      <c r="O173">
        <v>955.59</v>
      </c>
      <c r="P173">
        <v>537</v>
      </c>
      <c r="Q173" t="s">
        <v>31</v>
      </c>
      <c r="R173">
        <v>0.3597772998613149</v>
      </c>
      <c r="S173">
        <v>2024</v>
      </c>
      <c r="T173" t="s">
        <v>412</v>
      </c>
      <c r="U173">
        <v>2</v>
      </c>
      <c r="V173" t="s">
        <v>33</v>
      </c>
    </row>
    <row r="174" spans="1:22" x14ac:dyDescent="0.3">
      <c r="A174" t="s">
        <v>545</v>
      </c>
      <c r="B174" s="1">
        <v>45338</v>
      </c>
      <c r="C174" t="s">
        <v>546</v>
      </c>
      <c r="D174" t="s">
        <v>547</v>
      </c>
      <c r="E174" t="s">
        <v>41</v>
      </c>
      <c r="F174" t="s">
        <v>42</v>
      </c>
      <c r="G174" t="s">
        <v>50</v>
      </c>
      <c r="H174" t="s">
        <v>84</v>
      </c>
      <c r="I174" t="s">
        <v>138</v>
      </c>
      <c r="J174" t="s">
        <v>220</v>
      </c>
      <c r="K174">
        <v>3</v>
      </c>
      <c r="L174">
        <v>7571.6</v>
      </c>
      <c r="M174">
        <v>0.05</v>
      </c>
      <c r="N174">
        <v>21579.06</v>
      </c>
      <c r="O174">
        <v>15137.79</v>
      </c>
      <c r="P174">
        <v>6441.27</v>
      </c>
      <c r="Q174" t="s">
        <v>53</v>
      </c>
      <c r="R174">
        <v>0.29849632004359777</v>
      </c>
      <c r="S174">
        <v>2024</v>
      </c>
      <c r="T174" t="s">
        <v>412</v>
      </c>
      <c r="U174">
        <v>2</v>
      </c>
      <c r="V174" t="s">
        <v>33</v>
      </c>
    </row>
    <row r="175" spans="1:22" x14ac:dyDescent="0.3">
      <c r="A175" t="s">
        <v>548</v>
      </c>
      <c r="B175" s="1">
        <v>45338</v>
      </c>
      <c r="C175" t="s">
        <v>549</v>
      </c>
      <c r="D175" t="s">
        <v>550</v>
      </c>
      <c r="E175" t="s">
        <v>41</v>
      </c>
      <c r="F175" t="s">
        <v>42</v>
      </c>
      <c r="G175" t="s">
        <v>50</v>
      </c>
      <c r="H175" t="s">
        <v>84</v>
      </c>
      <c r="I175" t="s">
        <v>85</v>
      </c>
      <c r="J175" t="s">
        <v>86</v>
      </c>
      <c r="K175">
        <v>4</v>
      </c>
      <c r="L175">
        <v>1744</v>
      </c>
      <c r="M175">
        <v>0.1</v>
      </c>
      <c r="N175">
        <v>6278.4</v>
      </c>
      <c r="O175">
        <v>3703.18</v>
      </c>
      <c r="P175">
        <v>2575.2199999999998</v>
      </c>
      <c r="Q175" t="s">
        <v>31</v>
      </c>
      <c r="R175">
        <v>0.41017138124362901</v>
      </c>
      <c r="S175">
        <v>2024</v>
      </c>
      <c r="T175" t="s">
        <v>412</v>
      </c>
      <c r="U175">
        <v>2</v>
      </c>
      <c r="V175" t="s">
        <v>33</v>
      </c>
    </row>
    <row r="176" spans="1:22" x14ac:dyDescent="0.3">
      <c r="A176" t="s">
        <v>551</v>
      </c>
      <c r="B176" s="1">
        <v>45339</v>
      </c>
      <c r="C176" t="s">
        <v>552</v>
      </c>
      <c r="D176" t="s">
        <v>241</v>
      </c>
      <c r="E176" t="s">
        <v>61</v>
      </c>
      <c r="F176" t="s">
        <v>78</v>
      </c>
      <c r="G176" t="s">
        <v>83</v>
      </c>
      <c r="H176" t="s">
        <v>28</v>
      </c>
      <c r="I176" t="s">
        <v>73</v>
      </c>
      <c r="J176" t="s">
        <v>80</v>
      </c>
      <c r="K176">
        <v>1</v>
      </c>
      <c r="L176">
        <v>846.2</v>
      </c>
      <c r="M176">
        <v>0.05</v>
      </c>
      <c r="N176">
        <v>803.89</v>
      </c>
      <c r="O176">
        <v>520.15</v>
      </c>
      <c r="P176">
        <v>283.74</v>
      </c>
      <c r="Q176" t="s">
        <v>67</v>
      </c>
      <c r="R176">
        <v>0.35295873813581458</v>
      </c>
      <c r="S176">
        <v>2024</v>
      </c>
      <c r="T176" t="s">
        <v>412</v>
      </c>
      <c r="U176">
        <v>2</v>
      </c>
      <c r="V176" t="s">
        <v>33</v>
      </c>
    </row>
    <row r="177" spans="1:22" x14ac:dyDescent="0.3">
      <c r="A177" t="s">
        <v>553</v>
      </c>
      <c r="B177" s="1">
        <v>45339</v>
      </c>
      <c r="C177" t="s">
        <v>554</v>
      </c>
      <c r="D177" t="s">
        <v>393</v>
      </c>
      <c r="E177" t="s">
        <v>25</v>
      </c>
      <c r="F177" t="s">
        <v>26</v>
      </c>
      <c r="G177" t="s">
        <v>171</v>
      </c>
      <c r="H177" t="s">
        <v>64</v>
      </c>
      <c r="I177" t="s">
        <v>108</v>
      </c>
      <c r="J177" t="s">
        <v>109</v>
      </c>
      <c r="K177">
        <v>1</v>
      </c>
      <c r="L177">
        <v>6869.66</v>
      </c>
      <c r="M177">
        <v>0.15</v>
      </c>
      <c r="N177">
        <v>5839.21</v>
      </c>
      <c r="O177">
        <v>4545.34</v>
      </c>
      <c r="P177">
        <v>1293.8699999999999</v>
      </c>
      <c r="Q177" t="s">
        <v>53</v>
      </c>
      <c r="R177">
        <v>0.2215830566121102</v>
      </c>
      <c r="S177">
        <v>2024</v>
      </c>
      <c r="T177" t="s">
        <v>412</v>
      </c>
      <c r="U177">
        <v>2</v>
      </c>
      <c r="V177" t="s">
        <v>33</v>
      </c>
    </row>
    <row r="178" spans="1:22" x14ac:dyDescent="0.3">
      <c r="A178" t="s">
        <v>555</v>
      </c>
      <c r="B178" s="1">
        <v>45339</v>
      </c>
      <c r="C178" t="s">
        <v>556</v>
      </c>
      <c r="D178" t="s">
        <v>462</v>
      </c>
      <c r="E178" t="s">
        <v>61</v>
      </c>
      <c r="F178" t="s">
        <v>71</v>
      </c>
      <c r="G178" t="s">
        <v>100</v>
      </c>
      <c r="H178" t="s">
        <v>28</v>
      </c>
      <c r="I178" t="s">
        <v>29</v>
      </c>
      <c r="J178" t="s">
        <v>57</v>
      </c>
      <c r="K178">
        <v>3</v>
      </c>
      <c r="L178">
        <v>16438.189999999999</v>
      </c>
      <c r="M178">
        <v>0.1</v>
      </c>
      <c r="N178">
        <v>44383.11</v>
      </c>
      <c r="O178">
        <v>36561.360000000001</v>
      </c>
      <c r="P178">
        <v>7821.75</v>
      </c>
      <c r="Q178" t="s">
        <v>113</v>
      </c>
      <c r="R178">
        <v>0.1762325803667206</v>
      </c>
      <c r="S178">
        <v>2024</v>
      </c>
      <c r="T178" t="s">
        <v>412</v>
      </c>
      <c r="U178">
        <v>2</v>
      </c>
      <c r="V178" t="s">
        <v>33</v>
      </c>
    </row>
    <row r="179" spans="1:22" x14ac:dyDescent="0.3">
      <c r="A179" t="s">
        <v>557</v>
      </c>
      <c r="B179" s="1">
        <v>45340</v>
      </c>
      <c r="C179" t="s">
        <v>330</v>
      </c>
      <c r="D179" t="s">
        <v>231</v>
      </c>
      <c r="E179" t="s">
        <v>41</v>
      </c>
      <c r="F179" t="s">
        <v>42</v>
      </c>
      <c r="G179" t="s">
        <v>50</v>
      </c>
      <c r="H179" t="s">
        <v>64</v>
      </c>
      <c r="I179" t="s">
        <v>108</v>
      </c>
      <c r="J179" t="s">
        <v>155</v>
      </c>
      <c r="K179">
        <v>2</v>
      </c>
      <c r="L179">
        <v>8090.1</v>
      </c>
      <c r="M179">
        <v>0.1</v>
      </c>
      <c r="N179">
        <v>14562.18</v>
      </c>
      <c r="O179">
        <v>11036.56</v>
      </c>
      <c r="P179">
        <v>3525.62</v>
      </c>
      <c r="Q179" t="s">
        <v>53</v>
      </c>
      <c r="R179">
        <v>0.24210798108524961</v>
      </c>
      <c r="S179">
        <v>2024</v>
      </c>
      <c r="T179" t="s">
        <v>412</v>
      </c>
      <c r="U179">
        <v>2</v>
      </c>
      <c r="V179" t="s">
        <v>33</v>
      </c>
    </row>
    <row r="180" spans="1:22" x14ac:dyDescent="0.3">
      <c r="A180" t="s">
        <v>558</v>
      </c>
      <c r="B180" s="1">
        <v>45340</v>
      </c>
      <c r="C180" t="s">
        <v>559</v>
      </c>
      <c r="D180" t="s">
        <v>497</v>
      </c>
      <c r="E180" t="s">
        <v>61</v>
      </c>
      <c r="F180" t="s">
        <v>71</v>
      </c>
      <c r="G180" t="s">
        <v>317</v>
      </c>
      <c r="H180" t="s">
        <v>28</v>
      </c>
      <c r="I180" t="s">
        <v>29</v>
      </c>
      <c r="J180" t="s">
        <v>57</v>
      </c>
      <c r="K180">
        <v>1</v>
      </c>
      <c r="L180">
        <v>16907.169999999998</v>
      </c>
      <c r="M180">
        <v>0</v>
      </c>
      <c r="N180">
        <v>16907.169999999998</v>
      </c>
      <c r="O180">
        <v>12805.75</v>
      </c>
      <c r="P180">
        <v>4101.42</v>
      </c>
      <c r="Q180" t="s">
        <v>46</v>
      </c>
      <c r="R180">
        <v>0.24258465491267911</v>
      </c>
      <c r="S180">
        <v>2024</v>
      </c>
      <c r="T180" t="s">
        <v>412</v>
      </c>
      <c r="U180">
        <v>2</v>
      </c>
      <c r="V180" t="s">
        <v>33</v>
      </c>
    </row>
    <row r="181" spans="1:22" x14ac:dyDescent="0.3">
      <c r="A181" t="s">
        <v>560</v>
      </c>
      <c r="B181" s="1">
        <v>45340</v>
      </c>
      <c r="C181" t="s">
        <v>561</v>
      </c>
      <c r="D181" t="s">
        <v>562</v>
      </c>
      <c r="E181" t="s">
        <v>61</v>
      </c>
      <c r="F181" t="s">
        <v>78</v>
      </c>
      <c r="G181" t="s">
        <v>79</v>
      </c>
      <c r="H181" t="s">
        <v>43</v>
      </c>
      <c r="I181" t="s">
        <v>44</v>
      </c>
      <c r="J181" t="s">
        <v>248</v>
      </c>
      <c r="K181">
        <v>1</v>
      </c>
      <c r="L181">
        <v>299.35000000000002</v>
      </c>
      <c r="M181">
        <v>0</v>
      </c>
      <c r="N181">
        <v>299.35000000000002</v>
      </c>
      <c r="O181">
        <v>129.51</v>
      </c>
      <c r="P181">
        <v>169.84</v>
      </c>
      <c r="Q181" t="s">
        <v>67</v>
      </c>
      <c r="R181">
        <v>0.56736261900785034</v>
      </c>
      <c r="S181">
        <v>2024</v>
      </c>
      <c r="T181" t="s">
        <v>412</v>
      </c>
      <c r="U181">
        <v>2</v>
      </c>
      <c r="V181" t="s">
        <v>33</v>
      </c>
    </row>
    <row r="182" spans="1:22" x14ac:dyDescent="0.3">
      <c r="A182" t="s">
        <v>563</v>
      </c>
      <c r="B182" s="1">
        <v>45341</v>
      </c>
      <c r="C182" t="s">
        <v>564</v>
      </c>
      <c r="D182" t="s">
        <v>565</v>
      </c>
      <c r="E182" t="s">
        <v>61</v>
      </c>
      <c r="F182" t="s">
        <v>71</v>
      </c>
      <c r="G182" t="s">
        <v>100</v>
      </c>
      <c r="H182" t="s">
        <v>43</v>
      </c>
      <c r="I182" t="s">
        <v>51</v>
      </c>
      <c r="J182" t="s">
        <v>96</v>
      </c>
      <c r="K182">
        <v>1</v>
      </c>
      <c r="L182">
        <v>521.04999999999995</v>
      </c>
      <c r="M182">
        <v>0.05</v>
      </c>
      <c r="N182">
        <v>495</v>
      </c>
      <c r="O182">
        <v>235.17</v>
      </c>
      <c r="P182">
        <v>259.83</v>
      </c>
      <c r="Q182" t="s">
        <v>113</v>
      </c>
      <c r="R182">
        <v>0.52490909090909088</v>
      </c>
      <c r="S182">
        <v>2024</v>
      </c>
      <c r="T182" t="s">
        <v>412</v>
      </c>
      <c r="U182">
        <v>2</v>
      </c>
      <c r="V182" t="s">
        <v>33</v>
      </c>
    </row>
    <row r="183" spans="1:22" x14ac:dyDescent="0.3">
      <c r="A183" t="s">
        <v>566</v>
      </c>
      <c r="B183" s="1">
        <v>45341</v>
      </c>
      <c r="C183" t="s">
        <v>567</v>
      </c>
      <c r="D183" t="s">
        <v>568</v>
      </c>
      <c r="E183" t="s">
        <v>41</v>
      </c>
      <c r="F183" t="s">
        <v>42</v>
      </c>
      <c r="G183" t="s">
        <v>50</v>
      </c>
      <c r="H183" t="s">
        <v>28</v>
      </c>
      <c r="I183" t="s">
        <v>91</v>
      </c>
      <c r="J183" t="s">
        <v>92</v>
      </c>
      <c r="K183">
        <v>3</v>
      </c>
      <c r="L183">
        <v>3139.95</v>
      </c>
      <c r="M183">
        <v>0.05</v>
      </c>
      <c r="N183">
        <v>8948.86</v>
      </c>
      <c r="O183">
        <v>4809.76</v>
      </c>
      <c r="P183">
        <v>4139.1000000000004</v>
      </c>
      <c r="Q183" t="s">
        <v>53</v>
      </c>
      <c r="R183">
        <v>0.46252818794796208</v>
      </c>
      <c r="S183">
        <v>2024</v>
      </c>
      <c r="T183" t="s">
        <v>412</v>
      </c>
      <c r="U183">
        <v>2</v>
      </c>
      <c r="V183" t="s">
        <v>33</v>
      </c>
    </row>
    <row r="184" spans="1:22" x14ac:dyDescent="0.3">
      <c r="A184" t="s">
        <v>569</v>
      </c>
      <c r="B184" s="1">
        <v>45341</v>
      </c>
      <c r="C184" t="s">
        <v>570</v>
      </c>
      <c r="D184" t="s">
        <v>571</v>
      </c>
      <c r="E184" t="s">
        <v>61</v>
      </c>
      <c r="F184" t="s">
        <v>78</v>
      </c>
      <c r="G184" t="s">
        <v>104</v>
      </c>
      <c r="H184" t="s">
        <v>64</v>
      </c>
      <c r="I184" t="s">
        <v>65</v>
      </c>
      <c r="J184" t="s">
        <v>232</v>
      </c>
      <c r="K184">
        <v>3</v>
      </c>
      <c r="L184">
        <v>3764.75</v>
      </c>
      <c r="M184">
        <v>0.15</v>
      </c>
      <c r="N184">
        <v>9600.11</v>
      </c>
      <c r="O184">
        <v>6957.56</v>
      </c>
      <c r="P184">
        <v>2642.55</v>
      </c>
      <c r="Q184" t="s">
        <v>31</v>
      </c>
      <c r="R184">
        <v>0.27526247095085371</v>
      </c>
      <c r="S184">
        <v>2024</v>
      </c>
      <c r="T184" t="s">
        <v>412</v>
      </c>
      <c r="U184">
        <v>2</v>
      </c>
      <c r="V184" t="s">
        <v>33</v>
      </c>
    </row>
    <row r="185" spans="1:22" x14ac:dyDescent="0.3">
      <c r="A185" t="s">
        <v>572</v>
      </c>
      <c r="B185" s="1">
        <v>45342</v>
      </c>
      <c r="C185" t="s">
        <v>328</v>
      </c>
      <c r="D185" t="s">
        <v>40</v>
      </c>
      <c r="E185" t="s">
        <v>25</v>
      </c>
      <c r="F185" t="s">
        <v>26</v>
      </c>
      <c r="G185" t="s">
        <v>27</v>
      </c>
      <c r="H185" t="s">
        <v>28</v>
      </c>
      <c r="I185" t="s">
        <v>73</v>
      </c>
      <c r="J185" t="s">
        <v>74</v>
      </c>
      <c r="K185">
        <v>2</v>
      </c>
      <c r="L185">
        <v>2438.77</v>
      </c>
      <c r="M185">
        <v>0.1</v>
      </c>
      <c r="N185">
        <v>4389.79</v>
      </c>
      <c r="O185">
        <v>2605.5500000000002</v>
      </c>
      <c r="P185">
        <v>1784.24</v>
      </c>
      <c r="Q185" t="s">
        <v>46</v>
      </c>
      <c r="R185">
        <v>0.40645224486820553</v>
      </c>
      <c r="S185">
        <v>2024</v>
      </c>
      <c r="T185" t="s">
        <v>412</v>
      </c>
      <c r="U185">
        <v>2</v>
      </c>
      <c r="V185" t="s">
        <v>33</v>
      </c>
    </row>
    <row r="186" spans="1:22" x14ac:dyDescent="0.3">
      <c r="A186" t="s">
        <v>573</v>
      </c>
      <c r="B186" s="1">
        <v>45342</v>
      </c>
      <c r="C186" t="s">
        <v>574</v>
      </c>
      <c r="D186" t="s">
        <v>575</v>
      </c>
      <c r="E186" t="s">
        <v>25</v>
      </c>
      <c r="F186" t="s">
        <v>26</v>
      </c>
      <c r="G186" t="s">
        <v>27</v>
      </c>
      <c r="H186" t="s">
        <v>28</v>
      </c>
      <c r="I186" t="s">
        <v>91</v>
      </c>
      <c r="J186" t="s">
        <v>126</v>
      </c>
      <c r="K186">
        <v>5</v>
      </c>
      <c r="L186">
        <v>2100.15</v>
      </c>
      <c r="M186">
        <v>0.15</v>
      </c>
      <c r="N186">
        <v>8925.64</v>
      </c>
      <c r="O186">
        <v>6197.82</v>
      </c>
      <c r="P186">
        <v>2727.82</v>
      </c>
      <c r="Q186" t="s">
        <v>53</v>
      </c>
      <c r="R186">
        <v>0.30561617990418621</v>
      </c>
      <c r="S186">
        <v>2024</v>
      </c>
      <c r="T186" t="s">
        <v>412</v>
      </c>
      <c r="U186">
        <v>2</v>
      </c>
      <c r="V186" t="s">
        <v>33</v>
      </c>
    </row>
    <row r="187" spans="1:22" x14ac:dyDescent="0.3">
      <c r="A187" t="s">
        <v>576</v>
      </c>
      <c r="B187" s="1">
        <v>45343</v>
      </c>
      <c r="C187" t="s">
        <v>577</v>
      </c>
      <c r="D187" t="s">
        <v>36</v>
      </c>
      <c r="E187" t="s">
        <v>41</v>
      </c>
      <c r="F187" t="s">
        <v>42</v>
      </c>
      <c r="G187" t="s">
        <v>50</v>
      </c>
      <c r="H187" t="s">
        <v>28</v>
      </c>
      <c r="I187" t="s">
        <v>29</v>
      </c>
      <c r="J187" t="s">
        <v>57</v>
      </c>
      <c r="K187">
        <v>1</v>
      </c>
      <c r="L187">
        <v>16228.84</v>
      </c>
      <c r="M187">
        <v>0</v>
      </c>
      <c r="N187">
        <v>16228.84</v>
      </c>
      <c r="O187">
        <v>11769.8</v>
      </c>
      <c r="P187">
        <v>4459.04</v>
      </c>
      <c r="Q187" t="s">
        <v>31</v>
      </c>
      <c r="R187">
        <v>0.27476024164388829</v>
      </c>
      <c r="S187">
        <v>2024</v>
      </c>
      <c r="T187" t="s">
        <v>412</v>
      </c>
      <c r="U187">
        <v>2</v>
      </c>
      <c r="V187" t="s">
        <v>33</v>
      </c>
    </row>
    <row r="188" spans="1:22" x14ac:dyDescent="0.3">
      <c r="A188" t="s">
        <v>578</v>
      </c>
      <c r="B188" s="1">
        <v>45343</v>
      </c>
      <c r="C188" t="s">
        <v>579</v>
      </c>
      <c r="D188" t="s">
        <v>580</v>
      </c>
      <c r="E188" t="s">
        <v>25</v>
      </c>
      <c r="F188" t="s">
        <v>26</v>
      </c>
      <c r="G188" t="s">
        <v>27</v>
      </c>
      <c r="H188" t="s">
        <v>84</v>
      </c>
      <c r="I188" t="s">
        <v>85</v>
      </c>
      <c r="J188" t="s">
        <v>145</v>
      </c>
      <c r="K188">
        <v>2</v>
      </c>
      <c r="L188">
        <v>3375.63</v>
      </c>
      <c r="M188">
        <v>0</v>
      </c>
      <c r="N188">
        <v>6751.26</v>
      </c>
      <c r="O188">
        <v>3974.87</v>
      </c>
      <c r="P188">
        <v>2776.39</v>
      </c>
      <c r="Q188" t="s">
        <v>113</v>
      </c>
      <c r="R188">
        <v>0.41124027218622888</v>
      </c>
      <c r="S188">
        <v>2024</v>
      </c>
      <c r="T188" t="s">
        <v>412</v>
      </c>
      <c r="U188">
        <v>2</v>
      </c>
      <c r="V188" t="s">
        <v>33</v>
      </c>
    </row>
    <row r="189" spans="1:22" x14ac:dyDescent="0.3">
      <c r="A189" t="s">
        <v>581</v>
      </c>
      <c r="B189" s="1">
        <v>45344</v>
      </c>
      <c r="C189" t="s">
        <v>35</v>
      </c>
      <c r="D189" t="s">
        <v>582</v>
      </c>
      <c r="E189" t="s">
        <v>61</v>
      </c>
      <c r="F189" t="s">
        <v>78</v>
      </c>
      <c r="G189" t="s">
        <v>79</v>
      </c>
      <c r="H189" t="s">
        <v>64</v>
      </c>
      <c r="I189" t="s">
        <v>108</v>
      </c>
      <c r="J189" t="s">
        <v>155</v>
      </c>
      <c r="K189">
        <v>6</v>
      </c>
      <c r="L189">
        <v>8174.4</v>
      </c>
      <c r="M189">
        <v>0.1</v>
      </c>
      <c r="N189">
        <v>44141.760000000002</v>
      </c>
      <c r="O189">
        <v>32055.1</v>
      </c>
      <c r="P189">
        <v>12086.66</v>
      </c>
      <c r="Q189" t="s">
        <v>31</v>
      </c>
      <c r="R189">
        <v>0.27381463720522242</v>
      </c>
      <c r="S189">
        <v>2024</v>
      </c>
      <c r="T189" t="s">
        <v>412</v>
      </c>
      <c r="U189">
        <v>2</v>
      </c>
      <c r="V189" t="s">
        <v>33</v>
      </c>
    </row>
    <row r="190" spans="1:22" x14ac:dyDescent="0.3">
      <c r="A190" t="s">
        <v>583</v>
      </c>
      <c r="B190" s="1">
        <v>45344</v>
      </c>
      <c r="C190" t="s">
        <v>584</v>
      </c>
      <c r="D190" t="s">
        <v>197</v>
      </c>
      <c r="E190" t="s">
        <v>61</v>
      </c>
      <c r="F190" t="s">
        <v>71</v>
      </c>
      <c r="G190" t="s">
        <v>317</v>
      </c>
      <c r="H190" t="s">
        <v>64</v>
      </c>
      <c r="I190" t="s">
        <v>108</v>
      </c>
      <c r="J190" t="s">
        <v>109</v>
      </c>
      <c r="K190">
        <v>2</v>
      </c>
      <c r="L190">
        <v>6810.14</v>
      </c>
      <c r="M190">
        <v>0</v>
      </c>
      <c r="N190">
        <v>13620.28</v>
      </c>
      <c r="O190">
        <v>8892.65</v>
      </c>
      <c r="P190">
        <v>4727.63</v>
      </c>
      <c r="Q190" t="s">
        <v>53</v>
      </c>
      <c r="R190">
        <v>0.34710226221487372</v>
      </c>
      <c r="S190">
        <v>2024</v>
      </c>
      <c r="T190" t="s">
        <v>412</v>
      </c>
      <c r="U190">
        <v>2</v>
      </c>
      <c r="V190" t="s">
        <v>33</v>
      </c>
    </row>
    <row r="191" spans="1:22" x14ac:dyDescent="0.3">
      <c r="A191" t="s">
        <v>585</v>
      </c>
      <c r="B191" s="1">
        <v>45344</v>
      </c>
      <c r="C191" t="s">
        <v>586</v>
      </c>
      <c r="D191" t="s">
        <v>587</v>
      </c>
      <c r="E191" t="s">
        <v>61</v>
      </c>
      <c r="F191" t="s">
        <v>62</v>
      </c>
      <c r="G191" t="s">
        <v>90</v>
      </c>
      <c r="H191" t="s">
        <v>64</v>
      </c>
      <c r="I191" t="s">
        <v>65</v>
      </c>
      <c r="J191" t="s">
        <v>66</v>
      </c>
      <c r="K191">
        <v>2</v>
      </c>
      <c r="L191">
        <v>4923.8</v>
      </c>
      <c r="M191">
        <v>0.05</v>
      </c>
      <c r="N191">
        <v>9355.2199999999993</v>
      </c>
      <c r="O191">
        <v>5811.81</v>
      </c>
      <c r="P191">
        <v>3543.41</v>
      </c>
      <c r="Q191" t="s">
        <v>46</v>
      </c>
      <c r="R191">
        <v>0.37876287249257629</v>
      </c>
      <c r="S191">
        <v>2024</v>
      </c>
      <c r="T191" t="s">
        <v>412</v>
      </c>
      <c r="U191">
        <v>2</v>
      </c>
      <c r="V191" t="s">
        <v>33</v>
      </c>
    </row>
    <row r="192" spans="1:22" x14ac:dyDescent="0.3">
      <c r="A192" t="s">
        <v>588</v>
      </c>
      <c r="B192" s="1">
        <v>45344</v>
      </c>
      <c r="C192" t="s">
        <v>589</v>
      </c>
      <c r="D192" t="s">
        <v>535</v>
      </c>
      <c r="E192" t="s">
        <v>61</v>
      </c>
      <c r="F192" t="s">
        <v>71</v>
      </c>
      <c r="G192" t="s">
        <v>317</v>
      </c>
      <c r="H192" t="s">
        <v>64</v>
      </c>
      <c r="I192" t="s">
        <v>65</v>
      </c>
      <c r="J192" t="s">
        <v>232</v>
      </c>
      <c r="K192">
        <v>1</v>
      </c>
      <c r="L192">
        <v>4055.21</v>
      </c>
      <c r="M192">
        <v>0.05</v>
      </c>
      <c r="N192">
        <v>3852.45</v>
      </c>
      <c r="O192">
        <v>2630.18</v>
      </c>
      <c r="P192">
        <v>1222.27</v>
      </c>
      <c r="Q192" t="s">
        <v>53</v>
      </c>
      <c r="R192">
        <v>0.31727082765512848</v>
      </c>
      <c r="S192">
        <v>2024</v>
      </c>
      <c r="T192" t="s">
        <v>412</v>
      </c>
      <c r="U192">
        <v>2</v>
      </c>
      <c r="V192" t="s">
        <v>33</v>
      </c>
    </row>
    <row r="193" spans="1:22" x14ac:dyDescent="0.3">
      <c r="A193" t="s">
        <v>590</v>
      </c>
      <c r="B193" s="1">
        <v>45344</v>
      </c>
      <c r="C193" t="s">
        <v>591</v>
      </c>
      <c r="D193" t="s">
        <v>112</v>
      </c>
      <c r="E193" t="s">
        <v>61</v>
      </c>
      <c r="F193" t="s">
        <v>71</v>
      </c>
      <c r="G193" t="s">
        <v>100</v>
      </c>
      <c r="H193" t="s">
        <v>43</v>
      </c>
      <c r="I193" t="s">
        <v>44</v>
      </c>
      <c r="J193" t="s">
        <v>45</v>
      </c>
      <c r="K193">
        <v>3</v>
      </c>
      <c r="L193">
        <v>262.64</v>
      </c>
      <c r="M193">
        <v>0.15</v>
      </c>
      <c r="N193">
        <v>669.73</v>
      </c>
      <c r="O193">
        <v>301.33999999999997</v>
      </c>
      <c r="P193">
        <v>368.39</v>
      </c>
      <c r="Q193" t="s">
        <v>46</v>
      </c>
      <c r="R193">
        <v>0.55005748585250769</v>
      </c>
      <c r="S193">
        <v>2024</v>
      </c>
      <c r="T193" t="s">
        <v>412</v>
      </c>
      <c r="U193">
        <v>2</v>
      </c>
      <c r="V193" t="s">
        <v>33</v>
      </c>
    </row>
    <row r="194" spans="1:22" x14ac:dyDescent="0.3">
      <c r="A194" t="s">
        <v>592</v>
      </c>
      <c r="B194" s="1">
        <v>45345</v>
      </c>
      <c r="C194" t="s">
        <v>593</v>
      </c>
      <c r="D194" t="s">
        <v>594</v>
      </c>
      <c r="E194" t="s">
        <v>41</v>
      </c>
      <c r="F194" t="s">
        <v>42</v>
      </c>
      <c r="G194" t="s">
        <v>50</v>
      </c>
      <c r="H194" t="s">
        <v>28</v>
      </c>
      <c r="I194" t="s">
        <v>73</v>
      </c>
      <c r="J194" t="s">
        <v>74</v>
      </c>
      <c r="K194">
        <v>3</v>
      </c>
      <c r="L194">
        <v>2420.44</v>
      </c>
      <c r="M194">
        <v>0.1</v>
      </c>
      <c r="N194">
        <v>6535.19</v>
      </c>
      <c r="O194">
        <v>3927.52</v>
      </c>
      <c r="P194">
        <v>2607.67</v>
      </c>
      <c r="Q194" t="s">
        <v>53</v>
      </c>
      <c r="R194">
        <v>0.39901976836174619</v>
      </c>
      <c r="S194">
        <v>2024</v>
      </c>
      <c r="T194" t="s">
        <v>412</v>
      </c>
      <c r="U194">
        <v>2</v>
      </c>
      <c r="V194" t="s">
        <v>33</v>
      </c>
    </row>
    <row r="195" spans="1:22" x14ac:dyDescent="0.3">
      <c r="A195" t="s">
        <v>595</v>
      </c>
      <c r="B195" s="1">
        <v>45345</v>
      </c>
      <c r="C195" t="s">
        <v>596</v>
      </c>
      <c r="D195" t="s">
        <v>446</v>
      </c>
      <c r="E195" t="s">
        <v>41</v>
      </c>
      <c r="F195" t="s">
        <v>42</v>
      </c>
      <c r="G195" t="s">
        <v>50</v>
      </c>
      <c r="H195" t="s">
        <v>64</v>
      </c>
      <c r="I195" t="s">
        <v>108</v>
      </c>
      <c r="J195" t="s">
        <v>109</v>
      </c>
      <c r="K195">
        <v>6</v>
      </c>
      <c r="L195">
        <v>7257.09</v>
      </c>
      <c r="M195">
        <v>0.1</v>
      </c>
      <c r="N195">
        <v>39188.29</v>
      </c>
      <c r="O195">
        <v>28592.63</v>
      </c>
      <c r="P195">
        <v>10595.66</v>
      </c>
      <c r="Q195" t="s">
        <v>31</v>
      </c>
      <c r="R195">
        <v>0.27037821757468877</v>
      </c>
      <c r="S195">
        <v>2024</v>
      </c>
      <c r="T195" t="s">
        <v>412</v>
      </c>
      <c r="U195">
        <v>2</v>
      </c>
      <c r="V195" t="s">
        <v>33</v>
      </c>
    </row>
    <row r="196" spans="1:22" x14ac:dyDescent="0.3">
      <c r="A196" t="s">
        <v>597</v>
      </c>
      <c r="B196" s="1">
        <v>45345</v>
      </c>
      <c r="C196" t="s">
        <v>598</v>
      </c>
      <c r="D196" t="s">
        <v>599</v>
      </c>
      <c r="E196" t="s">
        <v>41</v>
      </c>
      <c r="F196" t="s">
        <v>42</v>
      </c>
      <c r="G196" t="s">
        <v>50</v>
      </c>
      <c r="H196" t="s">
        <v>84</v>
      </c>
      <c r="I196" t="s">
        <v>138</v>
      </c>
      <c r="J196" t="s">
        <v>139</v>
      </c>
      <c r="K196">
        <v>1</v>
      </c>
      <c r="L196">
        <v>12363.44</v>
      </c>
      <c r="M196">
        <v>0.05</v>
      </c>
      <c r="N196">
        <v>11745.27</v>
      </c>
      <c r="O196">
        <v>8940.15</v>
      </c>
      <c r="P196">
        <v>2805.12</v>
      </c>
      <c r="Q196" t="s">
        <v>31</v>
      </c>
      <c r="R196">
        <v>0.23882975870286499</v>
      </c>
      <c r="S196">
        <v>2024</v>
      </c>
      <c r="T196" t="s">
        <v>412</v>
      </c>
      <c r="U196">
        <v>2</v>
      </c>
      <c r="V196" t="s">
        <v>33</v>
      </c>
    </row>
    <row r="197" spans="1:22" x14ac:dyDescent="0.3">
      <c r="A197" t="s">
        <v>600</v>
      </c>
      <c r="B197" s="1">
        <v>45345</v>
      </c>
      <c r="C197" t="s">
        <v>111</v>
      </c>
      <c r="D197" t="s">
        <v>601</v>
      </c>
      <c r="E197" t="s">
        <v>41</v>
      </c>
      <c r="F197" t="s">
        <v>42</v>
      </c>
      <c r="G197" t="s">
        <v>50</v>
      </c>
      <c r="H197" t="s">
        <v>84</v>
      </c>
      <c r="I197" t="s">
        <v>85</v>
      </c>
      <c r="J197" t="s">
        <v>145</v>
      </c>
      <c r="K197">
        <v>3</v>
      </c>
      <c r="L197">
        <v>3133</v>
      </c>
      <c r="M197">
        <v>0.05</v>
      </c>
      <c r="N197">
        <v>8929.0499999999993</v>
      </c>
      <c r="O197">
        <v>5171.7700000000004</v>
      </c>
      <c r="P197">
        <v>3757.28</v>
      </c>
      <c r="Q197" t="s">
        <v>67</v>
      </c>
      <c r="R197">
        <v>0.42079280550562498</v>
      </c>
      <c r="S197">
        <v>2024</v>
      </c>
      <c r="T197" t="s">
        <v>412</v>
      </c>
      <c r="U197">
        <v>2</v>
      </c>
      <c r="V197" t="s">
        <v>33</v>
      </c>
    </row>
    <row r="198" spans="1:22" x14ac:dyDescent="0.3">
      <c r="A198" t="s">
        <v>602</v>
      </c>
      <c r="B198" s="1">
        <v>45346</v>
      </c>
      <c r="C198" t="s">
        <v>603</v>
      </c>
      <c r="D198" t="s">
        <v>604</v>
      </c>
      <c r="E198" t="s">
        <v>61</v>
      </c>
      <c r="F198" t="s">
        <v>62</v>
      </c>
      <c r="G198" t="s">
        <v>90</v>
      </c>
      <c r="H198" t="s">
        <v>28</v>
      </c>
      <c r="I198" t="s">
        <v>91</v>
      </c>
      <c r="J198" t="s">
        <v>92</v>
      </c>
      <c r="K198">
        <v>1</v>
      </c>
      <c r="L198">
        <v>3105.38</v>
      </c>
      <c r="M198">
        <v>0</v>
      </c>
      <c r="N198">
        <v>3105.38</v>
      </c>
      <c r="O198">
        <v>1588.03</v>
      </c>
      <c r="P198">
        <v>1517.35</v>
      </c>
      <c r="Q198" t="s">
        <v>53</v>
      </c>
      <c r="R198">
        <v>0.48861975023990623</v>
      </c>
      <c r="S198">
        <v>2024</v>
      </c>
      <c r="T198" t="s">
        <v>412</v>
      </c>
      <c r="U198">
        <v>2</v>
      </c>
      <c r="V198" t="s">
        <v>33</v>
      </c>
    </row>
    <row r="199" spans="1:22" x14ac:dyDescent="0.3">
      <c r="A199" t="s">
        <v>605</v>
      </c>
      <c r="B199" s="1">
        <v>45346</v>
      </c>
      <c r="C199" t="s">
        <v>509</v>
      </c>
      <c r="D199" t="s">
        <v>606</v>
      </c>
      <c r="E199" t="s">
        <v>120</v>
      </c>
      <c r="F199" t="s">
        <v>121</v>
      </c>
      <c r="G199" t="s">
        <v>224</v>
      </c>
      <c r="H199" t="s">
        <v>28</v>
      </c>
      <c r="I199" t="s">
        <v>73</v>
      </c>
      <c r="J199" t="s">
        <v>74</v>
      </c>
      <c r="K199">
        <v>3</v>
      </c>
      <c r="L199">
        <v>2563.71</v>
      </c>
      <c r="M199">
        <v>0</v>
      </c>
      <c r="N199">
        <v>7691.13</v>
      </c>
      <c r="O199">
        <v>4224.74</v>
      </c>
      <c r="P199">
        <v>3466.39</v>
      </c>
      <c r="Q199" t="s">
        <v>67</v>
      </c>
      <c r="R199">
        <v>0.4506997021243952</v>
      </c>
      <c r="S199">
        <v>2024</v>
      </c>
      <c r="T199" t="s">
        <v>412</v>
      </c>
      <c r="U199">
        <v>2</v>
      </c>
      <c r="V199" t="s">
        <v>33</v>
      </c>
    </row>
    <row r="200" spans="1:22" x14ac:dyDescent="0.3">
      <c r="A200" t="s">
        <v>607</v>
      </c>
      <c r="B200" s="1">
        <v>45346</v>
      </c>
      <c r="C200" t="s">
        <v>608</v>
      </c>
      <c r="D200" t="s">
        <v>609</v>
      </c>
      <c r="E200" t="s">
        <v>61</v>
      </c>
      <c r="F200" t="s">
        <v>78</v>
      </c>
      <c r="G200" t="s">
        <v>104</v>
      </c>
      <c r="H200" t="s">
        <v>64</v>
      </c>
      <c r="I200" t="s">
        <v>65</v>
      </c>
      <c r="J200" t="s">
        <v>66</v>
      </c>
      <c r="K200">
        <v>6</v>
      </c>
      <c r="L200">
        <v>5285.69</v>
      </c>
      <c r="M200">
        <v>0.1</v>
      </c>
      <c r="N200">
        <v>28542.73</v>
      </c>
      <c r="O200">
        <v>19208.78</v>
      </c>
      <c r="P200">
        <v>9333.9500000000007</v>
      </c>
      <c r="Q200" t="s">
        <v>53</v>
      </c>
      <c r="R200">
        <v>0.32701672194635911</v>
      </c>
      <c r="S200">
        <v>2024</v>
      </c>
      <c r="T200" t="s">
        <v>412</v>
      </c>
      <c r="U200">
        <v>2</v>
      </c>
      <c r="V200" t="s">
        <v>33</v>
      </c>
    </row>
    <row r="201" spans="1:22" x14ac:dyDescent="0.3">
      <c r="A201" t="s">
        <v>610</v>
      </c>
      <c r="B201" s="1">
        <v>45346</v>
      </c>
      <c r="C201" t="s">
        <v>336</v>
      </c>
      <c r="D201" t="s">
        <v>446</v>
      </c>
      <c r="E201" t="s">
        <v>61</v>
      </c>
      <c r="F201" t="s">
        <v>62</v>
      </c>
      <c r="G201" t="s">
        <v>134</v>
      </c>
      <c r="H201" t="s">
        <v>64</v>
      </c>
      <c r="I201" t="s">
        <v>65</v>
      </c>
      <c r="J201" t="s">
        <v>232</v>
      </c>
      <c r="K201">
        <v>5</v>
      </c>
      <c r="L201">
        <v>4078.7</v>
      </c>
      <c r="M201">
        <v>0.05</v>
      </c>
      <c r="N201">
        <v>19373.830000000002</v>
      </c>
      <c r="O201">
        <v>12490.78</v>
      </c>
      <c r="P201">
        <v>6883.05</v>
      </c>
      <c r="Q201" t="s">
        <v>46</v>
      </c>
      <c r="R201">
        <v>0.35527564761330099</v>
      </c>
      <c r="S201">
        <v>2024</v>
      </c>
      <c r="T201" t="s">
        <v>412</v>
      </c>
      <c r="U201">
        <v>2</v>
      </c>
      <c r="V201" t="s">
        <v>33</v>
      </c>
    </row>
    <row r="202" spans="1:22" x14ac:dyDescent="0.3">
      <c r="A202" t="s">
        <v>611</v>
      </c>
      <c r="B202" s="1">
        <v>45347</v>
      </c>
      <c r="C202" t="s">
        <v>612</v>
      </c>
      <c r="D202" t="s">
        <v>116</v>
      </c>
      <c r="E202" t="s">
        <v>61</v>
      </c>
      <c r="F202" t="s">
        <v>78</v>
      </c>
      <c r="G202" t="s">
        <v>216</v>
      </c>
      <c r="H202" t="s">
        <v>28</v>
      </c>
      <c r="I202" t="s">
        <v>29</v>
      </c>
      <c r="J202" t="s">
        <v>30</v>
      </c>
      <c r="K202">
        <v>2</v>
      </c>
      <c r="L202">
        <v>58860.58</v>
      </c>
      <c r="M202">
        <v>0.05</v>
      </c>
      <c r="N202">
        <v>111835.1</v>
      </c>
      <c r="O202">
        <v>105775.81</v>
      </c>
      <c r="P202">
        <v>6059.29</v>
      </c>
      <c r="Q202" t="s">
        <v>31</v>
      </c>
      <c r="R202">
        <v>5.4180574792708193E-2</v>
      </c>
      <c r="S202">
        <v>2024</v>
      </c>
      <c r="T202" t="s">
        <v>412</v>
      </c>
      <c r="U202">
        <v>2</v>
      </c>
      <c r="V202" t="s">
        <v>33</v>
      </c>
    </row>
    <row r="203" spans="1:22" x14ac:dyDescent="0.3">
      <c r="A203" t="s">
        <v>613</v>
      </c>
      <c r="B203" s="1">
        <v>45347</v>
      </c>
      <c r="C203" t="s">
        <v>614</v>
      </c>
      <c r="D203" t="s">
        <v>615</v>
      </c>
      <c r="E203" t="s">
        <v>41</v>
      </c>
      <c r="F203" t="s">
        <v>42</v>
      </c>
      <c r="G203" t="s">
        <v>50</v>
      </c>
      <c r="H203" t="s">
        <v>28</v>
      </c>
      <c r="I203" t="s">
        <v>73</v>
      </c>
      <c r="J203" t="s">
        <v>80</v>
      </c>
      <c r="K203">
        <v>2</v>
      </c>
      <c r="L203">
        <v>807.21</v>
      </c>
      <c r="M203">
        <v>0.05</v>
      </c>
      <c r="N203">
        <v>1533.7</v>
      </c>
      <c r="O203">
        <v>972.88</v>
      </c>
      <c r="P203">
        <v>560.82000000000005</v>
      </c>
      <c r="Q203" t="s">
        <v>53</v>
      </c>
      <c r="R203">
        <v>0.36566473234661279</v>
      </c>
      <c r="S203">
        <v>2024</v>
      </c>
      <c r="T203" t="s">
        <v>412</v>
      </c>
      <c r="U203">
        <v>2</v>
      </c>
      <c r="V203" t="s">
        <v>33</v>
      </c>
    </row>
    <row r="204" spans="1:22" x14ac:dyDescent="0.3">
      <c r="A204" t="s">
        <v>616</v>
      </c>
      <c r="B204" s="1">
        <v>45348</v>
      </c>
      <c r="C204" t="s">
        <v>443</v>
      </c>
      <c r="D204" t="s">
        <v>188</v>
      </c>
      <c r="E204" t="s">
        <v>61</v>
      </c>
      <c r="F204" t="s">
        <v>71</v>
      </c>
      <c r="G204" t="s">
        <v>201</v>
      </c>
      <c r="H204" t="s">
        <v>43</v>
      </c>
      <c r="I204" t="s">
        <v>44</v>
      </c>
      <c r="J204" t="s">
        <v>45</v>
      </c>
      <c r="K204">
        <v>3</v>
      </c>
      <c r="L204">
        <v>241.08</v>
      </c>
      <c r="M204">
        <v>0.05</v>
      </c>
      <c r="N204">
        <v>687.08</v>
      </c>
      <c r="O204">
        <v>275.52999999999997</v>
      </c>
      <c r="P204">
        <v>411.55</v>
      </c>
      <c r="Q204" t="s">
        <v>31</v>
      </c>
      <c r="R204">
        <v>0.59898410665424695</v>
      </c>
      <c r="S204">
        <v>2024</v>
      </c>
      <c r="T204" t="s">
        <v>412</v>
      </c>
      <c r="U204">
        <v>2</v>
      </c>
      <c r="V204" t="s">
        <v>33</v>
      </c>
    </row>
    <row r="205" spans="1:22" x14ac:dyDescent="0.3">
      <c r="A205" t="s">
        <v>617</v>
      </c>
      <c r="B205" s="1">
        <v>45348</v>
      </c>
      <c r="C205" t="s">
        <v>618</v>
      </c>
      <c r="D205" t="s">
        <v>490</v>
      </c>
      <c r="E205" t="s">
        <v>61</v>
      </c>
      <c r="F205" t="s">
        <v>78</v>
      </c>
      <c r="G205" t="s">
        <v>79</v>
      </c>
      <c r="H205" t="s">
        <v>84</v>
      </c>
      <c r="I205" t="s">
        <v>85</v>
      </c>
      <c r="J205" t="s">
        <v>86</v>
      </c>
      <c r="K205">
        <v>1</v>
      </c>
      <c r="L205">
        <v>1717.67</v>
      </c>
      <c r="M205">
        <v>0</v>
      </c>
      <c r="N205">
        <v>1717.67</v>
      </c>
      <c r="O205">
        <v>922.29</v>
      </c>
      <c r="P205">
        <v>795.38</v>
      </c>
      <c r="Q205" t="s">
        <v>53</v>
      </c>
      <c r="R205">
        <v>0.46305751395786149</v>
      </c>
      <c r="S205">
        <v>2024</v>
      </c>
      <c r="T205" t="s">
        <v>412</v>
      </c>
      <c r="U205">
        <v>2</v>
      </c>
      <c r="V205" t="s">
        <v>33</v>
      </c>
    </row>
    <row r="206" spans="1:22" x14ac:dyDescent="0.3">
      <c r="A206" t="s">
        <v>619</v>
      </c>
      <c r="B206" s="1">
        <v>45348</v>
      </c>
      <c r="C206" t="s">
        <v>620</v>
      </c>
      <c r="D206" t="s">
        <v>582</v>
      </c>
      <c r="E206" t="s">
        <v>61</v>
      </c>
      <c r="F206" t="s">
        <v>62</v>
      </c>
      <c r="G206" t="s">
        <v>228</v>
      </c>
      <c r="H206" t="s">
        <v>84</v>
      </c>
      <c r="I206" t="s">
        <v>85</v>
      </c>
      <c r="J206" t="s">
        <v>86</v>
      </c>
      <c r="K206">
        <v>2</v>
      </c>
      <c r="L206">
        <v>1768.48</v>
      </c>
      <c r="M206">
        <v>0.15</v>
      </c>
      <c r="N206">
        <v>3006.42</v>
      </c>
      <c r="O206">
        <v>1837.7</v>
      </c>
      <c r="P206">
        <v>1168.72</v>
      </c>
      <c r="Q206" t="s">
        <v>31</v>
      </c>
      <c r="R206">
        <v>0.38874142668023759</v>
      </c>
      <c r="S206">
        <v>2024</v>
      </c>
      <c r="T206" t="s">
        <v>412</v>
      </c>
      <c r="U206">
        <v>2</v>
      </c>
      <c r="V206" t="s">
        <v>33</v>
      </c>
    </row>
    <row r="207" spans="1:22" x14ac:dyDescent="0.3">
      <c r="A207" t="s">
        <v>621</v>
      </c>
      <c r="B207" s="1">
        <v>45348</v>
      </c>
      <c r="C207" t="s">
        <v>496</v>
      </c>
      <c r="D207" t="s">
        <v>197</v>
      </c>
      <c r="E207" t="s">
        <v>61</v>
      </c>
      <c r="F207" t="s">
        <v>62</v>
      </c>
      <c r="G207" t="s">
        <v>63</v>
      </c>
      <c r="H207" t="s">
        <v>28</v>
      </c>
      <c r="I207" t="s">
        <v>91</v>
      </c>
      <c r="J207" t="s">
        <v>92</v>
      </c>
      <c r="K207">
        <v>1</v>
      </c>
      <c r="L207">
        <v>2872.04</v>
      </c>
      <c r="M207">
        <v>0.1</v>
      </c>
      <c r="N207">
        <v>2584.84</v>
      </c>
      <c r="O207">
        <v>1463.06</v>
      </c>
      <c r="P207">
        <v>1121.78</v>
      </c>
      <c r="Q207" t="s">
        <v>31</v>
      </c>
      <c r="R207">
        <v>0.43398430850652259</v>
      </c>
      <c r="S207">
        <v>2024</v>
      </c>
      <c r="T207" t="s">
        <v>412</v>
      </c>
      <c r="U207">
        <v>2</v>
      </c>
      <c r="V207" t="s">
        <v>33</v>
      </c>
    </row>
    <row r="208" spans="1:22" x14ac:dyDescent="0.3">
      <c r="A208" t="s">
        <v>622</v>
      </c>
      <c r="B208" s="1">
        <v>45349</v>
      </c>
      <c r="C208" t="s">
        <v>620</v>
      </c>
      <c r="D208" t="s">
        <v>623</v>
      </c>
      <c r="E208" t="s">
        <v>120</v>
      </c>
      <c r="F208" t="s">
        <v>121</v>
      </c>
      <c r="G208" t="s">
        <v>130</v>
      </c>
      <c r="H208" t="s">
        <v>43</v>
      </c>
      <c r="I208" t="s">
        <v>51</v>
      </c>
      <c r="J208" t="s">
        <v>52</v>
      </c>
      <c r="K208">
        <v>1</v>
      </c>
      <c r="L208">
        <v>709.14</v>
      </c>
      <c r="M208">
        <v>0.1</v>
      </c>
      <c r="N208">
        <v>638.23</v>
      </c>
      <c r="O208">
        <v>342.97</v>
      </c>
      <c r="P208">
        <v>295.26</v>
      </c>
      <c r="Q208" t="s">
        <v>53</v>
      </c>
      <c r="R208">
        <v>0.46262319226611093</v>
      </c>
      <c r="S208">
        <v>2024</v>
      </c>
      <c r="T208" t="s">
        <v>412</v>
      </c>
      <c r="U208">
        <v>2</v>
      </c>
      <c r="V208" t="s">
        <v>33</v>
      </c>
    </row>
    <row r="209" spans="1:22" x14ac:dyDescent="0.3">
      <c r="A209" t="s">
        <v>624</v>
      </c>
      <c r="B209" s="1">
        <v>45351</v>
      </c>
      <c r="C209" t="s">
        <v>625</v>
      </c>
      <c r="D209" t="s">
        <v>626</v>
      </c>
      <c r="E209" t="s">
        <v>61</v>
      </c>
      <c r="F209" t="s">
        <v>71</v>
      </c>
      <c r="G209" t="s">
        <v>317</v>
      </c>
      <c r="H209" t="s">
        <v>84</v>
      </c>
      <c r="I209" t="s">
        <v>138</v>
      </c>
      <c r="J209" t="s">
        <v>220</v>
      </c>
      <c r="K209">
        <v>5</v>
      </c>
      <c r="L209">
        <v>7446.94</v>
      </c>
      <c r="M209">
        <v>0.1</v>
      </c>
      <c r="N209">
        <v>33511.230000000003</v>
      </c>
      <c r="O209">
        <v>24599.94</v>
      </c>
      <c r="P209">
        <v>8911.2900000000009</v>
      </c>
      <c r="Q209" t="s">
        <v>46</v>
      </c>
      <c r="R209">
        <v>0.26591951414495979</v>
      </c>
      <c r="S209">
        <v>2024</v>
      </c>
      <c r="T209" t="s">
        <v>412</v>
      </c>
      <c r="U209">
        <v>2</v>
      </c>
      <c r="V209" t="s">
        <v>33</v>
      </c>
    </row>
    <row r="210" spans="1:22" x14ac:dyDescent="0.3">
      <c r="A210" t="s">
        <v>627</v>
      </c>
      <c r="B210" s="1">
        <v>45351</v>
      </c>
      <c r="C210" t="s">
        <v>589</v>
      </c>
      <c r="D210" t="s">
        <v>36</v>
      </c>
      <c r="E210" t="s">
        <v>61</v>
      </c>
      <c r="F210" t="s">
        <v>78</v>
      </c>
      <c r="G210" t="s">
        <v>216</v>
      </c>
      <c r="H210" t="s">
        <v>28</v>
      </c>
      <c r="I210" t="s">
        <v>29</v>
      </c>
      <c r="J210" t="s">
        <v>30</v>
      </c>
      <c r="K210">
        <v>2</v>
      </c>
      <c r="L210">
        <v>62272.06</v>
      </c>
      <c r="M210">
        <v>0.1</v>
      </c>
      <c r="N210">
        <v>112089.71</v>
      </c>
      <c r="O210">
        <v>109544.57</v>
      </c>
      <c r="P210">
        <v>2545.14</v>
      </c>
      <c r="Q210" t="s">
        <v>113</v>
      </c>
      <c r="R210">
        <v>2.2706276963335881E-2</v>
      </c>
      <c r="S210">
        <v>2024</v>
      </c>
      <c r="T210" t="s">
        <v>412</v>
      </c>
      <c r="U210">
        <v>2</v>
      </c>
      <c r="V210" t="s">
        <v>33</v>
      </c>
    </row>
    <row r="211" spans="1:22" x14ac:dyDescent="0.3">
      <c r="A211" t="s">
        <v>628</v>
      </c>
      <c r="B211" s="1">
        <v>45351</v>
      </c>
      <c r="C211" t="s">
        <v>629</v>
      </c>
      <c r="D211" t="s">
        <v>630</v>
      </c>
      <c r="E211" t="s">
        <v>120</v>
      </c>
      <c r="F211" t="s">
        <v>121</v>
      </c>
      <c r="G211" t="s">
        <v>224</v>
      </c>
      <c r="H211" t="s">
        <v>28</v>
      </c>
      <c r="I211" t="s">
        <v>29</v>
      </c>
      <c r="J211" t="s">
        <v>30</v>
      </c>
      <c r="K211">
        <v>1</v>
      </c>
      <c r="L211">
        <v>56912.959999999999</v>
      </c>
      <c r="M211">
        <v>0.1</v>
      </c>
      <c r="N211">
        <v>51221.66</v>
      </c>
      <c r="O211">
        <v>51561.45</v>
      </c>
      <c r="P211">
        <v>-339.79</v>
      </c>
      <c r="Q211" t="s">
        <v>53</v>
      </c>
      <c r="R211">
        <v>-6.6337170642263446E-3</v>
      </c>
      <c r="S211">
        <v>2024</v>
      </c>
      <c r="T211" t="s">
        <v>412</v>
      </c>
      <c r="U211">
        <v>2</v>
      </c>
      <c r="V211" t="s">
        <v>33</v>
      </c>
    </row>
    <row r="212" spans="1:22" x14ac:dyDescent="0.3">
      <c r="A212" t="s">
        <v>631</v>
      </c>
      <c r="B212" s="1">
        <v>45351</v>
      </c>
      <c r="C212" t="s">
        <v>300</v>
      </c>
      <c r="D212" t="s">
        <v>626</v>
      </c>
      <c r="E212" t="s">
        <v>120</v>
      </c>
      <c r="F212" t="s">
        <v>121</v>
      </c>
      <c r="G212" t="s">
        <v>122</v>
      </c>
      <c r="H212" t="s">
        <v>28</v>
      </c>
      <c r="I212" t="s">
        <v>91</v>
      </c>
      <c r="J212" t="s">
        <v>92</v>
      </c>
      <c r="K212">
        <v>2</v>
      </c>
      <c r="L212">
        <v>3040.65</v>
      </c>
      <c r="M212">
        <v>0.05</v>
      </c>
      <c r="N212">
        <v>5777.23</v>
      </c>
      <c r="O212">
        <v>3264.81</v>
      </c>
      <c r="P212">
        <v>2512.42</v>
      </c>
      <c r="Q212" t="s">
        <v>53</v>
      </c>
      <c r="R212">
        <v>0.43488315334511529</v>
      </c>
      <c r="S212">
        <v>2024</v>
      </c>
      <c r="T212" t="s">
        <v>412</v>
      </c>
      <c r="U212">
        <v>2</v>
      </c>
      <c r="V212" t="s">
        <v>33</v>
      </c>
    </row>
    <row r="213" spans="1:22" x14ac:dyDescent="0.3">
      <c r="A213" t="s">
        <v>632</v>
      </c>
      <c r="B213" s="1">
        <v>45351</v>
      </c>
      <c r="C213" t="s">
        <v>633</v>
      </c>
      <c r="D213" t="s">
        <v>626</v>
      </c>
      <c r="E213" t="s">
        <v>120</v>
      </c>
      <c r="F213" t="s">
        <v>121</v>
      </c>
      <c r="G213" t="s">
        <v>130</v>
      </c>
      <c r="H213" t="s">
        <v>64</v>
      </c>
      <c r="I213" t="s">
        <v>65</v>
      </c>
      <c r="J213" t="s">
        <v>66</v>
      </c>
      <c r="K213">
        <v>2</v>
      </c>
      <c r="L213">
        <v>5041.74</v>
      </c>
      <c r="M213">
        <v>0.15</v>
      </c>
      <c r="N213">
        <v>8570.9599999999991</v>
      </c>
      <c r="O213">
        <v>6061.79</v>
      </c>
      <c r="P213">
        <v>2509.17</v>
      </c>
      <c r="Q213" t="s">
        <v>31</v>
      </c>
      <c r="R213">
        <v>0.29275250380354129</v>
      </c>
      <c r="S213">
        <v>2024</v>
      </c>
      <c r="T213" t="s">
        <v>412</v>
      </c>
      <c r="U213">
        <v>2</v>
      </c>
      <c r="V213" t="s">
        <v>33</v>
      </c>
    </row>
    <row r="214" spans="1:22" x14ac:dyDescent="0.3">
      <c r="A214" t="s">
        <v>634</v>
      </c>
      <c r="B214" s="1">
        <v>45352</v>
      </c>
      <c r="C214" t="s">
        <v>635</v>
      </c>
      <c r="D214" t="s">
        <v>354</v>
      </c>
      <c r="E214" t="s">
        <v>25</v>
      </c>
      <c r="F214" t="s">
        <v>26</v>
      </c>
      <c r="G214" t="s">
        <v>171</v>
      </c>
      <c r="H214" t="s">
        <v>43</v>
      </c>
      <c r="I214" t="s">
        <v>44</v>
      </c>
      <c r="J214" t="s">
        <v>45</v>
      </c>
      <c r="K214">
        <v>3</v>
      </c>
      <c r="L214">
        <v>245.23</v>
      </c>
      <c r="M214">
        <v>0</v>
      </c>
      <c r="N214">
        <v>735.69</v>
      </c>
      <c r="O214">
        <v>285.02999999999997</v>
      </c>
      <c r="P214">
        <v>450.66</v>
      </c>
      <c r="Q214" t="s">
        <v>46</v>
      </c>
      <c r="R214">
        <v>0.61256779349997958</v>
      </c>
      <c r="S214">
        <v>2024</v>
      </c>
      <c r="T214" t="s">
        <v>636</v>
      </c>
      <c r="U214">
        <v>3</v>
      </c>
      <c r="V214" t="s">
        <v>33</v>
      </c>
    </row>
    <row r="215" spans="1:22" x14ac:dyDescent="0.3">
      <c r="A215" t="s">
        <v>637</v>
      </c>
      <c r="B215" s="1">
        <v>45352</v>
      </c>
      <c r="C215" t="s">
        <v>106</v>
      </c>
      <c r="D215" t="s">
        <v>638</v>
      </c>
      <c r="E215" t="s">
        <v>61</v>
      </c>
      <c r="F215" t="s">
        <v>62</v>
      </c>
      <c r="G215" t="s">
        <v>63</v>
      </c>
      <c r="H215" t="s">
        <v>84</v>
      </c>
      <c r="I215" t="s">
        <v>85</v>
      </c>
      <c r="J215" t="s">
        <v>86</v>
      </c>
      <c r="K215">
        <v>1</v>
      </c>
      <c r="L215">
        <v>1853.7</v>
      </c>
      <c r="M215">
        <v>0.1</v>
      </c>
      <c r="N215">
        <v>1668.33</v>
      </c>
      <c r="O215">
        <v>1035.92</v>
      </c>
      <c r="P215">
        <v>632.41</v>
      </c>
      <c r="Q215" t="s">
        <v>53</v>
      </c>
      <c r="R215">
        <v>0.37906769044493588</v>
      </c>
      <c r="S215">
        <v>2024</v>
      </c>
      <c r="T215" t="s">
        <v>636</v>
      </c>
      <c r="U215">
        <v>3</v>
      </c>
      <c r="V215" t="s">
        <v>33</v>
      </c>
    </row>
    <row r="216" spans="1:22" x14ac:dyDescent="0.3">
      <c r="A216" t="s">
        <v>639</v>
      </c>
      <c r="B216" s="1">
        <v>45352</v>
      </c>
      <c r="C216" t="s">
        <v>640</v>
      </c>
      <c r="D216" t="s">
        <v>641</v>
      </c>
      <c r="E216" t="s">
        <v>120</v>
      </c>
      <c r="F216" t="s">
        <v>121</v>
      </c>
      <c r="G216" t="s">
        <v>130</v>
      </c>
      <c r="H216" t="s">
        <v>64</v>
      </c>
      <c r="I216" t="s">
        <v>108</v>
      </c>
      <c r="J216" t="s">
        <v>155</v>
      </c>
      <c r="K216">
        <v>6</v>
      </c>
      <c r="L216">
        <v>8662.23</v>
      </c>
      <c r="M216">
        <v>0.15</v>
      </c>
      <c r="N216">
        <v>44177.37</v>
      </c>
      <c r="O216">
        <v>36066.620000000003</v>
      </c>
      <c r="P216">
        <v>8110.75</v>
      </c>
      <c r="Q216" t="s">
        <v>31</v>
      </c>
      <c r="R216">
        <v>0.1835951302669217</v>
      </c>
      <c r="S216">
        <v>2024</v>
      </c>
      <c r="T216" t="s">
        <v>636</v>
      </c>
      <c r="U216">
        <v>3</v>
      </c>
      <c r="V216" t="s">
        <v>33</v>
      </c>
    </row>
    <row r="217" spans="1:22" x14ac:dyDescent="0.3">
      <c r="A217" t="s">
        <v>642</v>
      </c>
      <c r="B217" s="1">
        <v>45353</v>
      </c>
      <c r="C217" t="s">
        <v>643</v>
      </c>
      <c r="D217" t="s">
        <v>644</v>
      </c>
      <c r="E217" t="s">
        <v>25</v>
      </c>
      <c r="F217" t="s">
        <v>26</v>
      </c>
      <c r="G217" t="s">
        <v>171</v>
      </c>
      <c r="H217" t="s">
        <v>28</v>
      </c>
      <c r="I217" t="s">
        <v>29</v>
      </c>
      <c r="J217" t="s">
        <v>30</v>
      </c>
      <c r="K217">
        <v>2</v>
      </c>
      <c r="L217">
        <v>56990.81</v>
      </c>
      <c r="M217">
        <v>0</v>
      </c>
      <c r="N217">
        <v>113981.62</v>
      </c>
      <c r="O217">
        <v>103367.98</v>
      </c>
      <c r="P217">
        <v>10613.64</v>
      </c>
      <c r="Q217" t="s">
        <v>31</v>
      </c>
      <c r="R217">
        <v>9.3117118356450798E-2</v>
      </c>
      <c r="S217">
        <v>2024</v>
      </c>
      <c r="T217" t="s">
        <v>636</v>
      </c>
      <c r="U217">
        <v>3</v>
      </c>
      <c r="V217" t="s">
        <v>33</v>
      </c>
    </row>
    <row r="218" spans="1:22" x14ac:dyDescent="0.3">
      <c r="A218" t="s">
        <v>645</v>
      </c>
      <c r="B218" s="1">
        <v>45353</v>
      </c>
      <c r="C218" t="s">
        <v>646</v>
      </c>
      <c r="D218" t="s">
        <v>151</v>
      </c>
      <c r="E218" t="s">
        <v>120</v>
      </c>
      <c r="F218" t="s">
        <v>121</v>
      </c>
      <c r="G218" t="s">
        <v>224</v>
      </c>
      <c r="H218" t="s">
        <v>64</v>
      </c>
      <c r="I218" t="s">
        <v>108</v>
      </c>
      <c r="J218" t="s">
        <v>109</v>
      </c>
      <c r="K218">
        <v>3</v>
      </c>
      <c r="L218">
        <v>7100.78</v>
      </c>
      <c r="M218">
        <v>0.1</v>
      </c>
      <c r="N218">
        <v>19172.11</v>
      </c>
      <c r="O218">
        <v>13666.08</v>
      </c>
      <c r="P218">
        <v>5506.03</v>
      </c>
      <c r="Q218" t="s">
        <v>113</v>
      </c>
      <c r="R218">
        <v>0.28718956859730088</v>
      </c>
      <c r="S218">
        <v>2024</v>
      </c>
      <c r="T218" t="s">
        <v>636</v>
      </c>
      <c r="U218">
        <v>3</v>
      </c>
      <c r="V218" t="s">
        <v>33</v>
      </c>
    </row>
    <row r="219" spans="1:22" x14ac:dyDescent="0.3">
      <c r="A219" t="s">
        <v>647</v>
      </c>
      <c r="B219" s="1">
        <v>45353</v>
      </c>
      <c r="C219" t="s">
        <v>648</v>
      </c>
      <c r="D219" t="s">
        <v>649</v>
      </c>
      <c r="E219" t="s">
        <v>61</v>
      </c>
      <c r="F219" t="s">
        <v>71</v>
      </c>
      <c r="G219" t="s">
        <v>100</v>
      </c>
      <c r="H219" t="s">
        <v>84</v>
      </c>
      <c r="I219" t="s">
        <v>85</v>
      </c>
      <c r="J219" t="s">
        <v>86</v>
      </c>
      <c r="K219">
        <v>1</v>
      </c>
      <c r="L219">
        <v>1814.25</v>
      </c>
      <c r="M219">
        <v>0.1</v>
      </c>
      <c r="N219">
        <v>1632.83</v>
      </c>
      <c r="O219">
        <v>989.53</v>
      </c>
      <c r="P219">
        <v>643.29999999999995</v>
      </c>
      <c r="Q219" t="s">
        <v>46</v>
      </c>
      <c r="R219">
        <v>0.39397855257436482</v>
      </c>
      <c r="S219">
        <v>2024</v>
      </c>
      <c r="T219" t="s">
        <v>636</v>
      </c>
      <c r="U219">
        <v>3</v>
      </c>
      <c r="V219" t="s">
        <v>33</v>
      </c>
    </row>
    <row r="220" spans="1:22" x14ac:dyDescent="0.3">
      <c r="A220" t="s">
        <v>650</v>
      </c>
      <c r="B220" s="1">
        <v>45353</v>
      </c>
      <c r="C220" t="s">
        <v>651</v>
      </c>
      <c r="D220" t="s">
        <v>652</v>
      </c>
      <c r="E220" t="s">
        <v>61</v>
      </c>
      <c r="F220" t="s">
        <v>78</v>
      </c>
      <c r="G220" t="s">
        <v>79</v>
      </c>
      <c r="H220" t="s">
        <v>28</v>
      </c>
      <c r="I220" t="s">
        <v>29</v>
      </c>
      <c r="J220" t="s">
        <v>30</v>
      </c>
      <c r="K220">
        <v>1</v>
      </c>
      <c r="L220">
        <v>60447.82</v>
      </c>
      <c r="M220">
        <v>0.2</v>
      </c>
      <c r="N220">
        <v>48358.26</v>
      </c>
      <c r="O220">
        <v>51281.93</v>
      </c>
      <c r="P220">
        <v>-2923.67</v>
      </c>
      <c r="Q220" t="s">
        <v>31</v>
      </c>
      <c r="R220">
        <v>-6.0458544207339128E-2</v>
      </c>
      <c r="S220">
        <v>2024</v>
      </c>
      <c r="T220" t="s">
        <v>636</v>
      </c>
      <c r="U220">
        <v>3</v>
      </c>
      <c r="V220" t="s">
        <v>33</v>
      </c>
    </row>
    <row r="221" spans="1:22" x14ac:dyDescent="0.3">
      <c r="A221" t="s">
        <v>653</v>
      </c>
      <c r="B221" s="1">
        <v>45353</v>
      </c>
      <c r="C221" t="s">
        <v>654</v>
      </c>
      <c r="D221" t="s">
        <v>253</v>
      </c>
      <c r="E221" t="s">
        <v>61</v>
      </c>
      <c r="F221" t="s">
        <v>71</v>
      </c>
      <c r="G221" t="s">
        <v>201</v>
      </c>
      <c r="H221" t="s">
        <v>84</v>
      </c>
      <c r="I221" t="s">
        <v>138</v>
      </c>
      <c r="J221" t="s">
        <v>220</v>
      </c>
      <c r="K221">
        <v>1</v>
      </c>
      <c r="L221">
        <v>7543.43</v>
      </c>
      <c r="M221">
        <v>0.15</v>
      </c>
      <c r="N221">
        <v>6411.92</v>
      </c>
      <c r="O221">
        <v>5014.13</v>
      </c>
      <c r="P221">
        <v>1397.79</v>
      </c>
      <c r="Q221" t="s">
        <v>67</v>
      </c>
      <c r="R221">
        <v>0.2179986649864627</v>
      </c>
      <c r="S221">
        <v>2024</v>
      </c>
      <c r="T221" t="s">
        <v>636</v>
      </c>
      <c r="U221">
        <v>3</v>
      </c>
      <c r="V221" t="s">
        <v>33</v>
      </c>
    </row>
    <row r="222" spans="1:22" x14ac:dyDescent="0.3">
      <c r="A222" t="s">
        <v>655</v>
      </c>
      <c r="B222" s="1">
        <v>45353</v>
      </c>
      <c r="C222" t="s">
        <v>656</v>
      </c>
      <c r="D222" t="s">
        <v>657</v>
      </c>
      <c r="E222" t="s">
        <v>120</v>
      </c>
      <c r="F222" t="s">
        <v>121</v>
      </c>
      <c r="G222" t="s">
        <v>224</v>
      </c>
      <c r="H222" t="s">
        <v>43</v>
      </c>
      <c r="I222" t="s">
        <v>44</v>
      </c>
      <c r="J222" t="s">
        <v>248</v>
      </c>
      <c r="K222">
        <v>1</v>
      </c>
      <c r="L222">
        <v>313.19</v>
      </c>
      <c r="M222">
        <v>0.05</v>
      </c>
      <c r="N222">
        <v>297.52999999999997</v>
      </c>
      <c r="O222">
        <v>126.4</v>
      </c>
      <c r="P222">
        <v>171.13</v>
      </c>
      <c r="Q222" t="s">
        <v>46</v>
      </c>
      <c r="R222">
        <v>0.57516889053204723</v>
      </c>
      <c r="S222">
        <v>2024</v>
      </c>
      <c r="T222" t="s">
        <v>636</v>
      </c>
      <c r="U222">
        <v>3</v>
      </c>
      <c r="V222" t="s">
        <v>33</v>
      </c>
    </row>
    <row r="223" spans="1:22" x14ac:dyDescent="0.3">
      <c r="A223" t="s">
        <v>658</v>
      </c>
      <c r="B223" s="1">
        <v>45355</v>
      </c>
      <c r="C223" t="s">
        <v>35</v>
      </c>
      <c r="D223" t="s">
        <v>49</v>
      </c>
      <c r="E223" t="s">
        <v>61</v>
      </c>
      <c r="F223" t="s">
        <v>71</v>
      </c>
      <c r="G223" t="s">
        <v>100</v>
      </c>
      <c r="H223" t="s">
        <v>28</v>
      </c>
      <c r="I223" t="s">
        <v>91</v>
      </c>
      <c r="J223" t="s">
        <v>92</v>
      </c>
      <c r="K223">
        <v>1</v>
      </c>
      <c r="L223">
        <v>3061.56</v>
      </c>
      <c r="M223">
        <v>0.1</v>
      </c>
      <c r="N223">
        <v>2755.4</v>
      </c>
      <c r="O223">
        <v>1563.24</v>
      </c>
      <c r="P223">
        <v>1192.1600000000001</v>
      </c>
      <c r="Q223" t="s">
        <v>31</v>
      </c>
      <c r="R223">
        <v>0.43266313420918923</v>
      </c>
      <c r="S223">
        <v>2024</v>
      </c>
      <c r="T223" t="s">
        <v>636</v>
      </c>
      <c r="U223">
        <v>3</v>
      </c>
      <c r="V223" t="s">
        <v>33</v>
      </c>
    </row>
    <row r="224" spans="1:22" x14ac:dyDescent="0.3">
      <c r="A224" t="s">
        <v>659</v>
      </c>
      <c r="B224" s="1">
        <v>45355</v>
      </c>
      <c r="C224" t="s">
        <v>208</v>
      </c>
      <c r="D224" t="s">
        <v>430</v>
      </c>
      <c r="E224" t="s">
        <v>61</v>
      </c>
      <c r="F224" t="s">
        <v>71</v>
      </c>
      <c r="G224" t="s">
        <v>201</v>
      </c>
      <c r="H224" t="s">
        <v>43</v>
      </c>
      <c r="I224" t="s">
        <v>51</v>
      </c>
      <c r="J224" t="s">
        <v>52</v>
      </c>
      <c r="K224">
        <v>2</v>
      </c>
      <c r="L224">
        <v>728.66</v>
      </c>
      <c r="M224">
        <v>0.15</v>
      </c>
      <c r="N224">
        <v>1238.72</v>
      </c>
      <c r="O224">
        <v>665.95</v>
      </c>
      <c r="P224">
        <v>572.77</v>
      </c>
      <c r="Q224" t="s">
        <v>46</v>
      </c>
      <c r="R224">
        <v>0.46238859467837767</v>
      </c>
      <c r="S224">
        <v>2024</v>
      </c>
      <c r="T224" t="s">
        <v>636</v>
      </c>
      <c r="U224">
        <v>3</v>
      </c>
      <c r="V224" t="s">
        <v>33</v>
      </c>
    </row>
    <row r="225" spans="1:22" x14ac:dyDescent="0.3">
      <c r="A225" t="s">
        <v>660</v>
      </c>
      <c r="B225" s="1">
        <v>45355</v>
      </c>
      <c r="C225" t="s">
        <v>661</v>
      </c>
      <c r="D225" t="s">
        <v>527</v>
      </c>
      <c r="E225" t="s">
        <v>61</v>
      </c>
      <c r="F225" t="s">
        <v>71</v>
      </c>
      <c r="G225" t="s">
        <v>317</v>
      </c>
      <c r="H225" t="s">
        <v>84</v>
      </c>
      <c r="I225" t="s">
        <v>138</v>
      </c>
      <c r="J225" t="s">
        <v>220</v>
      </c>
      <c r="K225">
        <v>3</v>
      </c>
      <c r="L225">
        <v>7420.48</v>
      </c>
      <c r="M225">
        <v>0.15</v>
      </c>
      <c r="N225">
        <v>18922.22</v>
      </c>
      <c r="O225">
        <v>14362.28</v>
      </c>
      <c r="P225">
        <v>4559.9399999999996</v>
      </c>
      <c r="Q225" t="s">
        <v>31</v>
      </c>
      <c r="R225">
        <v>0.24098335184772179</v>
      </c>
      <c r="S225">
        <v>2024</v>
      </c>
      <c r="T225" t="s">
        <v>636</v>
      </c>
      <c r="U225">
        <v>3</v>
      </c>
      <c r="V225" t="s">
        <v>33</v>
      </c>
    </row>
    <row r="226" spans="1:22" x14ac:dyDescent="0.3">
      <c r="A226" t="s">
        <v>662</v>
      </c>
      <c r="B226" s="1">
        <v>45355</v>
      </c>
      <c r="C226" t="s">
        <v>663</v>
      </c>
      <c r="D226" t="s">
        <v>40</v>
      </c>
      <c r="E226" t="s">
        <v>25</v>
      </c>
      <c r="F226" t="s">
        <v>26</v>
      </c>
      <c r="G226" t="s">
        <v>260</v>
      </c>
      <c r="H226" t="s">
        <v>64</v>
      </c>
      <c r="I226" t="s">
        <v>108</v>
      </c>
      <c r="J226" t="s">
        <v>109</v>
      </c>
      <c r="K226">
        <v>2</v>
      </c>
      <c r="L226">
        <v>6967.6</v>
      </c>
      <c r="M226">
        <v>0</v>
      </c>
      <c r="N226">
        <v>13935.2</v>
      </c>
      <c r="O226">
        <v>9026.74</v>
      </c>
      <c r="P226">
        <v>4908.46</v>
      </c>
      <c r="Q226" t="s">
        <v>31</v>
      </c>
      <c r="R226">
        <v>0.35223462885355072</v>
      </c>
      <c r="S226">
        <v>2024</v>
      </c>
      <c r="T226" t="s">
        <v>636</v>
      </c>
      <c r="U226">
        <v>3</v>
      </c>
      <c r="V226" t="s">
        <v>33</v>
      </c>
    </row>
    <row r="227" spans="1:22" x14ac:dyDescent="0.3">
      <c r="A227" t="s">
        <v>664</v>
      </c>
      <c r="B227" s="1">
        <v>45356</v>
      </c>
      <c r="C227" t="s">
        <v>509</v>
      </c>
      <c r="D227" t="s">
        <v>77</v>
      </c>
      <c r="E227" t="s">
        <v>61</v>
      </c>
      <c r="F227" t="s">
        <v>78</v>
      </c>
      <c r="G227" t="s">
        <v>79</v>
      </c>
      <c r="H227" t="s">
        <v>43</v>
      </c>
      <c r="I227" t="s">
        <v>51</v>
      </c>
      <c r="J227" t="s">
        <v>96</v>
      </c>
      <c r="K227">
        <v>1</v>
      </c>
      <c r="L227">
        <v>508.73</v>
      </c>
      <c r="M227">
        <v>0.1</v>
      </c>
      <c r="N227">
        <v>457.86</v>
      </c>
      <c r="O227">
        <v>236.21</v>
      </c>
      <c r="P227">
        <v>221.65</v>
      </c>
      <c r="Q227" t="s">
        <v>67</v>
      </c>
      <c r="R227">
        <v>0.4840999432140829</v>
      </c>
      <c r="S227">
        <v>2024</v>
      </c>
      <c r="T227" t="s">
        <v>636</v>
      </c>
      <c r="U227">
        <v>3</v>
      </c>
      <c r="V227" t="s">
        <v>33</v>
      </c>
    </row>
    <row r="228" spans="1:22" x14ac:dyDescent="0.3">
      <c r="A228" t="s">
        <v>665</v>
      </c>
      <c r="B228" s="1">
        <v>45356</v>
      </c>
      <c r="C228" t="s">
        <v>666</v>
      </c>
      <c r="D228" t="s">
        <v>667</v>
      </c>
      <c r="E228" t="s">
        <v>25</v>
      </c>
      <c r="F228" t="s">
        <v>26</v>
      </c>
      <c r="G228" t="s">
        <v>37</v>
      </c>
      <c r="H228" t="s">
        <v>64</v>
      </c>
      <c r="I228" t="s">
        <v>65</v>
      </c>
      <c r="J228" t="s">
        <v>66</v>
      </c>
      <c r="K228">
        <v>3</v>
      </c>
      <c r="L228">
        <v>4741.8</v>
      </c>
      <c r="M228">
        <v>0.05</v>
      </c>
      <c r="N228">
        <v>13514.13</v>
      </c>
      <c r="O228">
        <v>8660.35</v>
      </c>
      <c r="P228">
        <v>4853.78</v>
      </c>
      <c r="Q228" t="s">
        <v>31</v>
      </c>
      <c r="R228">
        <v>0.35916333496865871</v>
      </c>
      <c r="S228">
        <v>2024</v>
      </c>
      <c r="T228" t="s">
        <v>636</v>
      </c>
      <c r="U228">
        <v>3</v>
      </c>
      <c r="V228" t="s">
        <v>33</v>
      </c>
    </row>
    <row r="229" spans="1:22" x14ac:dyDescent="0.3">
      <c r="A229" t="s">
        <v>668</v>
      </c>
      <c r="B229" s="1">
        <v>45356</v>
      </c>
      <c r="C229" t="s">
        <v>669</v>
      </c>
      <c r="D229" t="s">
        <v>670</v>
      </c>
      <c r="E229" t="s">
        <v>61</v>
      </c>
      <c r="F229" t="s">
        <v>78</v>
      </c>
      <c r="G229" t="s">
        <v>83</v>
      </c>
      <c r="H229" t="s">
        <v>43</v>
      </c>
      <c r="I229" t="s">
        <v>51</v>
      </c>
      <c r="J229" t="s">
        <v>96</v>
      </c>
      <c r="K229">
        <v>1</v>
      </c>
      <c r="L229">
        <v>514.82000000000005</v>
      </c>
      <c r="M229">
        <v>0.1</v>
      </c>
      <c r="N229">
        <v>463.34</v>
      </c>
      <c r="O229">
        <v>239.95</v>
      </c>
      <c r="P229">
        <v>223.39</v>
      </c>
      <c r="Q229" t="s">
        <v>31</v>
      </c>
      <c r="R229">
        <v>0.48212975352872622</v>
      </c>
      <c r="S229">
        <v>2024</v>
      </c>
      <c r="T229" t="s">
        <v>636</v>
      </c>
      <c r="U229">
        <v>3</v>
      </c>
      <c r="V229" t="s">
        <v>33</v>
      </c>
    </row>
    <row r="230" spans="1:22" x14ac:dyDescent="0.3">
      <c r="A230" t="s">
        <v>671</v>
      </c>
      <c r="B230" s="1">
        <v>45356</v>
      </c>
      <c r="C230" t="s">
        <v>672</v>
      </c>
      <c r="D230" t="s">
        <v>326</v>
      </c>
      <c r="E230" t="s">
        <v>61</v>
      </c>
      <c r="F230" t="s">
        <v>71</v>
      </c>
      <c r="G230" t="s">
        <v>72</v>
      </c>
      <c r="H230" t="s">
        <v>28</v>
      </c>
      <c r="I230" t="s">
        <v>73</v>
      </c>
      <c r="J230" t="s">
        <v>80</v>
      </c>
      <c r="K230">
        <v>2</v>
      </c>
      <c r="L230">
        <v>814.4</v>
      </c>
      <c r="M230">
        <v>0.15</v>
      </c>
      <c r="N230">
        <v>1384.48</v>
      </c>
      <c r="O230">
        <v>985.49</v>
      </c>
      <c r="P230">
        <v>398.99</v>
      </c>
      <c r="Q230" t="s">
        <v>31</v>
      </c>
      <c r="R230">
        <v>0.28818762278978388</v>
      </c>
      <c r="S230">
        <v>2024</v>
      </c>
      <c r="T230" t="s">
        <v>636</v>
      </c>
      <c r="U230">
        <v>3</v>
      </c>
      <c r="V230" t="s">
        <v>33</v>
      </c>
    </row>
    <row r="231" spans="1:22" x14ac:dyDescent="0.3">
      <c r="A231" t="s">
        <v>673</v>
      </c>
      <c r="B231" s="1">
        <v>45357</v>
      </c>
      <c r="C231" t="s">
        <v>674</v>
      </c>
      <c r="D231" t="s">
        <v>675</v>
      </c>
      <c r="E231" t="s">
        <v>41</v>
      </c>
      <c r="F231" t="s">
        <v>42</v>
      </c>
      <c r="G231" t="s">
        <v>42</v>
      </c>
      <c r="H231" t="s">
        <v>43</v>
      </c>
      <c r="I231" t="s">
        <v>51</v>
      </c>
      <c r="J231" t="s">
        <v>52</v>
      </c>
      <c r="K231">
        <v>2</v>
      </c>
      <c r="L231">
        <v>719.3</v>
      </c>
      <c r="M231">
        <v>0.15</v>
      </c>
      <c r="N231">
        <v>1222.81</v>
      </c>
      <c r="O231">
        <v>689.29</v>
      </c>
      <c r="P231">
        <v>533.52</v>
      </c>
      <c r="Q231" t="s">
        <v>53</v>
      </c>
      <c r="R231">
        <v>0.43630653985492429</v>
      </c>
      <c r="S231">
        <v>2024</v>
      </c>
      <c r="T231" t="s">
        <v>636</v>
      </c>
      <c r="U231">
        <v>3</v>
      </c>
      <c r="V231" t="s">
        <v>33</v>
      </c>
    </row>
    <row r="232" spans="1:22" x14ac:dyDescent="0.3">
      <c r="A232" t="s">
        <v>676</v>
      </c>
      <c r="B232" s="1">
        <v>45357</v>
      </c>
      <c r="C232" t="s">
        <v>677</v>
      </c>
      <c r="D232" t="s">
        <v>678</v>
      </c>
      <c r="E232" t="s">
        <v>41</v>
      </c>
      <c r="F232" t="s">
        <v>42</v>
      </c>
      <c r="G232" t="s">
        <v>42</v>
      </c>
      <c r="H232" t="s">
        <v>28</v>
      </c>
      <c r="I232" t="s">
        <v>29</v>
      </c>
      <c r="J232" t="s">
        <v>30</v>
      </c>
      <c r="K232">
        <v>2</v>
      </c>
      <c r="L232">
        <v>59202.37</v>
      </c>
      <c r="M232">
        <v>0.05</v>
      </c>
      <c r="N232">
        <v>112484.5</v>
      </c>
      <c r="O232">
        <v>103883.65</v>
      </c>
      <c r="P232">
        <v>8600.85</v>
      </c>
      <c r="Q232" t="s">
        <v>31</v>
      </c>
      <c r="R232">
        <v>7.6462534838133256E-2</v>
      </c>
      <c r="S232">
        <v>2024</v>
      </c>
      <c r="T232" t="s">
        <v>636</v>
      </c>
      <c r="U232">
        <v>3</v>
      </c>
      <c r="V232" t="s">
        <v>33</v>
      </c>
    </row>
    <row r="233" spans="1:22" x14ac:dyDescent="0.3">
      <c r="A233" t="s">
        <v>679</v>
      </c>
      <c r="B233" s="1">
        <v>45357</v>
      </c>
      <c r="C233" t="s">
        <v>173</v>
      </c>
      <c r="D233" t="s">
        <v>680</v>
      </c>
      <c r="E233" t="s">
        <v>61</v>
      </c>
      <c r="F233" t="s">
        <v>71</v>
      </c>
      <c r="G233" t="s">
        <v>317</v>
      </c>
      <c r="H233" t="s">
        <v>84</v>
      </c>
      <c r="I233" t="s">
        <v>85</v>
      </c>
      <c r="J233" t="s">
        <v>145</v>
      </c>
      <c r="K233">
        <v>1</v>
      </c>
      <c r="L233">
        <v>3394.35</v>
      </c>
      <c r="M233">
        <v>0</v>
      </c>
      <c r="N233">
        <v>3394.35</v>
      </c>
      <c r="O233">
        <v>1963.54</v>
      </c>
      <c r="P233">
        <v>1430.81</v>
      </c>
      <c r="Q233" t="s">
        <v>53</v>
      </c>
      <c r="R233">
        <v>0.42152694919498579</v>
      </c>
      <c r="S233">
        <v>2024</v>
      </c>
      <c r="T233" t="s">
        <v>636</v>
      </c>
      <c r="U233">
        <v>3</v>
      </c>
      <c r="V233" t="s">
        <v>33</v>
      </c>
    </row>
    <row r="234" spans="1:22" x14ac:dyDescent="0.3">
      <c r="A234" t="s">
        <v>681</v>
      </c>
      <c r="B234" s="1">
        <v>45358</v>
      </c>
      <c r="C234" t="s">
        <v>682</v>
      </c>
      <c r="D234" t="s">
        <v>683</v>
      </c>
      <c r="E234" t="s">
        <v>61</v>
      </c>
      <c r="F234" t="s">
        <v>78</v>
      </c>
      <c r="G234" t="s">
        <v>216</v>
      </c>
      <c r="H234" t="s">
        <v>43</v>
      </c>
      <c r="I234" t="s">
        <v>51</v>
      </c>
      <c r="J234" t="s">
        <v>96</v>
      </c>
      <c r="K234">
        <v>1</v>
      </c>
      <c r="L234">
        <v>480.74</v>
      </c>
      <c r="M234">
        <v>0</v>
      </c>
      <c r="N234">
        <v>480.74</v>
      </c>
      <c r="O234">
        <v>208.65</v>
      </c>
      <c r="P234">
        <v>272.08999999999997</v>
      </c>
      <c r="Q234" t="s">
        <v>46</v>
      </c>
      <c r="R234">
        <v>0.56598161168199024</v>
      </c>
      <c r="S234">
        <v>2024</v>
      </c>
      <c r="T234" t="s">
        <v>636</v>
      </c>
      <c r="U234">
        <v>3</v>
      </c>
      <c r="V234" t="s">
        <v>33</v>
      </c>
    </row>
    <row r="235" spans="1:22" x14ac:dyDescent="0.3">
      <c r="A235" t="s">
        <v>684</v>
      </c>
      <c r="B235" s="1">
        <v>45358</v>
      </c>
      <c r="C235" t="s">
        <v>473</v>
      </c>
      <c r="D235" t="s">
        <v>685</v>
      </c>
      <c r="E235" t="s">
        <v>25</v>
      </c>
      <c r="F235" t="s">
        <v>26</v>
      </c>
      <c r="G235" t="s">
        <v>171</v>
      </c>
      <c r="H235" t="s">
        <v>84</v>
      </c>
      <c r="I235" t="s">
        <v>85</v>
      </c>
      <c r="J235" t="s">
        <v>86</v>
      </c>
      <c r="K235">
        <v>1</v>
      </c>
      <c r="L235">
        <v>1823.57</v>
      </c>
      <c r="M235">
        <v>0</v>
      </c>
      <c r="N235">
        <v>1823.57</v>
      </c>
      <c r="O235">
        <v>1014.85</v>
      </c>
      <c r="P235">
        <v>808.72</v>
      </c>
      <c r="Q235" t="s">
        <v>31</v>
      </c>
      <c r="R235">
        <v>0.44348174185800382</v>
      </c>
      <c r="S235">
        <v>2024</v>
      </c>
      <c r="T235" t="s">
        <v>636</v>
      </c>
      <c r="U235">
        <v>3</v>
      </c>
      <c r="V235" t="s">
        <v>33</v>
      </c>
    </row>
    <row r="236" spans="1:22" x14ac:dyDescent="0.3">
      <c r="A236" t="s">
        <v>686</v>
      </c>
      <c r="B236" s="1">
        <v>45359</v>
      </c>
      <c r="C236" t="s">
        <v>687</v>
      </c>
      <c r="D236" t="s">
        <v>688</v>
      </c>
      <c r="E236" t="s">
        <v>61</v>
      </c>
      <c r="F236" t="s">
        <v>62</v>
      </c>
      <c r="G236" t="s">
        <v>134</v>
      </c>
      <c r="H236" t="s">
        <v>43</v>
      </c>
      <c r="I236" t="s">
        <v>44</v>
      </c>
      <c r="J236" t="s">
        <v>45</v>
      </c>
      <c r="K236">
        <v>2</v>
      </c>
      <c r="L236">
        <v>237.14</v>
      </c>
      <c r="M236">
        <v>0.05</v>
      </c>
      <c r="N236">
        <v>450.57</v>
      </c>
      <c r="O236">
        <v>184.87</v>
      </c>
      <c r="P236">
        <v>265.7</v>
      </c>
      <c r="Q236" t="s">
        <v>31</v>
      </c>
      <c r="R236">
        <v>0.58969749428501672</v>
      </c>
      <c r="S236">
        <v>2024</v>
      </c>
      <c r="T236" t="s">
        <v>636</v>
      </c>
      <c r="U236">
        <v>3</v>
      </c>
      <c r="V236" t="s">
        <v>33</v>
      </c>
    </row>
    <row r="237" spans="1:22" x14ac:dyDescent="0.3">
      <c r="A237" t="s">
        <v>689</v>
      </c>
      <c r="B237" s="1">
        <v>45359</v>
      </c>
      <c r="C237" t="s">
        <v>608</v>
      </c>
      <c r="D237" t="s">
        <v>227</v>
      </c>
      <c r="E237" t="s">
        <v>61</v>
      </c>
      <c r="F237" t="s">
        <v>78</v>
      </c>
      <c r="G237" t="s">
        <v>83</v>
      </c>
      <c r="H237" t="s">
        <v>64</v>
      </c>
      <c r="I237" t="s">
        <v>65</v>
      </c>
      <c r="J237" t="s">
        <v>66</v>
      </c>
      <c r="K237">
        <v>4</v>
      </c>
      <c r="L237">
        <v>4871.9399999999996</v>
      </c>
      <c r="M237">
        <v>0</v>
      </c>
      <c r="N237">
        <v>19487.759999999998</v>
      </c>
      <c r="O237">
        <v>12126.54</v>
      </c>
      <c r="P237">
        <v>7361.22</v>
      </c>
      <c r="Q237" t="s">
        <v>31</v>
      </c>
      <c r="R237">
        <v>0.37773556324585278</v>
      </c>
      <c r="S237">
        <v>2024</v>
      </c>
      <c r="T237" t="s">
        <v>636</v>
      </c>
      <c r="U237">
        <v>3</v>
      </c>
      <c r="V237" t="s">
        <v>33</v>
      </c>
    </row>
    <row r="238" spans="1:22" x14ac:dyDescent="0.3">
      <c r="A238" t="s">
        <v>690</v>
      </c>
      <c r="B238" s="1">
        <v>45359</v>
      </c>
      <c r="C238" t="s">
        <v>518</v>
      </c>
      <c r="D238" t="s">
        <v>158</v>
      </c>
      <c r="E238" t="s">
        <v>41</v>
      </c>
      <c r="F238" t="s">
        <v>42</v>
      </c>
      <c r="G238" t="s">
        <v>50</v>
      </c>
      <c r="H238" t="s">
        <v>28</v>
      </c>
      <c r="I238" t="s">
        <v>91</v>
      </c>
      <c r="J238" t="s">
        <v>92</v>
      </c>
      <c r="K238">
        <v>4</v>
      </c>
      <c r="L238">
        <v>3140.62</v>
      </c>
      <c r="M238">
        <v>0.05</v>
      </c>
      <c r="N238">
        <v>11934.36</v>
      </c>
      <c r="O238">
        <v>6730.18</v>
      </c>
      <c r="P238">
        <v>5204.18</v>
      </c>
      <c r="Q238" t="s">
        <v>67</v>
      </c>
      <c r="R238">
        <v>0.43606695289902431</v>
      </c>
      <c r="S238">
        <v>2024</v>
      </c>
      <c r="T238" t="s">
        <v>636</v>
      </c>
      <c r="U238">
        <v>3</v>
      </c>
      <c r="V238" t="s">
        <v>33</v>
      </c>
    </row>
    <row r="239" spans="1:22" x14ac:dyDescent="0.3">
      <c r="A239" t="s">
        <v>691</v>
      </c>
      <c r="B239" s="1">
        <v>45360</v>
      </c>
      <c r="C239" t="s">
        <v>692</v>
      </c>
      <c r="D239" t="s">
        <v>490</v>
      </c>
      <c r="E239" t="s">
        <v>61</v>
      </c>
      <c r="F239" t="s">
        <v>62</v>
      </c>
      <c r="G239" t="s">
        <v>134</v>
      </c>
      <c r="H239" t="s">
        <v>64</v>
      </c>
      <c r="I239" t="s">
        <v>108</v>
      </c>
      <c r="J239" t="s">
        <v>109</v>
      </c>
      <c r="K239">
        <v>2</v>
      </c>
      <c r="L239">
        <v>7402.08</v>
      </c>
      <c r="M239">
        <v>0.1</v>
      </c>
      <c r="N239">
        <v>13323.74</v>
      </c>
      <c r="O239">
        <v>9738.64</v>
      </c>
      <c r="P239">
        <v>3585.1</v>
      </c>
      <c r="Q239" t="s">
        <v>53</v>
      </c>
      <c r="R239">
        <v>0.26907610025413292</v>
      </c>
      <c r="S239">
        <v>2024</v>
      </c>
      <c r="T239" t="s">
        <v>636</v>
      </c>
      <c r="U239">
        <v>3</v>
      </c>
      <c r="V239" t="s">
        <v>33</v>
      </c>
    </row>
    <row r="240" spans="1:22" x14ac:dyDescent="0.3">
      <c r="A240" t="s">
        <v>693</v>
      </c>
      <c r="B240" s="1">
        <v>45360</v>
      </c>
      <c r="C240" t="s">
        <v>694</v>
      </c>
      <c r="D240" t="s">
        <v>695</v>
      </c>
      <c r="E240" t="s">
        <v>61</v>
      </c>
      <c r="F240" t="s">
        <v>62</v>
      </c>
      <c r="G240" t="s">
        <v>63</v>
      </c>
      <c r="H240" t="s">
        <v>43</v>
      </c>
      <c r="I240" t="s">
        <v>44</v>
      </c>
      <c r="J240" t="s">
        <v>248</v>
      </c>
      <c r="K240">
        <v>1</v>
      </c>
      <c r="L240">
        <v>308.38</v>
      </c>
      <c r="M240">
        <v>0.2</v>
      </c>
      <c r="N240">
        <v>246.7</v>
      </c>
      <c r="O240">
        <v>133.9</v>
      </c>
      <c r="P240">
        <v>112.8</v>
      </c>
      <c r="Q240" t="s">
        <v>67</v>
      </c>
      <c r="R240">
        <v>0.45723550871503849</v>
      </c>
      <c r="S240">
        <v>2024</v>
      </c>
      <c r="T240" t="s">
        <v>636</v>
      </c>
      <c r="U240">
        <v>3</v>
      </c>
      <c r="V240" t="s">
        <v>33</v>
      </c>
    </row>
    <row r="241" spans="1:22" x14ac:dyDescent="0.3">
      <c r="A241" t="s">
        <v>696</v>
      </c>
      <c r="B241" s="1">
        <v>45360</v>
      </c>
      <c r="C241" t="s">
        <v>697</v>
      </c>
      <c r="D241" t="s">
        <v>698</v>
      </c>
      <c r="E241" t="s">
        <v>61</v>
      </c>
      <c r="F241" t="s">
        <v>62</v>
      </c>
      <c r="G241" t="s">
        <v>63</v>
      </c>
      <c r="H241" t="s">
        <v>28</v>
      </c>
      <c r="I241" t="s">
        <v>73</v>
      </c>
      <c r="J241" t="s">
        <v>80</v>
      </c>
      <c r="K241">
        <v>3</v>
      </c>
      <c r="L241">
        <v>807.37</v>
      </c>
      <c r="M241">
        <v>0.05</v>
      </c>
      <c r="N241">
        <v>2301</v>
      </c>
      <c r="O241">
        <v>1444.75</v>
      </c>
      <c r="P241">
        <v>856.25</v>
      </c>
      <c r="Q241" t="s">
        <v>46</v>
      </c>
      <c r="R241">
        <v>0.37212081703607119</v>
      </c>
      <c r="S241">
        <v>2024</v>
      </c>
      <c r="T241" t="s">
        <v>636</v>
      </c>
      <c r="U241">
        <v>3</v>
      </c>
      <c r="V241" t="s">
        <v>33</v>
      </c>
    </row>
    <row r="242" spans="1:22" x14ac:dyDescent="0.3">
      <c r="A242" t="s">
        <v>699</v>
      </c>
      <c r="B242" s="1">
        <v>45360</v>
      </c>
      <c r="C242" t="s">
        <v>700</v>
      </c>
      <c r="D242" t="s">
        <v>701</v>
      </c>
      <c r="E242" t="s">
        <v>120</v>
      </c>
      <c r="F242" t="s">
        <v>121</v>
      </c>
      <c r="G242" t="s">
        <v>130</v>
      </c>
      <c r="H242" t="s">
        <v>28</v>
      </c>
      <c r="I242" t="s">
        <v>73</v>
      </c>
      <c r="J242" t="s">
        <v>80</v>
      </c>
      <c r="K242">
        <v>2</v>
      </c>
      <c r="L242">
        <v>844.23</v>
      </c>
      <c r="M242">
        <v>0.1</v>
      </c>
      <c r="N242">
        <v>1519.61</v>
      </c>
      <c r="O242">
        <v>1078.98</v>
      </c>
      <c r="P242">
        <v>440.63</v>
      </c>
      <c r="Q242" t="s">
        <v>31</v>
      </c>
      <c r="R242">
        <v>0.28996255618217842</v>
      </c>
      <c r="S242">
        <v>2024</v>
      </c>
      <c r="T242" t="s">
        <v>636</v>
      </c>
      <c r="U242">
        <v>3</v>
      </c>
      <c r="V242" t="s">
        <v>33</v>
      </c>
    </row>
    <row r="243" spans="1:22" x14ac:dyDescent="0.3">
      <c r="A243" t="s">
        <v>702</v>
      </c>
      <c r="B243" s="1">
        <v>45361</v>
      </c>
      <c r="C243" t="s">
        <v>703</v>
      </c>
      <c r="D243" t="s">
        <v>704</v>
      </c>
      <c r="E243" t="s">
        <v>61</v>
      </c>
      <c r="F243" t="s">
        <v>62</v>
      </c>
      <c r="G243" t="s">
        <v>228</v>
      </c>
      <c r="H243" t="s">
        <v>84</v>
      </c>
      <c r="I243" t="s">
        <v>85</v>
      </c>
      <c r="J243" t="s">
        <v>145</v>
      </c>
      <c r="K243">
        <v>3</v>
      </c>
      <c r="L243">
        <v>3361.13</v>
      </c>
      <c r="M243">
        <v>0.2</v>
      </c>
      <c r="N243">
        <v>8066.71</v>
      </c>
      <c r="O243">
        <v>5805.5</v>
      </c>
      <c r="P243">
        <v>2261.21</v>
      </c>
      <c r="Q243" t="s">
        <v>53</v>
      </c>
      <c r="R243">
        <v>0.28031378343835339</v>
      </c>
      <c r="S243">
        <v>2024</v>
      </c>
      <c r="T243" t="s">
        <v>636</v>
      </c>
      <c r="U243">
        <v>3</v>
      </c>
      <c r="V243" t="s">
        <v>33</v>
      </c>
    </row>
    <row r="244" spans="1:22" x14ac:dyDescent="0.3">
      <c r="A244" t="s">
        <v>705</v>
      </c>
      <c r="B244" s="1">
        <v>45361</v>
      </c>
      <c r="C244" t="s">
        <v>706</v>
      </c>
      <c r="D244" t="s">
        <v>707</v>
      </c>
      <c r="E244" t="s">
        <v>61</v>
      </c>
      <c r="F244" t="s">
        <v>62</v>
      </c>
      <c r="G244" t="s">
        <v>90</v>
      </c>
      <c r="H244" t="s">
        <v>43</v>
      </c>
      <c r="I244" t="s">
        <v>51</v>
      </c>
      <c r="J244" t="s">
        <v>96</v>
      </c>
      <c r="K244">
        <v>2</v>
      </c>
      <c r="L244">
        <v>479.86</v>
      </c>
      <c r="M244">
        <v>0.05</v>
      </c>
      <c r="N244">
        <v>911.73</v>
      </c>
      <c r="O244">
        <v>439.34</v>
      </c>
      <c r="P244">
        <v>472.39</v>
      </c>
      <c r="Q244" t="s">
        <v>31</v>
      </c>
      <c r="R244">
        <v>0.51812488346330599</v>
      </c>
      <c r="S244">
        <v>2024</v>
      </c>
      <c r="T244" t="s">
        <v>636</v>
      </c>
      <c r="U244">
        <v>3</v>
      </c>
      <c r="V244" t="s">
        <v>33</v>
      </c>
    </row>
    <row r="245" spans="1:22" x14ac:dyDescent="0.3">
      <c r="A245" t="s">
        <v>708</v>
      </c>
      <c r="B245" s="1">
        <v>45362</v>
      </c>
      <c r="C245" t="s">
        <v>709</v>
      </c>
      <c r="D245" t="s">
        <v>638</v>
      </c>
      <c r="E245" t="s">
        <v>61</v>
      </c>
      <c r="F245" t="s">
        <v>62</v>
      </c>
      <c r="G245" t="s">
        <v>90</v>
      </c>
      <c r="H245" t="s">
        <v>64</v>
      </c>
      <c r="I245" t="s">
        <v>65</v>
      </c>
      <c r="J245" t="s">
        <v>66</v>
      </c>
      <c r="K245">
        <v>1</v>
      </c>
      <c r="L245">
        <v>5188.42</v>
      </c>
      <c r="M245">
        <v>0.2</v>
      </c>
      <c r="N245">
        <v>4150.74</v>
      </c>
      <c r="O245">
        <v>3221.54</v>
      </c>
      <c r="P245">
        <v>929.2</v>
      </c>
      <c r="Q245" t="s">
        <v>31</v>
      </c>
      <c r="R245">
        <v>0.22386369659386041</v>
      </c>
      <c r="S245">
        <v>2024</v>
      </c>
      <c r="T245" t="s">
        <v>636</v>
      </c>
      <c r="U245">
        <v>3</v>
      </c>
      <c r="V245" t="s">
        <v>33</v>
      </c>
    </row>
    <row r="246" spans="1:22" x14ac:dyDescent="0.3">
      <c r="A246" t="s">
        <v>710</v>
      </c>
      <c r="B246" s="1">
        <v>45362</v>
      </c>
      <c r="C246" t="s">
        <v>711</v>
      </c>
      <c r="D246" t="s">
        <v>712</v>
      </c>
      <c r="E246" t="s">
        <v>61</v>
      </c>
      <c r="F246" t="s">
        <v>78</v>
      </c>
      <c r="G246" t="s">
        <v>104</v>
      </c>
      <c r="H246" t="s">
        <v>28</v>
      </c>
      <c r="I246" t="s">
        <v>91</v>
      </c>
      <c r="J246" t="s">
        <v>92</v>
      </c>
      <c r="K246">
        <v>2</v>
      </c>
      <c r="L246">
        <v>2943.92</v>
      </c>
      <c r="M246">
        <v>0</v>
      </c>
      <c r="N246">
        <v>5887.84</v>
      </c>
      <c r="O246">
        <v>2998.79</v>
      </c>
      <c r="P246">
        <v>2889.05</v>
      </c>
      <c r="Q246" t="s">
        <v>31</v>
      </c>
      <c r="R246">
        <v>0.49068079295633038</v>
      </c>
      <c r="S246">
        <v>2024</v>
      </c>
      <c r="T246" t="s">
        <v>636</v>
      </c>
      <c r="U246">
        <v>3</v>
      </c>
      <c r="V246" t="s">
        <v>33</v>
      </c>
    </row>
    <row r="247" spans="1:22" x14ac:dyDescent="0.3">
      <c r="A247" t="s">
        <v>713</v>
      </c>
      <c r="B247" s="1">
        <v>45362</v>
      </c>
      <c r="C247" t="s">
        <v>714</v>
      </c>
      <c r="D247" t="s">
        <v>688</v>
      </c>
      <c r="E247" t="s">
        <v>120</v>
      </c>
      <c r="F247" t="s">
        <v>121</v>
      </c>
      <c r="G247" t="s">
        <v>130</v>
      </c>
      <c r="H247" t="s">
        <v>28</v>
      </c>
      <c r="I247" t="s">
        <v>91</v>
      </c>
      <c r="J247" t="s">
        <v>92</v>
      </c>
      <c r="K247">
        <v>2</v>
      </c>
      <c r="L247">
        <v>2820.48</v>
      </c>
      <c r="M247">
        <v>0</v>
      </c>
      <c r="N247">
        <v>5640.96</v>
      </c>
      <c r="O247">
        <v>3034.56</v>
      </c>
      <c r="P247">
        <v>2606.4</v>
      </c>
      <c r="Q247" t="s">
        <v>31</v>
      </c>
      <c r="R247">
        <v>0.46204901293396872</v>
      </c>
      <c r="S247">
        <v>2024</v>
      </c>
      <c r="T247" t="s">
        <v>636</v>
      </c>
      <c r="U247">
        <v>3</v>
      </c>
      <c r="V247" t="s">
        <v>33</v>
      </c>
    </row>
    <row r="248" spans="1:22" x14ac:dyDescent="0.3">
      <c r="A248" t="s">
        <v>715</v>
      </c>
      <c r="B248" s="1">
        <v>45363</v>
      </c>
      <c r="C248" t="s">
        <v>716</v>
      </c>
      <c r="D248" t="s">
        <v>540</v>
      </c>
      <c r="E248" t="s">
        <v>25</v>
      </c>
      <c r="F248" t="s">
        <v>26</v>
      </c>
      <c r="G248" t="s">
        <v>27</v>
      </c>
      <c r="H248" t="s">
        <v>43</v>
      </c>
      <c r="I248" t="s">
        <v>51</v>
      </c>
      <c r="J248" t="s">
        <v>96</v>
      </c>
      <c r="K248">
        <v>5</v>
      </c>
      <c r="L248">
        <v>512.64</v>
      </c>
      <c r="M248">
        <v>0.2</v>
      </c>
      <c r="N248">
        <v>2050.56</v>
      </c>
      <c r="O248">
        <v>1114.3599999999999</v>
      </c>
      <c r="P248">
        <v>936.2</v>
      </c>
      <c r="Q248" t="s">
        <v>53</v>
      </c>
      <c r="R248">
        <v>0.45655820848938827</v>
      </c>
      <c r="S248">
        <v>2024</v>
      </c>
      <c r="T248" t="s">
        <v>636</v>
      </c>
      <c r="U248">
        <v>3</v>
      </c>
      <c r="V248" t="s">
        <v>33</v>
      </c>
    </row>
    <row r="249" spans="1:22" x14ac:dyDescent="0.3">
      <c r="A249" t="s">
        <v>717</v>
      </c>
      <c r="B249" s="1">
        <v>45364</v>
      </c>
      <c r="C249" t="s">
        <v>379</v>
      </c>
      <c r="D249" t="s">
        <v>49</v>
      </c>
      <c r="E249" t="s">
        <v>61</v>
      </c>
      <c r="F249" t="s">
        <v>62</v>
      </c>
      <c r="G249" t="s">
        <v>134</v>
      </c>
      <c r="H249" t="s">
        <v>64</v>
      </c>
      <c r="I249" t="s">
        <v>65</v>
      </c>
      <c r="J249" t="s">
        <v>66</v>
      </c>
      <c r="K249">
        <v>1</v>
      </c>
      <c r="L249">
        <v>5147.01</v>
      </c>
      <c r="M249">
        <v>0.1</v>
      </c>
      <c r="N249">
        <v>4632.3100000000004</v>
      </c>
      <c r="O249">
        <v>3132.65</v>
      </c>
      <c r="P249">
        <v>1499.66</v>
      </c>
      <c r="Q249" t="s">
        <v>46</v>
      </c>
      <c r="R249">
        <v>0.32373912799445631</v>
      </c>
      <c r="S249">
        <v>2024</v>
      </c>
      <c r="T249" t="s">
        <v>636</v>
      </c>
      <c r="U249">
        <v>3</v>
      </c>
      <c r="V249" t="s">
        <v>33</v>
      </c>
    </row>
    <row r="250" spans="1:22" x14ac:dyDescent="0.3">
      <c r="A250" t="s">
        <v>718</v>
      </c>
      <c r="B250" s="1">
        <v>45364</v>
      </c>
      <c r="C250" t="s">
        <v>719</v>
      </c>
      <c r="D250" t="s">
        <v>547</v>
      </c>
      <c r="E250" t="s">
        <v>120</v>
      </c>
      <c r="F250" t="s">
        <v>121</v>
      </c>
      <c r="G250" t="s">
        <v>224</v>
      </c>
      <c r="H250" t="s">
        <v>64</v>
      </c>
      <c r="I250" t="s">
        <v>65</v>
      </c>
      <c r="J250" t="s">
        <v>232</v>
      </c>
      <c r="K250">
        <v>1</v>
      </c>
      <c r="L250">
        <v>3770.16</v>
      </c>
      <c r="M250">
        <v>0.1</v>
      </c>
      <c r="N250">
        <v>3393.14</v>
      </c>
      <c r="O250">
        <v>2466.2600000000002</v>
      </c>
      <c r="P250">
        <v>926.88</v>
      </c>
      <c r="Q250" t="s">
        <v>113</v>
      </c>
      <c r="R250">
        <v>0.27316291104994189</v>
      </c>
      <c r="S250">
        <v>2024</v>
      </c>
      <c r="T250" t="s">
        <v>636</v>
      </c>
      <c r="U250">
        <v>3</v>
      </c>
      <c r="V250" t="s">
        <v>33</v>
      </c>
    </row>
    <row r="251" spans="1:22" x14ac:dyDescent="0.3">
      <c r="A251" t="s">
        <v>720</v>
      </c>
      <c r="B251" s="1">
        <v>45364</v>
      </c>
      <c r="C251" t="s">
        <v>721</v>
      </c>
      <c r="D251" t="s">
        <v>519</v>
      </c>
      <c r="E251" t="s">
        <v>61</v>
      </c>
      <c r="F251" t="s">
        <v>71</v>
      </c>
      <c r="G251" t="s">
        <v>317</v>
      </c>
      <c r="H251" t="s">
        <v>43</v>
      </c>
      <c r="I251" t="s">
        <v>44</v>
      </c>
      <c r="J251" t="s">
        <v>45</v>
      </c>
      <c r="K251">
        <v>2</v>
      </c>
      <c r="L251">
        <v>256.58</v>
      </c>
      <c r="M251">
        <v>0.2</v>
      </c>
      <c r="N251">
        <v>410.53</v>
      </c>
      <c r="O251">
        <v>202.57</v>
      </c>
      <c r="P251">
        <v>207.96</v>
      </c>
      <c r="Q251" t="s">
        <v>46</v>
      </c>
      <c r="R251">
        <v>0.50656468467590676</v>
      </c>
      <c r="S251">
        <v>2024</v>
      </c>
      <c r="T251" t="s">
        <v>636</v>
      </c>
      <c r="U251">
        <v>3</v>
      </c>
      <c r="V251" t="s">
        <v>33</v>
      </c>
    </row>
    <row r="252" spans="1:22" x14ac:dyDescent="0.3">
      <c r="A252" t="s">
        <v>722</v>
      </c>
      <c r="B252" s="1">
        <v>45364</v>
      </c>
      <c r="C252" t="s">
        <v>723</v>
      </c>
      <c r="D252" t="s">
        <v>170</v>
      </c>
      <c r="E252" t="s">
        <v>61</v>
      </c>
      <c r="F252" t="s">
        <v>71</v>
      </c>
      <c r="G252" t="s">
        <v>100</v>
      </c>
      <c r="H252" t="s">
        <v>64</v>
      </c>
      <c r="I252" t="s">
        <v>65</v>
      </c>
      <c r="J252" t="s">
        <v>232</v>
      </c>
      <c r="K252">
        <v>4</v>
      </c>
      <c r="L252">
        <v>3826.15</v>
      </c>
      <c r="M252">
        <v>0.1</v>
      </c>
      <c r="N252">
        <v>13774.14</v>
      </c>
      <c r="O252">
        <v>9535.6299999999992</v>
      </c>
      <c r="P252">
        <v>4238.51</v>
      </c>
      <c r="Q252" t="s">
        <v>113</v>
      </c>
      <c r="R252">
        <v>0.30771503701864511</v>
      </c>
      <c r="S252">
        <v>2024</v>
      </c>
      <c r="T252" t="s">
        <v>636</v>
      </c>
      <c r="U252">
        <v>3</v>
      </c>
      <c r="V252" t="s">
        <v>33</v>
      </c>
    </row>
    <row r="253" spans="1:22" x14ac:dyDescent="0.3">
      <c r="A253" t="s">
        <v>724</v>
      </c>
      <c r="B253" s="1">
        <v>45365</v>
      </c>
      <c r="C253" t="s">
        <v>725</v>
      </c>
      <c r="D253" t="s">
        <v>726</v>
      </c>
      <c r="E253" t="s">
        <v>41</v>
      </c>
      <c r="F253" t="s">
        <v>42</v>
      </c>
      <c r="G253" t="s">
        <v>42</v>
      </c>
      <c r="H253" t="s">
        <v>64</v>
      </c>
      <c r="I253" t="s">
        <v>65</v>
      </c>
      <c r="J253" t="s">
        <v>232</v>
      </c>
      <c r="K253">
        <v>1</v>
      </c>
      <c r="L253">
        <v>4015.74</v>
      </c>
      <c r="M253">
        <v>0.1</v>
      </c>
      <c r="N253">
        <v>3614.17</v>
      </c>
      <c r="O253">
        <v>2511.17</v>
      </c>
      <c r="P253">
        <v>1103</v>
      </c>
      <c r="Q253" t="s">
        <v>46</v>
      </c>
      <c r="R253">
        <v>0.30518763644211527</v>
      </c>
      <c r="S253">
        <v>2024</v>
      </c>
      <c r="T253" t="s">
        <v>636</v>
      </c>
      <c r="U253">
        <v>3</v>
      </c>
      <c r="V253" t="s">
        <v>33</v>
      </c>
    </row>
    <row r="254" spans="1:22" x14ac:dyDescent="0.3">
      <c r="A254" t="s">
        <v>727</v>
      </c>
      <c r="B254" s="1">
        <v>45365</v>
      </c>
      <c r="C254" t="s">
        <v>728</v>
      </c>
      <c r="D254" t="s">
        <v>575</v>
      </c>
      <c r="E254" t="s">
        <v>120</v>
      </c>
      <c r="F254" t="s">
        <v>121</v>
      </c>
      <c r="G254" t="s">
        <v>224</v>
      </c>
      <c r="H254" t="s">
        <v>84</v>
      </c>
      <c r="I254" t="s">
        <v>138</v>
      </c>
      <c r="J254" t="s">
        <v>220</v>
      </c>
      <c r="K254">
        <v>1</v>
      </c>
      <c r="L254">
        <v>7315.78</v>
      </c>
      <c r="M254">
        <v>0.05</v>
      </c>
      <c r="N254">
        <v>6949.99</v>
      </c>
      <c r="O254">
        <v>4720.37</v>
      </c>
      <c r="P254">
        <v>2229.62</v>
      </c>
      <c r="Q254" t="s">
        <v>113</v>
      </c>
      <c r="R254">
        <v>0.32080909468934488</v>
      </c>
      <c r="S254">
        <v>2024</v>
      </c>
      <c r="T254" t="s">
        <v>636</v>
      </c>
      <c r="U254">
        <v>3</v>
      </c>
      <c r="V254" t="s">
        <v>33</v>
      </c>
    </row>
    <row r="255" spans="1:22" x14ac:dyDescent="0.3">
      <c r="A255" t="s">
        <v>729</v>
      </c>
      <c r="B255" s="1">
        <v>45365</v>
      </c>
      <c r="C255" t="s">
        <v>730</v>
      </c>
      <c r="D255" t="s">
        <v>731</v>
      </c>
      <c r="E255" t="s">
        <v>61</v>
      </c>
      <c r="F255" t="s">
        <v>71</v>
      </c>
      <c r="G255" t="s">
        <v>72</v>
      </c>
      <c r="H255" t="s">
        <v>43</v>
      </c>
      <c r="I255" t="s">
        <v>44</v>
      </c>
      <c r="J255" t="s">
        <v>248</v>
      </c>
      <c r="K255">
        <v>2</v>
      </c>
      <c r="L255">
        <v>310.89999999999998</v>
      </c>
      <c r="M255">
        <v>0.1</v>
      </c>
      <c r="N255">
        <v>559.62</v>
      </c>
      <c r="O255">
        <v>256.07</v>
      </c>
      <c r="P255">
        <v>303.55</v>
      </c>
      <c r="Q255" t="s">
        <v>31</v>
      </c>
      <c r="R255">
        <v>0.54242164325792508</v>
      </c>
      <c r="S255">
        <v>2024</v>
      </c>
      <c r="T255" t="s">
        <v>636</v>
      </c>
      <c r="U255">
        <v>3</v>
      </c>
      <c r="V255" t="s">
        <v>33</v>
      </c>
    </row>
    <row r="256" spans="1:22" x14ac:dyDescent="0.3">
      <c r="A256" t="s">
        <v>732</v>
      </c>
      <c r="B256" s="1">
        <v>45366</v>
      </c>
      <c r="C256" t="s">
        <v>402</v>
      </c>
      <c r="D256" t="s">
        <v>604</v>
      </c>
      <c r="E256" t="s">
        <v>61</v>
      </c>
      <c r="F256" t="s">
        <v>78</v>
      </c>
      <c r="G256" t="s">
        <v>216</v>
      </c>
      <c r="H256" t="s">
        <v>64</v>
      </c>
      <c r="I256" t="s">
        <v>65</v>
      </c>
      <c r="J256" t="s">
        <v>66</v>
      </c>
      <c r="K256">
        <v>3</v>
      </c>
      <c r="L256">
        <v>4760.8100000000004</v>
      </c>
      <c r="M256">
        <v>0</v>
      </c>
      <c r="N256">
        <v>14282.43</v>
      </c>
      <c r="O256">
        <v>8698.7000000000007</v>
      </c>
      <c r="P256">
        <v>5583.73</v>
      </c>
      <c r="Q256" t="s">
        <v>31</v>
      </c>
      <c r="R256">
        <v>0.39095097963021702</v>
      </c>
      <c r="S256">
        <v>2024</v>
      </c>
      <c r="T256" t="s">
        <v>636</v>
      </c>
      <c r="U256">
        <v>3</v>
      </c>
      <c r="V256" t="s">
        <v>33</v>
      </c>
    </row>
    <row r="257" spans="1:22" x14ac:dyDescent="0.3">
      <c r="A257" t="s">
        <v>733</v>
      </c>
      <c r="B257" s="1">
        <v>45366</v>
      </c>
      <c r="C257" t="s">
        <v>734</v>
      </c>
      <c r="D257" t="s">
        <v>735</v>
      </c>
      <c r="E257" t="s">
        <v>61</v>
      </c>
      <c r="F257" t="s">
        <v>71</v>
      </c>
      <c r="G257" t="s">
        <v>72</v>
      </c>
      <c r="H257" t="s">
        <v>28</v>
      </c>
      <c r="I257" t="s">
        <v>73</v>
      </c>
      <c r="J257" t="s">
        <v>80</v>
      </c>
      <c r="K257">
        <v>3</v>
      </c>
      <c r="L257">
        <v>812.13</v>
      </c>
      <c r="M257">
        <v>0.2</v>
      </c>
      <c r="N257">
        <v>1949.11</v>
      </c>
      <c r="O257">
        <v>1467.37</v>
      </c>
      <c r="P257">
        <v>481.74</v>
      </c>
      <c r="Q257" t="s">
        <v>31</v>
      </c>
      <c r="R257">
        <v>0.2471589597303385</v>
      </c>
      <c r="S257">
        <v>2024</v>
      </c>
      <c r="T257" t="s">
        <v>636</v>
      </c>
      <c r="U257">
        <v>3</v>
      </c>
      <c r="V257" t="s">
        <v>33</v>
      </c>
    </row>
    <row r="258" spans="1:22" x14ac:dyDescent="0.3">
      <c r="A258" t="s">
        <v>736</v>
      </c>
      <c r="B258" s="1">
        <v>45366</v>
      </c>
      <c r="C258" t="s">
        <v>436</v>
      </c>
      <c r="D258" t="s">
        <v>737</v>
      </c>
      <c r="E258" t="s">
        <v>61</v>
      </c>
      <c r="F258" t="s">
        <v>71</v>
      </c>
      <c r="G258" t="s">
        <v>100</v>
      </c>
      <c r="H258" t="s">
        <v>43</v>
      </c>
      <c r="I258" t="s">
        <v>51</v>
      </c>
      <c r="J258" t="s">
        <v>96</v>
      </c>
      <c r="K258">
        <v>2</v>
      </c>
      <c r="L258">
        <v>514.52</v>
      </c>
      <c r="M258">
        <v>0.05</v>
      </c>
      <c r="N258">
        <v>977.59</v>
      </c>
      <c r="O258">
        <v>476.15</v>
      </c>
      <c r="P258">
        <v>501.44</v>
      </c>
      <c r="Q258" t="s">
        <v>67</v>
      </c>
      <c r="R258">
        <v>0.51293487044671082</v>
      </c>
      <c r="S258">
        <v>2024</v>
      </c>
      <c r="T258" t="s">
        <v>636</v>
      </c>
      <c r="U258">
        <v>3</v>
      </c>
      <c r="V258" t="s">
        <v>33</v>
      </c>
    </row>
    <row r="259" spans="1:22" x14ac:dyDescent="0.3">
      <c r="A259" t="s">
        <v>738</v>
      </c>
      <c r="B259" s="1">
        <v>45366</v>
      </c>
      <c r="C259" t="s">
        <v>739</v>
      </c>
      <c r="D259" t="s">
        <v>740</v>
      </c>
      <c r="E259" t="s">
        <v>41</v>
      </c>
      <c r="F259" t="s">
        <v>42</v>
      </c>
      <c r="G259" t="s">
        <v>50</v>
      </c>
      <c r="H259" t="s">
        <v>28</v>
      </c>
      <c r="I259" t="s">
        <v>73</v>
      </c>
      <c r="J259" t="s">
        <v>74</v>
      </c>
      <c r="K259">
        <v>2</v>
      </c>
      <c r="L259">
        <v>2503.5700000000002</v>
      </c>
      <c r="M259">
        <v>0</v>
      </c>
      <c r="N259">
        <v>5007.1400000000003</v>
      </c>
      <c r="O259">
        <v>2803.77</v>
      </c>
      <c r="P259">
        <v>2203.37</v>
      </c>
      <c r="Q259" t="s">
        <v>67</v>
      </c>
      <c r="R259">
        <v>0.44004561486197702</v>
      </c>
      <c r="S259">
        <v>2024</v>
      </c>
      <c r="T259" t="s">
        <v>636</v>
      </c>
      <c r="U259">
        <v>3</v>
      </c>
      <c r="V259" t="s">
        <v>33</v>
      </c>
    </row>
    <row r="260" spans="1:22" x14ac:dyDescent="0.3">
      <c r="A260" t="s">
        <v>741</v>
      </c>
      <c r="B260" s="1">
        <v>45366</v>
      </c>
      <c r="C260" t="s">
        <v>742</v>
      </c>
      <c r="D260" t="s">
        <v>374</v>
      </c>
      <c r="E260" t="s">
        <v>120</v>
      </c>
      <c r="F260" t="s">
        <v>121</v>
      </c>
      <c r="G260" t="s">
        <v>130</v>
      </c>
      <c r="H260" t="s">
        <v>84</v>
      </c>
      <c r="I260" t="s">
        <v>138</v>
      </c>
      <c r="J260" t="s">
        <v>220</v>
      </c>
      <c r="K260">
        <v>3</v>
      </c>
      <c r="L260">
        <v>7134.47</v>
      </c>
      <c r="M260">
        <v>0.05</v>
      </c>
      <c r="N260">
        <v>20333.240000000002</v>
      </c>
      <c r="O260">
        <v>14263.2</v>
      </c>
      <c r="P260">
        <v>6070.04</v>
      </c>
      <c r="Q260" t="s">
        <v>31</v>
      </c>
      <c r="R260">
        <v>0.29852792766917619</v>
      </c>
      <c r="S260">
        <v>2024</v>
      </c>
      <c r="T260" t="s">
        <v>636</v>
      </c>
      <c r="U260">
        <v>3</v>
      </c>
      <c r="V260" t="s">
        <v>33</v>
      </c>
    </row>
    <row r="261" spans="1:22" x14ac:dyDescent="0.3">
      <c r="A261" t="s">
        <v>743</v>
      </c>
      <c r="B261" s="1">
        <v>45367</v>
      </c>
      <c r="C261" t="s">
        <v>654</v>
      </c>
      <c r="D261" t="s">
        <v>626</v>
      </c>
      <c r="E261" t="s">
        <v>61</v>
      </c>
      <c r="F261" t="s">
        <v>62</v>
      </c>
      <c r="G261" t="s">
        <v>63</v>
      </c>
      <c r="H261" t="s">
        <v>64</v>
      </c>
      <c r="I261" t="s">
        <v>65</v>
      </c>
      <c r="J261" t="s">
        <v>232</v>
      </c>
      <c r="K261">
        <v>1</v>
      </c>
      <c r="L261">
        <v>3862.53</v>
      </c>
      <c r="M261">
        <v>0.1</v>
      </c>
      <c r="N261">
        <v>3476.28</v>
      </c>
      <c r="O261">
        <v>2516.77</v>
      </c>
      <c r="P261">
        <v>959.51</v>
      </c>
      <c r="Q261" t="s">
        <v>31</v>
      </c>
      <c r="R261">
        <v>0.27601631629212842</v>
      </c>
      <c r="S261">
        <v>2024</v>
      </c>
      <c r="T261" t="s">
        <v>636</v>
      </c>
      <c r="U261">
        <v>3</v>
      </c>
      <c r="V261" t="s">
        <v>33</v>
      </c>
    </row>
    <row r="262" spans="1:22" x14ac:dyDescent="0.3">
      <c r="A262" t="s">
        <v>744</v>
      </c>
      <c r="B262" s="1">
        <v>45367</v>
      </c>
      <c r="C262" t="s">
        <v>181</v>
      </c>
      <c r="D262" t="s">
        <v>601</v>
      </c>
      <c r="E262" t="s">
        <v>120</v>
      </c>
      <c r="F262" t="s">
        <v>121</v>
      </c>
      <c r="G262" t="s">
        <v>130</v>
      </c>
      <c r="H262" t="s">
        <v>84</v>
      </c>
      <c r="I262" t="s">
        <v>138</v>
      </c>
      <c r="J262" t="s">
        <v>220</v>
      </c>
      <c r="K262">
        <v>5</v>
      </c>
      <c r="L262">
        <v>7549.07</v>
      </c>
      <c r="M262">
        <v>0.1</v>
      </c>
      <c r="N262">
        <v>33970.82</v>
      </c>
      <c r="O262">
        <v>23941.37</v>
      </c>
      <c r="P262">
        <v>10029.450000000001</v>
      </c>
      <c r="Q262" t="s">
        <v>46</v>
      </c>
      <c r="R262">
        <v>0.29523720652018409</v>
      </c>
      <c r="S262">
        <v>2024</v>
      </c>
      <c r="T262" t="s">
        <v>636</v>
      </c>
      <c r="U262">
        <v>3</v>
      </c>
      <c r="V262" t="s">
        <v>33</v>
      </c>
    </row>
    <row r="263" spans="1:22" x14ac:dyDescent="0.3">
      <c r="A263" t="s">
        <v>745</v>
      </c>
      <c r="B263" s="1">
        <v>45367</v>
      </c>
      <c r="C263" t="s">
        <v>746</v>
      </c>
      <c r="D263" t="s">
        <v>747</v>
      </c>
      <c r="E263" t="s">
        <v>61</v>
      </c>
      <c r="F263" t="s">
        <v>62</v>
      </c>
      <c r="G263" t="s">
        <v>228</v>
      </c>
      <c r="H263" t="s">
        <v>84</v>
      </c>
      <c r="I263" t="s">
        <v>138</v>
      </c>
      <c r="J263" t="s">
        <v>139</v>
      </c>
      <c r="K263">
        <v>3</v>
      </c>
      <c r="L263">
        <v>13379.6</v>
      </c>
      <c r="M263">
        <v>0.1</v>
      </c>
      <c r="N263">
        <v>36124.92</v>
      </c>
      <c r="O263">
        <v>28973.02</v>
      </c>
      <c r="P263">
        <v>7151.9</v>
      </c>
      <c r="Q263" t="s">
        <v>46</v>
      </c>
      <c r="R263">
        <v>0.19797690901460821</v>
      </c>
      <c r="S263">
        <v>2024</v>
      </c>
      <c r="T263" t="s">
        <v>636</v>
      </c>
      <c r="U263">
        <v>3</v>
      </c>
      <c r="V263" t="s">
        <v>33</v>
      </c>
    </row>
    <row r="264" spans="1:22" x14ac:dyDescent="0.3">
      <c r="A264" t="s">
        <v>748</v>
      </c>
      <c r="B264" s="1">
        <v>45368</v>
      </c>
      <c r="C264" t="s">
        <v>749</v>
      </c>
      <c r="D264" t="s">
        <v>313</v>
      </c>
      <c r="E264" t="s">
        <v>61</v>
      </c>
      <c r="F264" t="s">
        <v>78</v>
      </c>
      <c r="G264" t="s">
        <v>79</v>
      </c>
      <c r="H264" t="s">
        <v>64</v>
      </c>
      <c r="I264" t="s">
        <v>108</v>
      </c>
      <c r="J264" t="s">
        <v>109</v>
      </c>
      <c r="K264">
        <v>3</v>
      </c>
      <c r="L264">
        <v>7062.12</v>
      </c>
      <c r="M264">
        <v>0</v>
      </c>
      <c r="N264">
        <v>21186.36</v>
      </c>
      <c r="O264">
        <v>13427.47</v>
      </c>
      <c r="P264">
        <v>7758.89</v>
      </c>
      <c r="Q264" t="s">
        <v>53</v>
      </c>
      <c r="R264">
        <v>0.36622100256957779</v>
      </c>
      <c r="S264">
        <v>2024</v>
      </c>
      <c r="T264" t="s">
        <v>636</v>
      </c>
      <c r="U264">
        <v>3</v>
      </c>
      <c r="V264" t="s">
        <v>33</v>
      </c>
    </row>
    <row r="265" spans="1:22" x14ac:dyDescent="0.3">
      <c r="A265" t="s">
        <v>750</v>
      </c>
      <c r="B265" s="1">
        <v>45368</v>
      </c>
      <c r="C265" t="s">
        <v>751</v>
      </c>
      <c r="D265" t="s">
        <v>752</v>
      </c>
      <c r="E265" t="s">
        <v>61</v>
      </c>
      <c r="F265" t="s">
        <v>78</v>
      </c>
      <c r="G265" t="s">
        <v>83</v>
      </c>
      <c r="H265" t="s">
        <v>28</v>
      </c>
      <c r="I265" t="s">
        <v>29</v>
      </c>
      <c r="J265" t="s">
        <v>30</v>
      </c>
      <c r="K265">
        <v>4</v>
      </c>
      <c r="L265">
        <v>57443.63</v>
      </c>
      <c r="M265">
        <v>0.05</v>
      </c>
      <c r="N265">
        <v>218285.79</v>
      </c>
      <c r="O265">
        <v>207227.58</v>
      </c>
      <c r="P265">
        <v>11058.21</v>
      </c>
      <c r="Q265" t="s">
        <v>113</v>
      </c>
      <c r="R265">
        <v>5.0659321433612327E-2</v>
      </c>
      <c r="S265">
        <v>2024</v>
      </c>
      <c r="T265" t="s">
        <v>636</v>
      </c>
      <c r="U265">
        <v>3</v>
      </c>
      <c r="V265" t="s">
        <v>33</v>
      </c>
    </row>
    <row r="266" spans="1:22" x14ac:dyDescent="0.3">
      <c r="A266" t="s">
        <v>753</v>
      </c>
      <c r="B266" s="1">
        <v>45368</v>
      </c>
      <c r="C266" t="s">
        <v>754</v>
      </c>
      <c r="D266" t="s">
        <v>137</v>
      </c>
      <c r="E266" t="s">
        <v>61</v>
      </c>
      <c r="F266" t="s">
        <v>71</v>
      </c>
      <c r="G266" t="s">
        <v>100</v>
      </c>
      <c r="H266" t="s">
        <v>84</v>
      </c>
      <c r="I266" t="s">
        <v>85</v>
      </c>
      <c r="J266" t="s">
        <v>145</v>
      </c>
      <c r="K266">
        <v>3</v>
      </c>
      <c r="L266">
        <v>3494.11</v>
      </c>
      <c r="M266">
        <v>0.1</v>
      </c>
      <c r="N266">
        <v>9434.1</v>
      </c>
      <c r="O266">
        <v>6081.14</v>
      </c>
      <c r="P266">
        <v>3352.96</v>
      </c>
      <c r="Q266" t="s">
        <v>31</v>
      </c>
      <c r="R266">
        <v>0.3554085710348629</v>
      </c>
      <c r="S266">
        <v>2024</v>
      </c>
      <c r="T266" t="s">
        <v>636</v>
      </c>
      <c r="U266">
        <v>3</v>
      </c>
      <c r="V266" t="s">
        <v>33</v>
      </c>
    </row>
    <row r="267" spans="1:22" x14ac:dyDescent="0.3">
      <c r="A267" t="s">
        <v>755</v>
      </c>
      <c r="B267" s="1">
        <v>45369</v>
      </c>
      <c r="C267" t="s">
        <v>756</v>
      </c>
      <c r="D267" t="s">
        <v>40</v>
      </c>
      <c r="E267" t="s">
        <v>41</v>
      </c>
      <c r="F267" t="s">
        <v>42</v>
      </c>
      <c r="G267" t="s">
        <v>42</v>
      </c>
      <c r="H267" t="s">
        <v>28</v>
      </c>
      <c r="I267" t="s">
        <v>73</v>
      </c>
      <c r="J267" t="s">
        <v>80</v>
      </c>
      <c r="K267">
        <v>3</v>
      </c>
      <c r="L267">
        <v>760.15</v>
      </c>
      <c r="M267">
        <v>0.2</v>
      </c>
      <c r="N267">
        <v>1824.36</v>
      </c>
      <c r="O267">
        <v>1455.09</v>
      </c>
      <c r="P267">
        <v>369.27</v>
      </c>
      <c r="Q267" t="s">
        <v>53</v>
      </c>
      <c r="R267">
        <v>0.20241070841281331</v>
      </c>
      <c r="S267">
        <v>2024</v>
      </c>
      <c r="T267" t="s">
        <v>636</v>
      </c>
      <c r="U267">
        <v>3</v>
      </c>
      <c r="V267" t="s">
        <v>33</v>
      </c>
    </row>
    <row r="268" spans="1:22" x14ac:dyDescent="0.3">
      <c r="A268" t="s">
        <v>757</v>
      </c>
      <c r="B268" s="1">
        <v>45369</v>
      </c>
      <c r="C268" t="s">
        <v>758</v>
      </c>
      <c r="D268" t="s">
        <v>759</v>
      </c>
      <c r="E268" t="s">
        <v>25</v>
      </c>
      <c r="F268" t="s">
        <v>26</v>
      </c>
      <c r="G268" t="s">
        <v>27</v>
      </c>
      <c r="H268" t="s">
        <v>64</v>
      </c>
      <c r="I268" t="s">
        <v>65</v>
      </c>
      <c r="J268" t="s">
        <v>232</v>
      </c>
      <c r="K268">
        <v>1</v>
      </c>
      <c r="L268">
        <v>4058.39</v>
      </c>
      <c r="M268">
        <v>0.1</v>
      </c>
      <c r="N268">
        <v>3652.55</v>
      </c>
      <c r="O268">
        <v>2589.25</v>
      </c>
      <c r="P268">
        <v>1063.3</v>
      </c>
      <c r="Q268" t="s">
        <v>46</v>
      </c>
      <c r="R268">
        <v>0.29111168909392071</v>
      </c>
      <c r="S268">
        <v>2024</v>
      </c>
      <c r="T268" t="s">
        <v>636</v>
      </c>
      <c r="U268">
        <v>3</v>
      </c>
      <c r="V268" t="s">
        <v>33</v>
      </c>
    </row>
    <row r="269" spans="1:22" x14ac:dyDescent="0.3">
      <c r="A269" t="s">
        <v>760</v>
      </c>
      <c r="B269" s="1">
        <v>45369</v>
      </c>
      <c r="C269" t="s">
        <v>761</v>
      </c>
      <c r="D269" t="s">
        <v>762</v>
      </c>
      <c r="E269" t="s">
        <v>120</v>
      </c>
      <c r="F269" t="s">
        <v>121</v>
      </c>
      <c r="G269" t="s">
        <v>122</v>
      </c>
      <c r="H269" t="s">
        <v>43</v>
      </c>
      <c r="I269" t="s">
        <v>51</v>
      </c>
      <c r="J269" t="s">
        <v>96</v>
      </c>
      <c r="K269">
        <v>6</v>
      </c>
      <c r="L269">
        <v>487.24</v>
      </c>
      <c r="M269">
        <v>0.15</v>
      </c>
      <c r="N269">
        <v>2484.92</v>
      </c>
      <c r="O269">
        <v>1333.98</v>
      </c>
      <c r="P269">
        <v>1150.94</v>
      </c>
      <c r="Q269" t="s">
        <v>31</v>
      </c>
      <c r="R269">
        <v>0.46316984047776188</v>
      </c>
      <c r="S269">
        <v>2024</v>
      </c>
      <c r="T269" t="s">
        <v>636</v>
      </c>
      <c r="U269">
        <v>3</v>
      </c>
      <c r="V269" t="s">
        <v>33</v>
      </c>
    </row>
    <row r="270" spans="1:22" x14ac:dyDescent="0.3">
      <c r="A270" t="s">
        <v>763</v>
      </c>
      <c r="B270" s="1">
        <v>45369</v>
      </c>
      <c r="C270" t="s">
        <v>764</v>
      </c>
      <c r="D270" t="s">
        <v>477</v>
      </c>
      <c r="E270" t="s">
        <v>61</v>
      </c>
      <c r="F270" t="s">
        <v>62</v>
      </c>
      <c r="G270" t="s">
        <v>63</v>
      </c>
      <c r="H270" t="s">
        <v>28</v>
      </c>
      <c r="I270" t="s">
        <v>91</v>
      </c>
      <c r="J270" t="s">
        <v>126</v>
      </c>
      <c r="K270">
        <v>1</v>
      </c>
      <c r="L270">
        <v>2057.98</v>
      </c>
      <c r="M270">
        <v>0.1</v>
      </c>
      <c r="N270">
        <v>1852.18</v>
      </c>
      <c r="O270">
        <v>1216.49</v>
      </c>
      <c r="P270">
        <v>635.69000000000005</v>
      </c>
      <c r="Q270" t="s">
        <v>53</v>
      </c>
      <c r="R270">
        <v>0.3432117828720751</v>
      </c>
      <c r="S270">
        <v>2024</v>
      </c>
      <c r="T270" t="s">
        <v>636</v>
      </c>
      <c r="U270">
        <v>3</v>
      </c>
      <c r="V270" t="s">
        <v>33</v>
      </c>
    </row>
    <row r="271" spans="1:22" x14ac:dyDescent="0.3">
      <c r="A271" t="s">
        <v>765</v>
      </c>
      <c r="B271" s="1">
        <v>45369</v>
      </c>
      <c r="C271" t="s">
        <v>362</v>
      </c>
      <c r="D271" t="s">
        <v>680</v>
      </c>
      <c r="E271" t="s">
        <v>61</v>
      </c>
      <c r="F271" t="s">
        <v>71</v>
      </c>
      <c r="G271" t="s">
        <v>317</v>
      </c>
      <c r="H271" t="s">
        <v>64</v>
      </c>
      <c r="I271" t="s">
        <v>108</v>
      </c>
      <c r="J271" t="s">
        <v>155</v>
      </c>
      <c r="K271">
        <v>2</v>
      </c>
      <c r="L271">
        <v>8567.75</v>
      </c>
      <c r="M271">
        <v>0.05</v>
      </c>
      <c r="N271">
        <v>16278.72</v>
      </c>
      <c r="O271">
        <v>11616.97</v>
      </c>
      <c r="P271">
        <v>4661.75</v>
      </c>
      <c r="Q271" t="s">
        <v>31</v>
      </c>
      <c r="R271">
        <v>0.28637079573823992</v>
      </c>
      <c r="S271">
        <v>2024</v>
      </c>
      <c r="T271" t="s">
        <v>636</v>
      </c>
      <c r="U271">
        <v>3</v>
      </c>
      <c r="V271" t="s">
        <v>33</v>
      </c>
    </row>
    <row r="272" spans="1:22" x14ac:dyDescent="0.3">
      <c r="A272" t="s">
        <v>766</v>
      </c>
      <c r="B272" s="1">
        <v>45369</v>
      </c>
      <c r="C272" t="s">
        <v>767</v>
      </c>
      <c r="D272" t="s">
        <v>406</v>
      </c>
      <c r="E272" t="s">
        <v>61</v>
      </c>
      <c r="F272" t="s">
        <v>71</v>
      </c>
      <c r="G272" t="s">
        <v>100</v>
      </c>
      <c r="H272" t="s">
        <v>28</v>
      </c>
      <c r="I272" t="s">
        <v>29</v>
      </c>
      <c r="J272" t="s">
        <v>30</v>
      </c>
      <c r="K272">
        <v>2</v>
      </c>
      <c r="L272">
        <v>59861.29</v>
      </c>
      <c r="M272">
        <v>0.1</v>
      </c>
      <c r="N272">
        <v>107750.32</v>
      </c>
      <c r="O272">
        <v>106722.15</v>
      </c>
      <c r="P272">
        <v>1028.17</v>
      </c>
      <c r="Q272" t="s">
        <v>31</v>
      </c>
      <c r="R272">
        <v>9.5421526358343989E-3</v>
      </c>
      <c r="S272">
        <v>2024</v>
      </c>
      <c r="T272" t="s">
        <v>636</v>
      </c>
      <c r="U272">
        <v>3</v>
      </c>
      <c r="V272" t="s">
        <v>33</v>
      </c>
    </row>
    <row r="273" spans="1:22" x14ac:dyDescent="0.3">
      <c r="A273" t="s">
        <v>768</v>
      </c>
      <c r="B273" s="1">
        <v>45369</v>
      </c>
      <c r="C273" t="s">
        <v>769</v>
      </c>
      <c r="D273" t="s">
        <v>770</v>
      </c>
      <c r="E273" t="s">
        <v>61</v>
      </c>
      <c r="F273" t="s">
        <v>78</v>
      </c>
      <c r="G273" t="s">
        <v>79</v>
      </c>
      <c r="H273" t="s">
        <v>84</v>
      </c>
      <c r="I273" t="s">
        <v>85</v>
      </c>
      <c r="J273" t="s">
        <v>86</v>
      </c>
      <c r="K273">
        <v>1</v>
      </c>
      <c r="L273">
        <v>1864.51</v>
      </c>
      <c r="M273">
        <v>0</v>
      </c>
      <c r="N273">
        <v>1864.51</v>
      </c>
      <c r="O273">
        <v>972.85</v>
      </c>
      <c r="P273">
        <v>891.66</v>
      </c>
      <c r="Q273" t="s">
        <v>67</v>
      </c>
      <c r="R273">
        <v>0.47822752358528509</v>
      </c>
      <c r="S273">
        <v>2024</v>
      </c>
      <c r="T273" t="s">
        <v>636</v>
      </c>
      <c r="U273">
        <v>3</v>
      </c>
      <c r="V273" t="s">
        <v>33</v>
      </c>
    </row>
    <row r="274" spans="1:22" x14ac:dyDescent="0.3">
      <c r="A274" t="s">
        <v>771</v>
      </c>
      <c r="B274" s="1">
        <v>45369</v>
      </c>
      <c r="C274" t="s">
        <v>772</v>
      </c>
      <c r="D274" t="s">
        <v>773</v>
      </c>
      <c r="E274" t="s">
        <v>120</v>
      </c>
      <c r="F274" t="s">
        <v>121</v>
      </c>
      <c r="G274" t="s">
        <v>224</v>
      </c>
      <c r="H274" t="s">
        <v>64</v>
      </c>
      <c r="I274" t="s">
        <v>108</v>
      </c>
      <c r="J274" t="s">
        <v>109</v>
      </c>
      <c r="K274">
        <v>3</v>
      </c>
      <c r="L274">
        <v>7251.62</v>
      </c>
      <c r="M274">
        <v>0.05</v>
      </c>
      <c r="N274">
        <v>20667.12</v>
      </c>
      <c r="O274">
        <v>14279.46</v>
      </c>
      <c r="P274">
        <v>6387.66</v>
      </c>
      <c r="Q274" t="s">
        <v>53</v>
      </c>
      <c r="R274">
        <v>0.30907354290292988</v>
      </c>
      <c r="S274">
        <v>2024</v>
      </c>
      <c r="T274" t="s">
        <v>636</v>
      </c>
      <c r="U274">
        <v>3</v>
      </c>
      <c r="V274" t="s">
        <v>33</v>
      </c>
    </row>
    <row r="275" spans="1:22" x14ac:dyDescent="0.3">
      <c r="A275" t="s">
        <v>774</v>
      </c>
      <c r="B275" s="1">
        <v>45370</v>
      </c>
      <c r="C275" t="s">
        <v>428</v>
      </c>
      <c r="D275" t="s">
        <v>775</v>
      </c>
      <c r="E275" t="s">
        <v>61</v>
      </c>
      <c r="F275" t="s">
        <v>71</v>
      </c>
      <c r="G275" t="s">
        <v>72</v>
      </c>
      <c r="H275" t="s">
        <v>28</v>
      </c>
      <c r="I275" t="s">
        <v>29</v>
      </c>
      <c r="J275" t="s">
        <v>57</v>
      </c>
      <c r="K275">
        <v>3</v>
      </c>
      <c r="L275">
        <v>16514.52</v>
      </c>
      <c r="M275">
        <v>0.15</v>
      </c>
      <c r="N275">
        <v>42112.03</v>
      </c>
      <c r="O275">
        <v>37537.43</v>
      </c>
      <c r="P275">
        <v>4574.6000000000004</v>
      </c>
      <c r="Q275" t="s">
        <v>46</v>
      </c>
      <c r="R275">
        <v>0.1086292919149231</v>
      </c>
      <c r="S275">
        <v>2024</v>
      </c>
      <c r="T275" t="s">
        <v>636</v>
      </c>
      <c r="U275">
        <v>3</v>
      </c>
      <c r="V275" t="s">
        <v>33</v>
      </c>
    </row>
    <row r="276" spans="1:22" x14ac:dyDescent="0.3">
      <c r="A276" t="s">
        <v>776</v>
      </c>
      <c r="B276" s="1">
        <v>45370</v>
      </c>
      <c r="C276" t="s">
        <v>59</v>
      </c>
      <c r="D276" t="s">
        <v>247</v>
      </c>
      <c r="E276" t="s">
        <v>41</v>
      </c>
      <c r="F276" t="s">
        <v>42</v>
      </c>
      <c r="G276" t="s">
        <v>42</v>
      </c>
      <c r="H276" t="s">
        <v>64</v>
      </c>
      <c r="I276" t="s">
        <v>65</v>
      </c>
      <c r="J276" t="s">
        <v>66</v>
      </c>
      <c r="K276">
        <v>1</v>
      </c>
      <c r="L276">
        <v>5007.58</v>
      </c>
      <c r="M276">
        <v>0.1</v>
      </c>
      <c r="N276">
        <v>4506.82</v>
      </c>
      <c r="O276">
        <v>2997.07</v>
      </c>
      <c r="P276">
        <v>1509.75</v>
      </c>
      <c r="Q276" t="s">
        <v>113</v>
      </c>
      <c r="R276">
        <v>0.33499230055782131</v>
      </c>
      <c r="S276">
        <v>2024</v>
      </c>
      <c r="T276" t="s">
        <v>636</v>
      </c>
      <c r="U276">
        <v>3</v>
      </c>
      <c r="V276" t="s">
        <v>33</v>
      </c>
    </row>
    <row r="277" spans="1:22" x14ac:dyDescent="0.3">
      <c r="A277" t="s">
        <v>777</v>
      </c>
      <c r="B277" s="1">
        <v>45370</v>
      </c>
      <c r="C277" t="s">
        <v>778</v>
      </c>
      <c r="D277" t="s">
        <v>406</v>
      </c>
      <c r="E277" t="s">
        <v>120</v>
      </c>
      <c r="F277" t="s">
        <v>121</v>
      </c>
      <c r="G277" t="s">
        <v>130</v>
      </c>
      <c r="H277" t="s">
        <v>28</v>
      </c>
      <c r="I277" t="s">
        <v>29</v>
      </c>
      <c r="J277" t="s">
        <v>30</v>
      </c>
      <c r="K277">
        <v>2</v>
      </c>
      <c r="L277">
        <v>56369.45</v>
      </c>
      <c r="M277">
        <v>0.05</v>
      </c>
      <c r="N277">
        <v>107101.95</v>
      </c>
      <c r="O277">
        <v>98257.8</v>
      </c>
      <c r="P277">
        <v>8844.15</v>
      </c>
      <c r="Q277" t="s">
        <v>46</v>
      </c>
      <c r="R277">
        <v>8.2576927871061176E-2</v>
      </c>
      <c r="S277">
        <v>2024</v>
      </c>
      <c r="T277" t="s">
        <v>636</v>
      </c>
      <c r="U277">
        <v>3</v>
      </c>
      <c r="V277" t="s">
        <v>33</v>
      </c>
    </row>
    <row r="278" spans="1:22" x14ac:dyDescent="0.3">
      <c r="A278" t="s">
        <v>779</v>
      </c>
      <c r="B278" s="1">
        <v>45370</v>
      </c>
      <c r="C278" t="s">
        <v>509</v>
      </c>
      <c r="D278" t="s">
        <v>780</v>
      </c>
      <c r="E278" t="s">
        <v>41</v>
      </c>
      <c r="F278" t="s">
        <v>42</v>
      </c>
      <c r="G278" t="s">
        <v>50</v>
      </c>
      <c r="H278" t="s">
        <v>64</v>
      </c>
      <c r="I278" t="s">
        <v>108</v>
      </c>
      <c r="J278" t="s">
        <v>109</v>
      </c>
      <c r="K278">
        <v>2</v>
      </c>
      <c r="L278">
        <v>6695.56</v>
      </c>
      <c r="M278">
        <v>0.1</v>
      </c>
      <c r="N278">
        <v>12052.01</v>
      </c>
      <c r="O278">
        <v>8428.58</v>
      </c>
      <c r="P278">
        <v>3623.43</v>
      </c>
      <c r="Q278" t="s">
        <v>53</v>
      </c>
      <c r="R278">
        <v>0.30064943523943299</v>
      </c>
      <c r="S278">
        <v>2024</v>
      </c>
      <c r="T278" t="s">
        <v>636</v>
      </c>
      <c r="U278">
        <v>3</v>
      </c>
      <c r="V278" t="s">
        <v>33</v>
      </c>
    </row>
    <row r="279" spans="1:22" x14ac:dyDescent="0.3">
      <c r="A279" t="s">
        <v>781</v>
      </c>
      <c r="B279" s="1">
        <v>45370</v>
      </c>
      <c r="C279" t="s">
        <v>333</v>
      </c>
      <c r="D279" t="s">
        <v>782</v>
      </c>
      <c r="E279" t="s">
        <v>120</v>
      </c>
      <c r="F279" t="s">
        <v>121</v>
      </c>
      <c r="G279" t="s">
        <v>130</v>
      </c>
      <c r="H279" t="s">
        <v>64</v>
      </c>
      <c r="I279" t="s">
        <v>108</v>
      </c>
      <c r="J279" t="s">
        <v>155</v>
      </c>
      <c r="K279">
        <v>1</v>
      </c>
      <c r="L279">
        <v>8057.77</v>
      </c>
      <c r="M279">
        <v>0.1</v>
      </c>
      <c r="N279">
        <v>7251.99</v>
      </c>
      <c r="O279">
        <v>5668.41</v>
      </c>
      <c r="P279">
        <v>1583.58</v>
      </c>
      <c r="Q279" t="s">
        <v>46</v>
      </c>
      <c r="R279">
        <v>0.21836489018876201</v>
      </c>
      <c r="S279">
        <v>2024</v>
      </c>
      <c r="T279" t="s">
        <v>636</v>
      </c>
      <c r="U279">
        <v>3</v>
      </c>
      <c r="V279" t="s">
        <v>33</v>
      </c>
    </row>
    <row r="280" spans="1:22" x14ac:dyDescent="0.3">
      <c r="A280" t="s">
        <v>783</v>
      </c>
      <c r="B280" s="1">
        <v>45371</v>
      </c>
      <c r="C280" t="s">
        <v>784</v>
      </c>
      <c r="D280" t="s">
        <v>606</v>
      </c>
      <c r="E280" t="s">
        <v>61</v>
      </c>
      <c r="F280" t="s">
        <v>78</v>
      </c>
      <c r="G280" t="s">
        <v>79</v>
      </c>
      <c r="H280" t="s">
        <v>28</v>
      </c>
      <c r="I280" t="s">
        <v>29</v>
      </c>
      <c r="J280" t="s">
        <v>30</v>
      </c>
      <c r="K280">
        <v>2</v>
      </c>
      <c r="L280">
        <v>58190.85</v>
      </c>
      <c r="M280">
        <v>0</v>
      </c>
      <c r="N280">
        <v>116381.7</v>
      </c>
      <c r="O280">
        <v>106294.21</v>
      </c>
      <c r="P280">
        <v>10087.49</v>
      </c>
      <c r="Q280" t="s">
        <v>53</v>
      </c>
      <c r="R280">
        <v>8.6675912106456601E-2</v>
      </c>
      <c r="S280">
        <v>2024</v>
      </c>
      <c r="T280" t="s">
        <v>636</v>
      </c>
      <c r="U280">
        <v>3</v>
      </c>
      <c r="V280" t="s">
        <v>33</v>
      </c>
    </row>
    <row r="281" spans="1:22" x14ac:dyDescent="0.3">
      <c r="A281" t="s">
        <v>785</v>
      </c>
      <c r="B281" s="1">
        <v>45371</v>
      </c>
      <c r="C281" t="s">
        <v>786</v>
      </c>
      <c r="D281" t="s">
        <v>390</v>
      </c>
      <c r="E281" t="s">
        <v>41</v>
      </c>
      <c r="F281" t="s">
        <v>42</v>
      </c>
      <c r="G281" t="s">
        <v>50</v>
      </c>
      <c r="H281" t="s">
        <v>28</v>
      </c>
      <c r="I281" t="s">
        <v>73</v>
      </c>
      <c r="J281" t="s">
        <v>80</v>
      </c>
      <c r="K281">
        <v>2</v>
      </c>
      <c r="L281">
        <v>808.27</v>
      </c>
      <c r="M281">
        <v>0.05</v>
      </c>
      <c r="N281">
        <v>1535.71</v>
      </c>
      <c r="O281">
        <v>997.01</v>
      </c>
      <c r="P281">
        <v>538.70000000000005</v>
      </c>
      <c r="Q281" t="s">
        <v>46</v>
      </c>
      <c r="R281">
        <v>0.35078237427639342</v>
      </c>
      <c r="S281">
        <v>2024</v>
      </c>
      <c r="T281" t="s">
        <v>636</v>
      </c>
      <c r="U281">
        <v>3</v>
      </c>
      <c r="V281" t="s">
        <v>33</v>
      </c>
    </row>
    <row r="282" spans="1:22" x14ac:dyDescent="0.3">
      <c r="A282" t="s">
        <v>787</v>
      </c>
      <c r="B282" s="1">
        <v>45371</v>
      </c>
      <c r="C282" t="s">
        <v>788</v>
      </c>
      <c r="D282" t="s">
        <v>789</v>
      </c>
      <c r="E282" t="s">
        <v>120</v>
      </c>
      <c r="F282" t="s">
        <v>121</v>
      </c>
      <c r="G282" t="s">
        <v>122</v>
      </c>
      <c r="H282" t="s">
        <v>43</v>
      </c>
      <c r="I282" t="s">
        <v>44</v>
      </c>
      <c r="J282" t="s">
        <v>45</v>
      </c>
      <c r="K282">
        <v>4</v>
      </c>
      <c r="L282">
        <v>241.01</v>
      </c>
      <c r="M282">
        <v>0.15</v>
      </c>
      <c r="N282">
        <v>819.43</v>
      </c>
      <c r="O282">
        <v>367.24</v>
      </c>
      <c r="P282">
        <v>452.19</v>
      </c>
      <c r="Q282" t="s">
        <v>53</v>
      </c>
      <c r="R282">
        <v>0.55183481200346585</v>
      </c>
      <c r="S282">
        <v>2024</v>
      </c>
      <c r="T282" t="s">
        <v>636</v>
      </c>
      <c r="U282">
        <v>3</v>
      </c>
      <c r="V282" t="s">
        <v>33</v>
      </c>
    </row>
    <row r="283" spans="1:22" x14ac:dyDescent="0.3">
      <c r="A283" t="s">
        <v>790</v>
      </c>
      <c r="B283" s="1">
        <v>45371</v>
      </c>
      <c r="C283" t="s">
        <v>791</v>
      </c>
      <c r="D283" t="s">
        <v>390</v>
      </c>
      <c r="E283" t="s">
        <v>61</v>
      </c>
      <c r="F283" t="s">
        <v>62</v>
      </c>
      <c r="G283" t="s">
        <v>63</v>
      </c>
      <c r="H283" t="s">
        <v>28</v>
      </c>
      <c r="I283" t="s">
        <v>29</v>
      </c>
      <c r="J283" t="s">
        <v>57</v>
      </c>
      <c r="K283">
        <v>3</v>
      </c>
      <c r="L283">
        <v>16305.07</v>
      </c>
      <c r="M283">
        <v>0.05</v>
      </c>
      <c r="N283">
        <v>46469.45</v>
      </c>
      <c r="O283">
        <v>37352.620000000003</v>
      </c>
      <c r="P283">
        <v>9116.83</v>
      </c>
      <c r="Q283" t="s">
        <v>67</v>
      </c>
      <c r="R283">
        <v>0.19618975477437331</v>
      </c>
      <c r="S283">
        <v>2024</v>
      </c>
      <c r="T283" t="s">
        <v>636</v>
      </c>
      <c r="U283">
        <v>3</v>
      </c>
      <c r="V283" t="s">
        <v>33</v>
      </c>
    </row>
    <row r="284" spans="1:22" x14ac:dyDescent="0.3">
      <c r="A284" t="s">
        <v>792</v>
      </c>
      <c r="B284" s="1">
        <v>45371</v>
      </c>
      <c r="C284" t="s">
        <v>677</v>
      </c>
      <c r="D284" t="s">
        <v>641</v>
      </c>
      <c r="E284" t="s">
        <v>61</v>
      </c>
      <c r="F284" t="s">
        <v>71</v>
      </c>
      <c r="G284" t="s">
        <v>72</v>
      </c>
      <c r="H284" t="s">
        <v>28</v>
      </c>
      <c r="I284" t="s">
        <v>91</v>
      </c>
      <c r="J284" t="s">
        <v>92</v>
      </c>
      <c r="K284">
        <v>3</v>
      </c>
      <c r="L284">
        <v>2872.81</v>
      </c>
      <c r="M284">
        <v>0</v>
      </c>
      <c r="N284">
        <v>8618.43</v>
      </c>
      <c r="O284">
        <v>4613.21</v>
      </c>
      <c r="P284">
        <v>4005.22</v>
      </c>
      <c r="Q284" t="s">
        <v>53</v>
      </c>
      <c r="R284">
        <v>0.46472733432887431</v>
      </c>
      <c r="S284">
        <v>2024</v>
      </c>
      <c r="T284" t="s">
        <v>636</v>
      </c>
      <c r="U284">
        <v>3</v>
      </c>
      <c r="V284" t="s">
        <v>33</v>
      </c>
    </row>
    <row r="285" spans="1:22" x14ac:dyDescent="0.3">
      <c r="A285" t="s">
        <v>793</v>
      </c>
      <c r="B285" s="1">
        <v>45371</v>
      </c>
      <c r="C285" t="s">
        <v>102</v>
      </c>
      <c r="D285" t="s">
        <v>794</v>
      </c>
      <c r="E285" t="s">
        <v>25</v>
      </c>
      <c r="F285" t="s">
        <v>26</v>
      </c>
      <c r="G285" t="s">
        <v>27</v>
      </c>
      <c r="H285" t="s">
        <v>28</v>
      </c>
      <c r="I285" t="s">
        <v>29</v>
      </c>
      <c r="J285" t="s">
        <v>57</v>
      </c>
      <c r="K285">
        <v>1</v>
      </c>
      <c r="L285">
        <v>16319.24</v>
      </c>
      <c r="M285">
        <v>0.2</v>
      </c>
      <c r="N285">
        <v>13055.39</v>
      </c>
      <c r="O285">
        <v>12651.75</v>
      </c>
      <c r="P285">
        <v>403.64</v>
      </c>
      <c r="Q285" t="s">
        <v>31</v>
      </c>
      <c r="R285">
        <v>3.0917498443171751E-2</v>
      </c>
      <c r="S285">
        <v>2024</v>
      </c>
      <c r="T285" t="s">
        <v>636</v>
      </c>
      <c r="U285">
        <v>3</v>
      </c>
      <c r="V285" t="s">
        <v>33</v>
      </c>
    </row>
    <row r="286" spans="1:22" x14ac:dyDescent="0.3">
      <c r="A286" t="s">
        <v>795</v>
      </c>
      <c r="B286" s="1">
        <v>45372</v>
      </c>
      <c r="C286" t="s">
        <v>791</v>
      </c>
      <c r="D286" t="s">
        <v>99</v>
      </c>
      <c r="E286" t="s">
        <v>120</v>
      </c>
      <c r="F286" t="s">
        <v>121</v>
      </c>
      <c r="G286" t="s">
        <v>130</v>
      </c>
      <c r="H286" t="s">
        <v>28</v>
      </c>
      <c r="I286" t="s">
        <v>29</v>
      </c>
      <c r="J286" t="s">
        <v>30</v>
      </c>
      <c r="K286">
        <v>3</v>
      </c>
      <c r="L286">
        <v>59335.09</v>
      </c>
      <c r="M286">
        <v>0.05</v>
      </c>
      <c r="N286">
        <v>169105.01</v>
      </c>
      <c r="O286">
        <v>160038.04999999999</v>
      </c>
      <c r="P286">
        <v>9066.9599999999991</v>
      </c>
      <c r="Q286" t="s">
        <v>46</v>
      </c>
      <c r="R286">
        <v>5.3617335169431103E-2</v>
      </c>
      <c r="S286">
        <v>2024</v>
      </c>
      <c r="T286" t="s">
        <v>636</v>
      </c>
      <c r="U286">
        <v>3</v>
      </c>
      <c r="V286" t="s">
        <v>33</v>
      </c>
    </row>
    <row r="287" spans="1:22" x14ac:dyDescent="0.3">
      <c r="A287" t="s">
        <v>796</v>
      </c>
      <c r="B287" s="1">
        <v>45372</v>
      </c>
      <c r="C287" t="s">
        <v>797</v>
      </c>
      <c r="D287" t="s">
        <v>798</v>
      </c>
      <c r="E287" t="s">
        <v>41</v>
      </c>
      <c r="F287" t="s">
        <v>42</v>
      </c>
      <c r="G287" t="s">
        <v>50</v>
      </c>
      <c r="H287" t="s">
        <v>84</v>
      </c>
      <c r="I287" t="s">
        <v>85</v>
      </c>
      <c r="J287" t="s">
        <v>86</v>
      </c>
      <c r="K287">
        <v>1</v>
      </c>
      <c r="L287">
        <v>1749.06</v>
      </c>
      <c r="M287">
        <v>0.15</v>
      </c>
      <c r="N287">
        <v>1486.7</v>
      </c>
      <c r="O287">
        <v>909.93</v>
      </c>
      <c r="P287">
        <v>576.77</v>
      </c>
      <c r="Q287" t="s">
        <v>53</v>
      </c>
      <c r="R287">
        <v>0.38795318490616798</v>
      </c>
      <c r="S287">
        <v>2024</v>
      </c>
      <c r="T287" t="s">
        <v>636</v>
      </c>
      <c r="U287">
        <v>3</v>
      </c>
      <c r="V287" t="s">
        <v>33</v>
      </c>
    </row>
    <row r="288" spans="1:22" x14ac:dyDescent="0.3">
      <c r="A288" t="s">
        <v>799</v>
      </c>
      <c r="B288" s="1">
        <v>45372</v>
      </c>
      <c r="C288" t="s">
        <v>800</v>
      </c>
      <c r="D288" t="s">
        <v>516</v>
      </c>
      <c r="E288" t="s">
        <v>120</v>
      </c>
      <c r="F288" t="s">
        <v>121</v>
      </c>
      <c r="G288" t="s">
        <v>130</v>
      </c>
      <c r="H288" t="s">
        <v>84</v>
      </c>
      <c r="I288" t="s">
        <v>85</v>
      </c>
      <c r="J288" t="s">
        <v>145</v>
      </c>
      <c r="K288">
        <v>2</v>
      </c>
      <c r="L288">
        <v>3451.38</v>
      </c>
      <c r="M288">
        <v>0.05</v>
      </c>
      <c r="N288">
        <v>6557.62</v>
      </c>
      <c r="O288">
        <v>3820.75</v>
      </c>
      <c r="P288">
        <v>2736.87</v>
      </c>
      <c r="Q288" t="s">
        <v>53</v>
      </c>
      <c r="R288">
        <v>0.41735721191529851</v>
      </c>
      <c r="S288">
        <v>2024</v>
      </c>
      <c r="T288" t="s">
        <v>636</v>
      </c>
      <c r="U288">
        <v>3</v>
      </c>
      <c r="V288" t="s">
        <v>33</v>
      </c>
    </row>
    <row r="289" spans="1:22" x14ac:dyDescent="0.3">
      <c r="A289" t="s">
        <v>801</v>
      </c>
      <c r="B289" s="1">
        <v>45372</v>
      </c>
      <c r="C289" t="s">
        <v>169</v>
      </c>
      <c r="D289" t="s">
        <v>137</v>
      </c>
      <c r="E289" t="s">
        <v>120</v>
      </c>
      <c r="F289" t="s">
        <v>121</v>
      </c>
      <c r="G289" t="s">
        <v>130</v>
      </c>
      <c r="H289" t="s">
        <v>84</v>
      </c>
      <c r="I289" t="s">
        <v>138</v>
      </c>
      <c r="J289" t="s">
        <v>220</v>
      </c>
      <c r="K289">
        <v>1</v>
      </c>
      <c r="L289">
        <v>7537.07</v>
      </c>
      <c r="M289">
        <v>0.15</v>
      </c>
      <c r="N289">
        <v>6406.51</v>
      </c>
      <c r="O289">
        <v>5068.2299999999996</v>
      </c>
      <c r="P289">
        <v>1338.28</v>
      </c>
      <c r="Q289" t="s">
        <v>46</v>
      </c>
      <c r="R289">
        <v>0.2088937658725265</v>
      </c>
      <c r="S289">
        <v>2024</v>
      </c>
      <c r="T289" t="s">
        <v>636</v>
      </c>
      <c r="U289">
        <v>3</v>
      </c>
      <c r="V289" t="s">
        <v>33</v>
      </c>
    </row>
    <row r="290" spans="1:22" x14ac:dyDescent="0.3">
      <c r="A290" t="s">
        <v>802</v>
      </c>
      <c r="B290" s="1">
        <v>45372</v>
      </c>
      <c r="C290" t="s">
        <v>803</v>
      </c>
      <c r="D290" t="s">
        <v>424</v>
      </c>
      <c r="E290" t="s">
        <v>61</v>
      </c>
      <c r="F290" t="s">
        <v>71</v>
      </c>
      <c r="G290" t="s">
        <v>317</v>
      </c>
      <c r="H290" t="s">
        <v>64</v>
      </c>
      <c r="I290" t="s">
        <v>108</v>
      </c>
      <c r="J290" t="s">
        <v>155</v>
      </c>
      <c r="K290">
        <v>1</v>
      </c>
      <c r="L290">
        <v>8313.91</v>
      </c>
      <c r="M290">
        <v>0</v>
      </c>
      <c r="N290">
        <v>8313.91</v>
      </c>
      <c r="O290">
        <v>5766.92</v>
      </c>
      <c r="P290">
        <v>2546.9899999999998</v>
      </c>
      <c r="Q290" t="s">
        <v>46</v>
      </c>
      <c r="R290">
        <v>0.30635284721629169</v>
      </c>
      <c r="S290">
        <v>2024</v>
      </c>
      <c r="T290" t="s">
        <v>636</v>
      </c>
      <c r="U290">
        <v>3</v>
      </c>
      <c r="V290" t="s">
        <v>33</v>
      </c>
    </row>
    <row r="291" spans="1:22" x14ac:dyDescent="0.3">
      <c r="A291" t="s">
        <v>804</v>
      </c>
      <c r="B291" s="1">
        <v>45372</v>
      </c>
      <c r="C291" t="s">
        <v>805</v>
      </c>
      <c r="D291" t="s">
        <v>806</v>
      </c>
      <c r="E291" t="s">
        <v>61</v>
      </c>
      <c r="F291" t="s">
        <v>71</v>
      </c>
      <c r="G291" t="s">
        <v>100</v>
      </c>
      <c r="H291" t="s">
        <v>84</v>
      </c>
      <c r="I291" t="s">
        <v>138</v>
      </c>
      <c r="J291" t="s">
        <v>220</v>
      </c>
      <c r="K291">
        <v>2</v>
      </c>
      <c r="L291">
        <v>7818.69</v>
      </c>
      <c r="M291">
        <v>0.05</v>
      </c>
      <c r="N291">
        <v>14855.51</v>
      </c>
      <c r="O291">
        <v>9947.39</v>
      </c>
      <c r="P291">
        <v>4908.12</v>
      </c>
      <c r="Q291" t="s">
        <v>31</v>
      </c>
      <c r="R291">
        <v>0.33039054196052509</v>
      </c>
      <c r="S291">
        <v>2024</v>
      </c>
      <c r="T291" t="s">
        <v>636</v>
      </c>
      <c r="U291">
        <v>3</v>
      </c>
      <c r="V291" t="s">
        <v>33</v>
      </c>
    </row>
    <row r="292" spans="1:22" x14ac:dyDescent="0.3">
      <c r="A292" t="s">
        <v>807</v>
      </c>
      <c r="B292" s="1">
        <v>45373</v>
      </c>
      <c r="C292" t="s">
        <v>808</v>
      </c>
      <c r="D292" t="s">
        <v>809</v>
      </c>
      <c r="E292" t="s">
        <v>120</v>
      </c>
      <c r="F292" t="s">
        <v>121</v>
      </c>
      <c r="G292" t="s">
        <v>122</v>
      </c>
      <c r="H292" t="s">
        <v>28</v>
      </c>
      <c r="I292" t="s">
        <v>73</v>
      </c>
      <c r="J292" t="s">
        <v>80</v>
      </c>
      <c r="K292">
        <v>6</v>
      </c>
      <c r="L292">
        <v>784.59</v>
      </c>
      <c r="M292">
        <v>0.05</v>
      </c>
      <c r="N292">
        <v>4472.16</v>
      </c>
      <c r="O292">
        <v>2860.66</v>
      </c>
      <c r="P292">
        <v>1611.5</v>
      </c>
      <c r="Q292" t="s">
        <v>46</v>
      </c>
      <c r="R292">
        <v>0.36034041715859899</v>
      </c>
      <c r="S292">
        <v>2024</v>
      </c>
      <c r="T292" t="s">
        <v>636</v>
      </c>
      <c r="U292">
        <v>3</v>
      </c>
      <c r="V292" t="s">
        <v>33</v>
      </c>
    </row>
    <row r="293" spans="1:22" x14ac:dyDescent="0.3">
      <c r="A293" t="s">
        <v>810</v>
      </c>
      <c r="B293" s="1">
        <v>45373</v>
      </c>
      <c r="C293" t="s">
        <v>811</v>
      </c>
      <c r="D293" t="s">
        <v>582</v>
      </c>
      <c r="E293" t="s">
        <v>61</v>
      </c>
      <c r="F293" t="s">
        <v>78</v>
      </c>
      <c r="G293" t="s">
        <v>216</v>
      </c>
      <c r="H293" t="s">
        <v>84</v>
      </c>
      <c r="I293" t="s">
        <v>85</v>
      </c>
      <c r="J293" t="s">
        <v>86</v>
      </c>
      <c r="K293">
        <v>2</v>
      </c>
      <c r="L293">
        <v>1841.79</v>
      </c>
      <c r="M293">
        <v>0</v>
      </c>
      <c r="N293">
        <v>3683.58</v>
      </c>
      <c r="O293">
        <v>1942.51</v>
      </c>
      <c r="P293">
        <v>1741.07</v>
      </c>
      <c r="Q293" t="s">
        <v>53</v>
      </c>
      <c r="R293">
        <v>0.47265703473251558</v>
      </c>
      <c r="S293">
        <v>2024</v>
      </c>
      <c r="T293" t="s">
        <v>636</v>
      </c>
      <c r="U293">
        <v>3</v>
      </c>
      <c r="V293" t="s">
        <v>33</v>
      </c>
    </row>
    <row r="294" spans="1:22" x14ac:dyDescent="0.3">
      <c r="A294" t="s">
        <v>812</v>
      </c>
      <c r="B294" s="1">
        <v>45373</v>
      </c>
      <c r="C294" t="s">
        <v>791</v>
      </c>
      <c r="D294" t="s">
        <v>813</v>
      </c>
      <c r="E294" t="s">
        <v>41</v>
      </c>
      <c r="F294" t="s">
        <v>42</v>
      </c>
      <c r="G294" t="s">
        <v>50</v>
      </c>
      <c r="H294" t="s">
        <v>28</v>
      </c>
      <c r="I294" t="s">
        <v>73</v>
      </c>
      <c r="J294" t="s">
        <v>80</v>
      </c>
      <c r="K294">
        <v>1</v>
      </c>
      <c r="L294">
        <v>834.92</v>
      </c>
      <c r="M294">
        <v>0</v>
      </c>
      <c r="N294">
        <v>834.92</v>
      </c>
      <c r="O294">
        <v>536.04</v>
      </c>
      <c r="P294">
        <v>298.88</v>
      </c>
      <c r="Q294" t="s">
        <v>46</v>
      </c>
      <c r="R294">
        <v>0.35797441671058311</v>
      </c>
      <c r="S294">
        <v>2024</v>
      </c>
      <c r="T294" t="s">
        <v>636</v>
      </c>
      <c r="U294">
        <v>3</v>
      </c>
      <c r="V294" t="s">
        <v>33</v>
      </c>
    </row>
    <row r="295" spans="1:22" x14ac:dyDescent="0.3">
      <c r="A295" t="s">
        <v>814</v>
      </c>
      <c r="B295" s="1">
        <v>45373</v>
      </c>
      <c r="C295" t="s">
        <v>815</v>
      </c>
      <c r="D295" t="s">
        <v>451</v>
      </c>
      <c r="E295" t="s">
        <v>61</v>
      </c>
      <c r="F295" t="s">
        <v>62</v>
      </c>
      <c r="G295" t="s">
        <v>228</v>
      </c>
      <c r="H295" t="s">
        <v>28</v>
      </c>
      <c r="I295" t="s">
        <v>29</v>
      </c>
      <c r="J295" t="s">
        <v>30</v>
      </c>
      <c r="K295">
        <v>2</v>
      </c>
      <c r="L295">
        <v>56621.95</v>
      </c>
      <c r="M295">
        <v>0</v>
      </c>
      <c r="N295">
        <v>113243.9</v>
      </c>
      <c r="O295">
        <v>96725.16</v>
      </c>
      <c r="P295">
        <v>16518.740000000002</v>
      </c>
      <c r="Q295" t="s">
        <v>31</v>
      </c>
      <c r="R295">
        <v>0.14586869579730119</v>
      </c>
      <c r="S295">
        <v>2024</v>
      </c>
      <c r="T295" t="s">
        <v>636</v>
      </c>
      <c r="U295">
        <v>3</v>
      </c>
      <c r="V295" t="s">
        <v>33</v>
      </c>
    </row>
    <row r="296" spans="1:22" x14ac:dyDescent="0.3">
      <c r="A296" t="s">
        <v>816</v>
      </c>
      <c r="B296" s="1">
        <v>45374</v>
      </c>
      <c r="C296" t="s">
        <v>817</v>
      </c>
      <c r="D296" t="s">
        <v>465</v>
      </c>
      <c r="E296" t="s">
        <v>120</v>
      </c>
      <c r="F296" t="s">
        <v>121</v>
      </c>
      <c r="G296" t="s">
        <v>130</v>
      </c>
      <c r="H296" t="s">
        <v>28</v>
      </c>
      <c r="I296" t="s">
        <v>29</v>
      </c>
      <c r="J296" t="s">
        <v>57</v>
      </c>
      <c r="K296">
        <v>1</v>
      </c>
      <c r="L296">
        <v>16464.25</v>
      </c>
      <c r="M296">
        <v>0.05</v>
      </c>
      <c r="N296">
        <v>15641.04</v>
      </c>
      <c r="O296">
        <v>12322.74</v>
      </c>
      <c r="P296">
        <v>3318.3</v>
      </c>
      <c r="Q296" t="s">
        <v>31</v>
      </c>
      <c r="R296">
        <v>0.21215341179358921</v>
      </c>
      <c r="S296">
        <v>2024</v>
      </c>
      <c r="T296" t="s">
        <v>636</v>
      </c>
      <c r="U296">
        <v>3</v>
      </c>
      <c r="V296" t="s">
        <v>33</v>
      </c>
    </row>
    <row r="297" spans="1:22" x14ac:dyDescent="0.3">
      <c r="A297" t="s">
        <v>818</v>
      </c>
      <c r="B297" s="1">
        <v>45374</v>
      </c>
      <c r="C297" t="s">
        <v>819</v>
      </c>
      <c r="D297" t="s">
        <v>820</v>
      </c>
      <c r="E297" t="s">
        <v>120</v>
      </c>
      <c r="F297" t="s">
        <v>121</v>
      </c>
      <c r="G297" t="s">
        <v>130</v>
      </c>
      <c r="H297" t="s">
        <v>28</v>
      </c>
      <c r="I297" t="s">
        <v>29</v>
      </c>
      <c r="J297" t="s">
        <v>57</v>
      </c>
      <c r="K297">
        <v>2</v>
      </c>
      <c r="L297">
        <v>16639.62</v>
      </c>
      <c r="M297">
        <v>0.1</v>
      </c>
      <c r="N297">
        <v>29951.32</v>
      </c>
      <c r="O297">
        <v>25407.8</v>
      </c>
      <c r="P297">
        <v>4543.5200000000004</v>
      </c>
      <c r="Q297" t="s">
        <v>31</v>
      </c>
      <c r="R297">
        <v>0.15169682003998489</v>
      </c>
      <c r="S297">
        <v>2024</v>
      </c>
      <c r="T297" t="s">
        <v>636</v>
      </c>
      <c r="U297">
        <v>3</v>
      </c>
      <c r="V297" t="s">
        <v>33</v>
      </c>
    </row>
    <row r="298" spans="1:22" x14ac:dyDescent="0.3">
      <c r="A298" t="s">
        <v>821</v>
      </c>
      <c r="B298" s="1">
        <v>45374</v>
      </c>
      <c r="C298" t="s">
        <v>264</v>
      </c>
      <c r="D298" t="s">
        <v>822</v>
      </c>
      <c r="E298" t="s">
        <v>41</v>
      </c>
      <c r="F298" t="s">
        <v>42</v>
      </c>
      <c r="G298" t="s">
        <v>42</v>
      </c>
      <c r="H298" t="s">
        <v>43</v>
      </c>
      <c r="I298" t="s">
        <v>44</v>
      </c>
      <c r="J298" t="s">
        <v>248</v>
      </c>
      <c r="K298">
        <v>1</v>
      </c>
      <c r="L298">
        <v>294.24</v>
      </c>
      <c r="M298">
        <v>0</v>
      </c>
      <c r="N298">
        <v>294.24</v>
      </c>
      <c r="O298">
        <v>123.31</v>
      </c>
      <c r="P298">
        <v>170.93</v>
      </c>
      <c r="Q298" t="s">
        <v>31</v>
      </c>
      <c r="R298">
        <v>0.58092033713974989</v>
      </c>
      <c r="S298">
        <v>2024</v>
      </c>
      <c r="T298" t="s">
        <v>636</v>
      </c>
      <c r="U298">
        <v>3</v>
      </c>
      <c r="V298" t="s">
        <v>33</v>
      </c>
    </row>
    <row r="299" spans="1:22" x14ac:dyDescent="0.3">
      <c r="A299" t="s">
        <v>823</v>
      </c>
      <c r="B299" s="1">
        <v>45375</v>
      </c>
      <c r="C299" t="s">
        <v>824</v>
      </c>
      <c r="D299" t="s">
        <v>203</v>
      </c>
      <c r="E299" t="s">
        <v>61</v>
      </c>
      <c r="F299" t="s">
        <v>62</v>
      </c>
      <c r="G299" t="s">
        <v>228</v>
      </c>
      <c r="H299" t="s">
        <v>28</v>
      </c>
      <c r="I299" t="s">
        <v>91</v>
      </c>
      <c r="J299" t="s">
        <v>92</v>
      </c>
      <c r="K299">
        <v>4</v>
      </c>
      <c r="L299">
        <v>3134.84</v>
      </c>
      <c r="M299">
        <v>0.15</v>
      </c>
      <c r="N299">
        <v>10658.46</v>
      </c>
      <c r="O299">
        <v>6283.61</v>
      </c>
      <c r="P299">
        <v>4374.8500000000004</v>
      </c>
      <c r="Q299" t="s">
        <v>31</v>
      </c>
      <c r="R299">
        <v>0.41045798361114089</v>
      </c>
      <c r="S299">
        <v>2024</v>
      </c>
      <c r="T299" t="s">
        <v>636</v>
      </c>
      <c r="U299">
        <v>3</v>
      </c>
      <c r="V299" t="s">
        <v>33</v>
      </c>
    </row>
    <row r="300" spans="1:22" x14ac:dyDescent="0.3">
      <c r="A300" t="s">
        <v>825</v>
      </c>
      <c r="B300" s="1">
        <v>45375</v>
      </c>
      <c r="C300" t="s">
        <v>826</v>
      </c>
      <c r="D300" t="s">
        <v>737</v>
      </c>
      <c r="E300" t="s">
        <v>61</v>
      </c>
      <c r="F300" t="s">
        <v>71</v>
      </c>
      <c r="G300" t="s">
        <v>201</v>
      </c>
      <c r="H300" t="s">
        <v>84</v>
      </c>
      <c r="I300" t="s">
        <v>85</v>
      </c>
      <c r="J300" t="s">
        <v>86</v>
      </c>
      <c r="K300">
        <v>5</v>
      </c>
      <c r="L300">
        <v>1878.86</v>
      </c>
      <c r="M300">
        <v>0.1</v>
      </c>
      <c r="N300">
        <v>8454.8700000000008</v>
      </c>
      <c r="O300">
        <v>5042.38</v>
      </c>
      <c r="P300">
        <v>3412.49</v>
      </c>
      <c r="Q300" t="s">
        <v>46</v>
      </c>
      <c r="R300">
        <v>0.4036123559557982</v>
      </c>
      <c r="S300">
        <v>2024</v>
      </c>
      <c r="T300" t="s">
        <v>636</v>
      </c>
      <c r="U300">
        <v>3</v>
      </c>
      <c r="V300" t="s">
        <v>33</v>
      </c>
    </row>
    <row r="301" spans="1:22" x14ac:dyDescent="0.3">
      <c r="A301" t="s">
        <v>827</v>
      </c>
      <c r="B301" s="1">
        <v>45375</v>
      </c>
      <c r="C301" t="s">
        <v>483</v>
      </c>
      <c r="D301" t="s">
        <v>641</v>
      </c>
      <c r="E301" t="s">
        <v>41</v>
      </c>
      <c r="F301" t="s">
        <v>42</v>
      </c>
      <c r="G301" t="s">
        <v>50</v>
      </c>
      <c r="H301" t="s">
        <v>64</v>
      </c>
      <c r="I301" t="s">
        <v>108</v>
      </c>
      <c r="J301" t="s">
        <v>155</v>
      </c>
      <c r="K301">
        <v>3</v>
      </c>
      <c r="L301">
        <v>8771.98</v>
      </c>
      <c r="M301">
        <v>0.05</v>
      </c>
      <c r="N301">
        <v>25000.14</v>
      </c>
      <c r="O301">
        <v>17935.47</v>
      </c>
      <c r="P301">
        <v>7064.67</v>
      </c>
      <c r="Q301" t="s">
        <v>31</v>
      </c>
      <c r="R301">
        <v>0.28258521752278187</v>
      </c>
      <c r="S301">
        <v>2024</v>
      </c>
      <c r="T301" t="s">
        <v>636</v>
      </c>
      <c r="U301">
        <v>3</v>
      </c>
      <c r="V301" t="s">
        <v>33</v>
      </c>
    </row>
    <row r="302" spans="1:22" x14ac:dyDescent="0.3">
      <c r="A302" t="s">
        <v>828</v>
      </c>
      <c r="B302" s="1">
        <v>45375</v>
      </c>
      <c r="C302" t="s">
        <v>612</v>
      </c>
      <c r="D302" t="s">
        <v>295</v>
      </c>
      <c r="E302" t="s">
        <v>61</v>
      </c>
      <c r="F302" t="s">
        <v>62</v>
      </c>
      <c r="G302" t="s">
        <v>63</v>
      </c>
      <c r="H302" t="s">
        <v>64</v>
      </c>
      <c r="I302" t="s">
        <v>108</v>
      </c>
      <c r="J302" t="s">
        <v>155</v>
      </c>
      <c r="K302">
        <v>4</v>
      </c>
      <c r="L302">
        <v>8591.1200000000008</v>
      </c>
      <c r="M302">
        <v>0.05</v>
      </c>
      <c r="N302">
        <v>32646.26</v>
      </c>
      <c r="O302">
        <v>23175.18</v>
      </c>
      <c r="P302">
        <v>9471.08</v>
      </c>
      <c r="Q302" t="s">
        <v>31</v>
      </c>
      <c r="R302">
        <v>0.29011225175563748</v>
      </c>
      <c r="S302">
        <v>2024</v>
      </c>
      <c r="T302" t="s">
        <v>636</v>
      </c>
      <c r="U302">
        <v>3</v>
      </c>
      <c r="V302" t="s">
        <v>33</v>
      </c>
    </row>
    <row r="303" spans="1:22" x14ac:dyDescent="0.3">
      <c r="A303" t="s">
        <v>829</v>
      </c>
      <c r="B303" s="1">
        <v>45376</v>
      </c>
      <c r="C303" t="s">
        <v>830</v>
      </c>
      <c r="D303" t="s">
        <v>494</v>
      </c>
      <c r="E303" t="s">
        <v>41</v>
      </c>
      <c r="F303" t="s">
        <v>42</v>
      </c>
      <c r="G303" t="s">
        <v>42</v>
      </c>
      <c r="H303" t="s">
        <v>43</v>
      </c>
      <c r="I303" t="s">
        <v>44</v>
      </c>
      <c r="J303" t="s">
        <v>248</v>
      </c>
      <c r="K303">
        <v>2</v>
      </c>
      <c r="L303">
        <v>287.97000000000003</v>
      </c>
      <c r="M303">
        <v>0.2</v>
      </c>
      <c r="N303">
        <v>460.75</v>
      </c>
      <c r="O303">
        <v>235.2</v>
      </c>
      <c r="P303">
        <v>225.55</v>
      </c>
      <c r="Q303" t="s">
        <v>67</v>
      </c>
      <c r="R303">
        <v>0.48952794357026591</v>
      </c>
      <c r="S303">
        <v>2024</v>
      </c>
      <c r="T303" t="s">
        <v>636</v>
      </c>
      <c r="U303">
        <v>3</v>
      </c>
      <c r="V303" t="s">
        <v>33</v>
      </c>
    </row>
    <row r="304" spans="1:22" x14ac:dyDescent="0.3">
      <c r="A304" t="s">
        <v>831</v>
      </c>
      <c r="B304" s="1">
        <v>45376</v>
      </c>
      <c r="C304" t="s">
        <v>492</v>
      </c>
      <c r="D304" t="s">
        <v>363</v>
      </c>
      <c r="E304" t="s">
        <v>61</v>
      </c>
      <c r="F304" t="s">
        <v>78</v>
      </c>
      <c r="G304" t="s">
        <v>79</v>
      </c>
      <c r="H304" t="s">
        <v>28</v>
      </c>
      <c r="I304" t="s">
        <v>73</v>
      </c>
      <c r="J304" t="s">
        <v>74</v>
      </c>
      <c r="K304">
        <v>2</v>
      </c>
      <c r="L304">
        <v>2471.3000000000002</v>
      </c>
      <c r="M304">
        <v>0.15</v>
      </c>
      <c r="N304">
        <v>4201.21</v>
      </c>
      <c r="O304">
        <v>2788.53</v>
      </c>
      <c r="P304">
        <v>1412.68</v>
      </c>
      <c r="Q304" t="s">
        <v>53</v>
      </c>
      <c r="R304">
        <v>0.33625550734193238</v>
      </c>
      <c r="S304">
        <v>2024</v>
      </c>
      <c r="T304" t="s">
        <v>636</v>
      </c>
      <c r="U304">
        <v>3</v>
      </c>
      <c r="V304" t="s">
        <v>33</v>
      </c>
    </row>
    <row r="305" spans="1:22" x14ac:dyDescent="0.3">
      <c r="A305" t="s">
        <v>832</v>
      </c>
      <c r="B305" s="1">
        <v>45377</v>
      </c>
      <c r="C305" t="s">
        <v>492</v>
      </c>
      <c r="D305" t="s">
        <v>547</v>
      </c>
      <c r="E305" t="s">
        <v>120</v>
      </c>
      <c r="F305" t="s">
        <v>121</v>
      </c>
      <c r="G305" t="s">
        <v>224</v>
      </c>
      <c r="H305" t="s">
        <v>84</v>
      </c>
      <c r="I305" t="s">
        <v>85</v>
      </c>
      <c r="J305" t="s">
        <v>86</v>
      </c>
      <c r="K305">
        <v>1</v>
      </c>
      <c r="L305">
        <v>1880.63</v>
      </c>
      <c r="M305">
        <v>0.1</v>
      </c>
      <c r="N305">
        <v>1692.57</v>
      </c>
      <c r="O305">
        <v>1005.34</v>
      </c>
      <c r="P305">
        <v>687.23</v>
      </c>
      <c r="Q305" t="s">
        <v>53</v>
      </c>
      <c r="R305">
        <v>0.4060275202798112</v>
      </c>
      <c r="S305">
        <v>2024</v>
      </c>
      <c r="T305" t="s">
        <v>636</v>
      </c>
      <c r="U305">
        <v>3</v>
      </c>
      <c r="V305" t="s">
        <v>33</v>
      </c>
    </row>
    <row r="306" spans="1:22" x14ac:dyDescent="0.3">
      <c r="A306" t="s">
        <v>833</v>
      </c>
      <c r="B306" s="1">
        <v>45377</v>
      </c>
      <c r="C306" t="s">
        <v>834</v>
      </c>
      <c r="D306" t="s">
        <v>446</v>
      </c>
      <c r="E306" t="s">
        <v>61</v>
      </c>
      <c r="F306" t="s">
        <v>62</v>
      </c>
      <c r="G306" t="s">
        <v>63</v>
      </c>
      <c r="H306" t="s">
        <v>28</v>
      </c>
      <c r="I306" t="s">
        <v>29</v>
      </c>
      <c r="J306" t="s">
        <v>57</v>
      </c>
      <c r="K306">
        <v>1</v>
      </c>
      <c r="L306">
        <v>16412.810000000001</v>
      </c>
      <c r="M306">
        <v>0.1</v>
      </c>
      <c r="N306">
        <v>14771.53</v>
      </c>
      <c r="O306">
        <v>11924.43</v>
      </c>
      <c r="P306">
        <v>2847.1</v>
      </c>
      <c r="Q306" t="s">
        <v>53</v>
      </c>
      <c r="R306">
        <v>0.19274239026018289</v>
      </c>
      <c r="S306">
        <v>2024</v>
      </c>
      <c r="T306" t="s">
        <v>636</v>
      </c>
      <c r="U306">
        <v>3</v>
      </c>
      <c r="V306" t="s">
        <v>33</v>
      </c>
    </row>
    <row r="307" spans="1:22" x14ac:dyDescent="0.3">
      <c r="A307" t="s">
        <v>835</v>
      </c>
      <c r="B307" s="1">
        <v>45377</v>
      </c>
      <c r="C307" t="s">
        <v>836</v>
      </c>
      <c r="D307" t="s">
        <v>477</v>
      </c>
      <c r="E307" t="s">
        <v>61</v>
      </c>
      <c r="F307" t="s">
        <v>62</v>
      </c>
      <c r="G307" t="s">
        <v>63</v>
      </c>
      <c r="H307" t="s">
        <v>28</v>
      </c>
      <c r="I307" t="s">
        <v>91</v>
      </c>
      <c r="J307" t="s">
        <v>126</v>
      </c>
      <c r="K307">
        <v>4</v>
      </c>
      <c r="L307">
        <v>1974.61</v>
      </c>
      <c r="M307">
        <v>0</v>
      </c>
      <c r="N307">
        <v>7898.44</v>
      </c>
      <c r="O307">
        <v>4703.8500000000004</v>
      </c>
      <c r="P307">
        <v>3194.59</v>
      </c>
      <c r="Q307" t="s">
        <v>67</v>
      </c>
      <c r="R307">
        <v>0.40445834873721898</v>
      </c>
      <c r="S307">
        <v>2024</v>
      </c>
      <c r="T307" t="s">
        <v>636</v>
      </c>
      <c r="U307">
        <v>3</v>
      </c>
      <c r="V307" t="s">
        <v>33</v>
      </c>
    </row>
    <row r="308" spans="1:22" x14ac:dyDescent="0.3">
      <c r="A308" t="s">
        <v>837</v>
      </c>
      <c r="B308" s="1">
        <v>45377</v>
      </c>
      <c r="C308" t="s">
        <v>838</v>
      </c>
      <c r="D308" t="s">
        <v>374</v>
      </c>
      <c r="E308" t="s">
        <v>41</v>
      </c>
      <c r="F308" t="s">
        <v>42</v>
      </c>
      <c r="G308" t="s">
        <v>50</v>
      </c>
      <c r="H308" t="s">
        <v>64</v>
      </c>
      <c r="I308" t="s">
        <v>65</v>
      </c>
      <c r="J308" t="s">
        <v>232</v>
      </c>
      <c r="K308">
        <v>2</v>
      </c>
      <c r="L308">
        <v>3977.54</v>
      </c>
      <c r="M308">
        <v>0.1</v>
      </c>
      <c r="N308">
        <v>7159.57</v>
      </c>
      <c r="O308">
        <v>5143.6899999999996</v>
      </c>
      <c r="P308">
        <v>2015.88</v>
      </c>
      <c r="Q308" t="s">
        <v>67</v>
      </c>
      <c r="R308">
        <v>0.28156439562711172</v>
      </c>
      <c r="S308">
        <v>2024</v>
      </c>
      <c r="T308" t="s">
        <v>636</v>
      </c>
      <c r="U308">
        <v>3</v>
      </c>
      <c r="V308" t="s">
        <v>33</v>
      </c>
    </row>
    <row r="309" spans="1:22" x14ac:dyDescent="0.3">
      <c r="A309" t="s">
        <v>839</v>
      </c>
      <c r="B309" s="1">
        <v>45377</v>
      </c>
      <c r="C309" t="s">
        <v>840</v>
      </c>
      <c r="D309" t="s">
        <v>841</v>
      </c>
      <c r="E309" t="s">
        <v>25</v>
      </c>
      <c r="F309" t="s">
        <v>26</v>
      </c>
      <c r="G309" t="s">
        <v>260</v>
      </c>
      <c r="H309" t="s">
        <v>64</v>
      </c>
      <c r="I309" t="s">
        <v>108</v>
      </c>
      <c r="J309" t="s">
        <v>155</v>
      </c>
      <c r="K309">
        <v>1</v>
      </c>
      <c r="L309">
        <v>8957.16</v>
      </c>
      <c r="M309">
        <v>0.1</v>
      </c>
      <c r="N309">
        <v>8061.44</v>
      </c>
      <c r="O309">
        <v>6126.26</v>
      </c>
      <c r="P309">
        <v>1935.18</v>
      </c>
      <c r="Q309" t="s">
        <v>67</v>
      </c>
      <c r="R309">
        <v>0.24005388615433471</v>
      </c>
      <c r="S309">
        <v>2024</v>
      </c>
      <c r="T309" t="s">
        <v>636</v>
      </c>
      <c r="U309">
        <v>3</v>
      </c>
      <c r="V309" t="s">
        <v>33</v>
      </c>
    </row>
    <row r="310" spans="1:22" x14ac:dyDescent="0.3">
      <c r="A310" t="s">
        <v>842</v>
      </c>
      <c r="B310" s="1">
        <v>45378</v>
      </c>
      <c r="C310" t="s">
        <v>843</v>
      </c>
      <c r="D310" t="s">
        <v>844</v>
      </c>
      <c r="E310" t="s">
        <v>61</v>
      </c>
      <c r="F310" t="s">
        <v>71</v>
      </c>
      <c r="G310" t="s">
        <v>201</v>
      </c>
      <c r="H310" t="s">
        <v>28</v>
      </c>
      <c r="I310" t="s">
        <v>91</v>
      </c>
      <c r="J310" t="s">
        <v>92</v>
      </c>
      <c r="K310">
        <v>4</v>
      </c>
      <c r="L310">
        <v>3069.25</v>
      </c>
      <c r="M310">
        <v>0.05</v>
      </c>
      <c r="N310">
        <v>11663.15</v>
      </c>
      <c r="O310">
        <v>6593.48</v>
      </c>
      <c r="P310">
        <v>5069.67</v>
      </c>
      <c r="Q310" t="s">
        <v>46</v>
      </c>
      <c r="R310">
        <v>0.43467416607005832</v>
      </c>
      <c r="S310">
        <v>2024</v>
      </c>
      <c r="T310" t="s">
        <v>636</v>
      </c>
      <c r="U310">
        <v>3</v>
      </c>
      <c r="V310" t="s">
        <v>33</v>
      </c>
    </row>
    <row r="311" spans="1:22" x14ac:dyDescent="0.3">
      <c r="A311" t="s">
        <v>845</v>
      </c>
      <c r="B311" s="1">
        <v>45378</v>
      </c>
      <c r="C311" t="s">
        <v>846</v>
      </c>
      <c r="D311" t="s">
        <v>847</v>
      </c>
      <c r="E311" t="s">
        <v>61</v>
      </c>
      <c r="F311" t="s">
        <v>78</v>
      </c>
      <c r="G311" t="s">
        <v>104</v>
      </c>
      <c r="H311" t="s">
        <v>43</v>
      </c>
      <c r="I311" t="s">
        <v>44</v>
      </c>
      <c r="J311" t="s">
        <v>248</v>
      </c>
      <c r="K311">
        <v>6</v>
      </c>
      <c r="L311">
        <v>304.33</v>
      </c>
      <c r="M311">
        <v>0.05</v>
      </c>
      <c r="N311">
        <v>1734.68</v>
      </c>
      <c r="O311">
        <v>745.58</v>
      </c>
      <c r="P311">
        <v>989.1</v>
      </c>
      <c r="Q311" t="s">
        <v>46</v>
      </c>
      <c r="R311">
        <v>0.57019162035649229</v>
      </c>
      <c r="S311">
        <v>2024</v>
      </c>
      <c r="T311" t="s">
        <v>636</v>
      </c>
      <c r="U311">
        <v>3</v>
      </c>
      <c r="V311" t="s">
        <v>33</v>
      </c>
    </row>
    <row r="312" spans="1:22" x14ac:dyDescent="0.3">
      <c r="A312" t="s">
        <v>848</v>
      </c>
      <c r="B312" s="1">
        <v>45378</v>
      </c>
      <c r="C312" t="s">
        <v>579</v>
      </c>
      <c r="D312" t="s">
        <v>849</v>
      </c>
      <c r="E312" t="s">
        <v>120</v>
      </c>
      <c r="F312" t="s">
        <v>121</v>
      </c>
      <c r="G312" t="s">
        <v>224</v>
      </c>
      <c r="H312" t="s">
        <v>84</v>
      </c>
      <c r="I312" t="s">
        <v>138</v>
      </c>
      <c r="J312" t="s">
        <v>139</v>
      </c>
      <c r="K312">
        <v>2</v>
      </c>
      <c r="L312">
        <v>12384.8</v>
      </c>
      <c r="M312">
        <v>0.05</v>
      </c>
      <c r="N312">
        <v>23531.119999999999</v>
      </c>
      <c r="O312">
        <v>17171.32</v>
      </c>
      <c r="P312">
        <v>6359.8</v>
      </c>
      <c r="Q312" t="s">
        <v>53</v>
      </c>
      <c r="R312">
        <v>0.27027187826163818</v>
      </c>
      <c r="S312">
        <v>2024</v>
      </c>
      <c r="T312" t="s">
        <v>636</v>
      </c>
      <c r="U312">
        <v>3</v>
      </c>
      <c r="V312" t="s">
        <v>33</v>
      </c>
    </row>
    <row r="313" spans="1:22" x14ac:dyDescent="0.3">
      <c r="A313" t="s">
        <v>850</v>
      </c>
      <c r="B313" s="1">
        <v>45378</v>
      </c>
      <c r="C313" t="s">
        <v>586</v>
      </c>
      <c r="D313" t="s">
        <v>851</v>
      </c>
      <c r="E313" t="s">
        <v>61</v>
      </c>
      <c r="F313" t="s">
        <v>71</v>
      </c>
      <c r="G313" t="s">
        <v>201</v>
      </c>
      <c r="H313" t="s">
        <v>84</v>
      </c>
      <c r="I313" t="s">
        <v>138</v>
      </c>
      <c r="J313" t="s">
        <v>139</v>
      </c>
      <c r="K313">
        <v>2</v>
      </c>
      <c r="L313">
        <v>13237.76</v>
      </c>
      <c r="M313">
        <v>0</v>
      </c>
      <c r="N313">
        <v>26475.52</v>
      </c>
      <c r="O313">
        <v>19325.8</v>
      </c>
      <c r="P313">
        <v>7149.72</v>
      </c>
      <c r="Q313" t="s">
        <v>67</v>
      </c>
      <c r="R313">
        <v>0.27005021997679368</v>
      </c>
      <c r="S313">
        <v>2024</v>
      </c>
      <c r="T313" t="s">
        <v>636</v>
      </c>
      <c r="U313">
        <v>3</v>
      </c>
      <c r="V313" t="s">
        <v>33</v>
      </c>
    </row>
    <row r="314" spans="1:22" x14ac:dyDescent="0.3">
      <c r="A314" t="s">
        <v>852</v>
      </c>
      <c r="B314" s="1">
        <v>45378</v>
      </c>
      <c r="C314" t="s">
        <v>853</v>
      </c>
      <c r="D314" t="s">
        <v>440</v>
      </c>
      <c r="E314" t="s">
        <v>120</v>
      </c>
      <c r="F314" t="s">
        <v>121</v>
      </c>
      <c r="G314" t="s">
        <v>122</v>
      </c>
      <c r="H314" t="s">
        <v>64</v>
      </c>
      <c r="I314" t="s">
        <v>108</v>
      </c>
      <c r="J314" t="s">
        <v>155</v>
      </c>
      <c r="K314">
        <v>1</v>
      </c>
      <c r="L314">
        <v>8647.3700000000008</v>
      </c>
      <c r="M314">
        <v>0.1</v>
      </c>
      <c r="N314">
        <v>7782.63</v>
      </c>
      <c r="O314">
        <v>6026.95</v>
      </c>
      <c r="P314">
        <v>1755.68</v>
      </c>
      <c r="Q314" t="s">
        <v>46</v>
      </c>
      <c r="R314">
        <v>0.2255895500621255</v>
      </c>
      <c r="S314">
        <v>2024</v>
      </c>
      <c r="T314" t="s">
        <v>636</v>
      </c>
      <c r="U314">
        <v>3</v>
      </c>
      <c r="V314" t="s">
        <v>33</v>
      </c>
    </row>
    <row r="315" spans="1:22" x14ac:dyDescent="0.3">
      <c r="A315" t="s">
        <v>854</v>
      </c>
      <c r="B315" s="1">
        <v>45378</v>
      </c>
      <c r="C315" t="s">
        <v>428</v>
      </c>
      <c r="D315" t="s">
        <v>304</v>
      </c>
      <c r="E315" t="s">
        <v>61</v>
      </c>
      <c r="F315" t="s">
        <v>71</v>
      </c>
      <c r="G315" t="s">
        <v>72</v>
      </c>
      <c r="H315" t="s">
        <v>84</v>
      </c>
      <c r="I315" t="s">
        <v>138</v>
      </c>
      <c r="J315" t="s">
        <v>220</v>
      </c>
      <c r="K315">
        <v>1</v>
      </c>
      <c r="L315">
        <v>7410.19</v>
      </c>
      <c r="M315">
        <v>0.05</v>
      </c>
      <c r="N315">
        <v>7039.68</v>
      </c>
      <c r="O315">
        <v>4827.8100000000004</v>
      </c>
      <c r="P315">
        <v>2211.87</v>
      </c>
      <c r="Q315" t="s">
        <v>31</v>
      </c>
      <c r="R315">
        <v>0.31420036138006269</v>
      </c>
      <c r="S315">
        <v>2024</v>
      </c>
      <c r="T315" t="s">
        <v>636</v>
      </c>
      <c r="U315">
        <v>3</v>
      </c>
      <c r="V315" t="s">
        <v>33</v>
      </c>
    </row>
    <row r="316" spans="1:22" x14ac:dyDescent="0.3">
      <c r="A316" t="s">
        <v>855</v>
      </c>
      <c r="B316" s="1">
        <v>45378</v>
      </c>
      <c r="C316" t="s">
        <v>856</v>
      </c>
      <c r="D316" t="s">
        <v>182</v>
      </c>
      <c r="E316" t="s">
        <v>61</v>
      </c>
      <c r="F316" t="s">
        <v>62</v>
      </c>
      <c r="G316" t="s">
        <v>90</v>
      </c>
      <c r="H316" t="s">
        <v>64</v>
      </c>
      <c r="I316" t="s">
        <v>108</v>
      </c>
      <c r="J316" t="s">
        <v>109</v>
      </c>
      <c r="K316">
        <v>3</v>
      </c>
      <c r="L316">
        <v>7263.16</v>
      </c>
      <c r="M316">
        <v>0.1</v>
      </c>
      <c r="N316">
        <v>19610.53</v>
      </c>
      <c r="O316">
        <v>13589.43</v>
      </c>
      <c r="P316">
        <v>6021.1</v>
      </c>
      <c r="Q316" t="s">
        <v>31</v>
      </c>
      <c r="R316">
        <v>0.3070340271272628</v>
      </c>
      <c r="S316">
        <v>2024</v>
      </c>
      <c r="T316" t="s">
        <v>636</v>
      </c>
      <c r="U316">
        <v>3</v>
      </c>
      <c r="V316" t="s">
        <v>33</v>
      </c>
    </row>
    <row r="317" spans="1:22" x14ac:dyDescent="0.3">
      <c r="A317" t="s">
        <v>857</v>
      </c>
      <c r="B317" s="1">
        <v>45378</v>
      </c>
      <c r="C317" t="s">
        <v>858</v>
      </c>
      <c r="D317" t="s">
        <v>547</v>
      </c>
      <c r="E317" t="s">
        <v>25</v>
      </c>
      <c r="F317" t="s">
        <v>26</v>
      </c>
      <c r="G317" t="s">
        <v>27</v>
      </c>
      <c r="H317" t="s">
        <v>64</v>
      </c>
      <c r="I317" t="s">
        <v>108</v>
      </c>
      <c r="J317" t="s">
        <v>109</v>
      </c>
      <c r="K317">
        <v>1</v>
      </c>
      <c r="L317">
        <v>7003.43</v>
      </c>
      <c r="M317">
        <v>0.1</v>
      </c>
      <c r="N317">
        <v>6303.09</v>
      </c>
      <c r="O317">
        <v>4511.83</v>
      </c>
      <c r="P317">
        <v>1791.26</v>
      </c>
      <c r="Q317" t="s">
        <v>67</v>
      </c>
      <c r="R317">
        <v>0.28418759687708728</v>
      </c>
      <c r="S317">
        <v>2024</v>
      </c>
      <c r="T317" t="s">
        <v>636</v>
      </c>
      <c r="U317">
        <v>3</v>
      </c>
      <c r="V317" t="s">
        <v>33</v>
      </c>
    </row>
    <row r="318" spans="1:22" x14ac:dyDescent="0.3">
      <c r="A318" t="s">
        <v>859</v>
      </c>
      <c r="B318" s="1">
        <v>45379</v>
      </c>
      <c r="C318" t="s">
        <v>591</v>
      </c>
      <c r="D318" t="s">
        <v>542</v>
      </c>
      <c r="E318" t="s">
        <v>41</v>
      </c>
      <c r="F318" t="s">
        <v>42</v>
      </c>
      <c r="G318" t="s">
        <v>50</v>
      </c>
      <c r="H318" t="s">
        <v>43</v>
      </c>
      <c r="I318" t="s">
        <v>51</v>
      </c>
      <c r="J318" t="s">
        <v>96</v>
      </c>
      <c r="K318">
        <v>2</v>
      </c>
      <c r="L318">
        <v>477.1</v>
      </c>
      <c r="M318">
        <v>0.1</v>
      </c>
      <c r="N318">
        <v>858.78</v>
      </c>
      <c r="O318">
        <v>427.55</v>
      </c>
      <c r="P318">
        <v>431.23</v>
      </c>
      <c r="Q318" t="s">
        <v>53</v>
      </c>
      <c r="R318">
        <v>0.50214257434965881</v>
      </c>
      <c r="S318">
        <v>2024</v>
      </c>
      <c r="T318" t="s">
        <v>636</v>
      </c>
      <c r="U318">
        <v>3</v>
      </c>
      <c r="V318" t="s">
        <v>33</v>
      </c>
    </row>
    <row r="319" spans="1:22" x14ac:dyDescent="0.3">
      <c r="A319" t="s">
        <v>860</v>
      </c>
      <c r="B319" s="1">
        <v>45379</v>
      </c>
      <c r="C319" t="s">
        <v>861</v>
      </c>
      <c r="D319" t="s">
        <v>707</v>
      </c>
      <c r="E319" t="s">
        <v>61</v>
      </c>
      <c r="F319" t="s">
        <v>62</v>
      </c>
      <c r="G319" t="s">
        <v>63</v>
      </c>
      <c r="H319" t="s">
        <v>64</v>
      </c>
      <c r="I319" t="s">
        <v>108</v>
      </c>
      <c r="J319" t="s">
        <v>109</v>
      </c>
      <c r="K319">
        <v>6</v>
      </c>
      <c r="L319">
        <v>7216.91</v>
      </c>
      <c r="M319">
        <v>0.15</v>
      </c>
      <c r="N319">
        <v>36806.239999999998</v>
      </c>
      <c r="O319">
        <v>26803.78</v>
      </c>
      <c r="P319">
        <v>10002.459999999999</v>
      </c>
      <c r="Q319" t="s">
        <v>31</v>
      </c>
      <c r="R319">
        <v>0.27175989723481669</v>
      </c>
      <c r="S319">
        <v>2024</v>
      </c>
      <c r="T319" t="s">
        <v>636</v>
      </c>
      <c r="U319">
        <v>3</v>
      </c>
      <c r="V319" t="s">
        <v>33</v>
      </c>
    </row>
    <row r="320" spans="1:22" x14ac:dyDescent="0.3">
      <c r="A320" t="s">
        <v>862</v>
      </c>
      <c r="B320" s="1">
        <v>45380</v>
      </c>
      <c r="C320" t="s">
        <v>353</v>
      </c>
      <c r="D320" t="s">
        <v>154</v>
      </c>
      <c r="E320" t="s">
        <v>41</v>
      </c>
      <c r="F320" t="s">
        <v>42</v>
      </c>
      <c r="G320" t="s">
        <v>42</v>
      </c>
      <c r="H320" t="s">
        <v>64</v>
      </c>
      <c r="I320" t="s">
        <v>65</v>
      </c>
      <c r="J320" t="s">
        <v>232</v>
      </c>
      <c r="K320">
        <v>1</v>
      </c>
      <c r="L320">
        <v>3811.63</v>
      </c>
      <c r="M320">
        <v>0.2</v>
      </c>
      <c r="N320">
        <v>3049.3</v>
      </c>
      <c r="O320">
        <v>2345.3000000000002</v>
      </c>
      <c r="P320">
        <v>704</v>
      </c>
      <c r="Q320" t="s">
        <v>46</v>
      </c>
      <c r="R320">
        <v>0.23087265929885539</v>
      </c>
      <c r="S320">
        <v>2024</v>
      </c>
      <c r="T320" t="s">
        <v>636</v>
      </c>
      <c r="U320">
        <v>3</v>
      </c>
      <c r="V320" t="s">
        <v>33</v>
      </c>
    </row>
    <row r="321" spans="1:22" x14ac:dyDescent="0.3">
      <c r="A321" t="s">
        <v>863</v>
      </c>
      <c r="B321" s="1">
        <v>45380</v>
      </c>
      <c r="C321" t="s">
        <v>805</v>
      </c>
      <c r="D321" t="s">
        <v>820</v>
      </c>
      <c r="E321" t="s">
        <v>61</v>
      </c>
      <c r="F321" t="s">
        <v>78</v>
      </c>
      <c r="G321" t="s">
        <v>83</v>
      </c>
      <c r="H321" t="s">
        <v>64</v>
      </c>
      <c r="I321" t="s">
        <v>108</v>
      </c>
      <c r="J321" t="s">
        <v>109</v>
      </c>
      <c r="K321">
        <v>4</v>
      </c>
      <c r="L321">
        <v>7379.95</v>
      </c>
      <c r="M321">
        <v>0.15</v>
      </c>
      <c r="N321">
        <v>25091.83</v>
      </c>
      <c r="O321">
        <v>18288.509999999998</v>
      </c>
      <c r="P321">
        <v>6803.32</v>
      </c>
      <c r="Q321" t="s">
        <v>46</v>
      </c>
      <c r="R321">
        <v>0.27113686008553378</v>
      </c>
      <c r="S321">
        <v>2024</v>
      </c>
      <c r="T321" t="s">
        <v>636</v>
      </c>
      <c r="U321">
        <v>3</v>
      </c>
      <c r="V321" t="s">
        <v>33</v>
      </c>
    </row>
    <row r="322" spans="1:22" x14ac:dyDescent="0.3">
      <c r="A322" t="s">
        <v>864</v>
      </c>
      <c r="B322" s="1">
        <v>45381</v>
      </c>
      <c r="C322" t="s">
        <v>461</v>
      </c>
      <c r="D322" t="s">
        <v>735</v>
      </c>
      <c r="E322" t="s">
        <v>25</v>
      </c>
      <c r="F322" t="s">
        <v>26</v>
      </c>
      <c r="G322" t="s">
        <v>260</v>
      </c>
      <c r="H322" t="s">
        <v>28</v>
      </c>
      <c r="I322" t="s">
        <v>29</v>
      </c>
      <c r="J322" t="s">
        <v>57</v>
      </c>
      <c r="K322">
        <v>3</v>
      </c>
      <c r="L322">
        <v>15725.92</v>
      </c>
      <c r="M322">
        <v>0.2</v>
      </c>
      <c r="N322">
        <v>37742.21</v>
      </c>
      <c r="O322">
        <v>36795.99</v>
      </c>
      <c r="P322">
        <v>946.22</v>
      </c>
      <c r="Q322" t="s">
        <v>31</v>
      </c>
      <c r="R322">
        <v>2.5070603973641189E-2</v>
      </c>
      <c r="S322">
        <v>2024</v>
      </c>
      <c r="T322" t="s">
        <v>636</v>
      </c>
      <c r="U322">
        <v>3</v>
      </c>
      <c r="V322" t="s">
        <v>33</v>
      </c>
    </row>
    <row r="323" spans="1:22" x14ac:dyDescent="0.3">
      <c r="A323" t="s">
        <v>865</v>
      </c>
      <c r="B323" s="1">
        <v>45382</v>
      </c>
      <c r="C323" t="s">
        <v>866</v>
      </c>
      <c r="D323" t="s">
        <v>474</v>
      </c>
      <c r="E323" t="s">
        <v>61</v>
      </c>
      <c r="F323" t="s">
        <v>78</v>
      </c>
      <c r="G323" t="s">
        <v>83</v>
      </c>
      <c r="H323" t="s">
        <v>28</v>
      </c>
      <c r="I323" t="s">
        <v>91</v>
      </c>
      <c r="J323" t="s">
        <v>92</v>
      </c>
      <c r="K323">
        <v>5</v>
      </c>
      <c r="L323">
        <v>2838.39</v>
      </c>
      <c r="M323">
        <v>0.15</v>
      </c>
      <c r="N323">
        <v>12063.16</v>
      </c>
      <c r="O323">
        <v>7570.91</v>
      </c>
      <c r="P323">
        <v>4492.25</v>
      </c>
      <c r="Q323" t="s">
        <v>46</v>
      </c>
      <c r="R323">
        <v>0.37239413221742901</v>
      </c>
      <c r="S323">
        <v>2024</v>
      </c>
      <c r="T323" t="s">
        <v>636</v>
      </c>
      <c r="U323">
        <v>3</v>
      </c>
      <c r="V323" t="s">
        <v>33</v>
      </c>
    </row>
    <row r="324" spans="1:22" x14ac:dyDescent="0.3">
      <c r="A324" t="s">
        <v>867</v>
      </c>
      <c r="B324" s="1">
        <v>45382</v>
      </c>
      <c r="C324" t="s">
        <v>868</v>
      </c>
      <c r="D324" t="s">
        <v>529</v>
      </c>
      <c r="E324" t="s">
        <v>25</v>
      </c>
      <c r="F324" t="s">
        <v>26</v>
      </c>
      <c r="G324" t="s">
        <v>37</v>
      </c>
      <c r="H324" t="s">
        <v>28</v>
      </c>
      <c r="I324" t="s">
        <v>91</v>
      </c>
      <c r="J324" t="s">
        <v>126</v>
      </c>
      <c r="K324">
        <v>6</v>
      </c>
      <c r="L324">
        <v>2103.6999999999998</v>
      </c>
      <c r="M324">
        <v>0.1</v>
      </c>
      <c r="N324">
        <v>11359.98</v>
      </c>
      <c r="O324">
        <v>7314.95</v>
      </c>
      <c r="P324">
        <v>4045.03</v>
      </c>
      <c r="Q324" t="s">
        <v>53</v>
      </c>
      <c r="R324">
        <v>0.35607721140354132</v>
      </c>
      <c r="S324">
        <v>2024</v>
      </c>
      <c r="T324" t="s">
        <v>636</v>
      </c>
      <c r="U324">
        <v>3</v>
      </c>
      <c r="V324" t="s">
        <v>33</v>
      </c>
    </row>
    <row r="325" spans="1:22" x14ac:dyDescent="0.3">
      <c r="A325" t="s">
        <v>869</v>
      </c>
      <c r="B325" s="1">
        <v>45382</v>
      </c>
      <c r="C325" t="s">
        <v>870</v>
      </c>
      <c r="D325" t="s">
        <v>516</v>
      </c>
      <c r="E325" t="s">
        <v>120</v>
      </c>
      <c r="F325" t="s">
        <v>121</v>
      </c>
      <c r="G325" t="s">
        <v>130</v>
      </c>
      <c r="H325" t="s">
        <v>28</v>
      </c>
      <c r="I325" t="s">
        <v>29</v>
      </c>
      <c r="J325" t="s">
        <v>57</v>
      </c>
      <c r="K325">
        <v>4</v>
      </c>
      <c r="L325">
        <v>16793.900000000001</v>
      </c>
      <c r="M325">
        <v>0.15</v>
      </c>
      <c r="N325">
        <v>57099.26</v>
      </c>
      <c r="O325">
        <v>49548</v>
      </c>
      <c r="P325">
        <v>7551.26</v>
      </c>
      <c r="Q325" t="s">
        <v>31</v>
      </c>
      <c r="R325">
        <v>0.1322479485723633</v>
      </c>
      <c r="S325">
        <v>2024</v>
      </c>
      <c r="T325" t="s">
        <v>636</v>
      </c>
      <c r="U325">
        <v>3</v>
      </c>
      <c r="V325" t="s">
        <v>33</v>
      </c>
    </row>
    <row r="326" spans="1:22" x14ac:dyDescent="0.3">
      <c r="A326" t="s">
        <v>871</v>
      </c>
      <c r="B326" s="1">
        <v>45382</v>
      </c>
      <c r="C326" t="s">
        <v>872</v>
      </c>
      <c r="D326" t="s">
        <v>406</v>
      </c>
      <c r="E326" t="s">
        <v>61</v>
      </c>
      <c r="F326" t="s">
        <v>71</v>
      </c>
      <c r="G326" t="s">
        <v>72</v>
      </c>
      <c r="H326" t="s">
        <v>64</v>
      </c>
      <c r="I326" t="s">
        <v>65</v>
      </c>
      <c r="J326" t="s">
        <v>232</v>
      </c>
      <c r="K326">
        <v>2</v>
      </c>
      <c r="L326">
        <v>4139.25</v>
      </c>
      <c r="M326">
        <v>0.1</v>
      </c>
      <c r="N326">
        <v>7450.65</v>
      </c>
      <c r="O326">
        <v>5321.05</v>
      </c>
      <c r="P326">
        <v>2129.6</v>
      </c>
      <c r="Q326" t="s">
        <v>31</v>
      </c>
      <c r="R326">
        <v>0.28582741103125231</v>
      </c>
      <c r="S326">
        <v>2024</v>
      </c>
      <c r="T326" t="s">
        <v>636</v>
      </c>
      <c r="U326">
        <v>3</v>
      </c>
      <c r="V326" t="s">
        <v>33</v>
      </c>
    </row>
    <row r="327" spans="1:22" x14ac:dyDescent="0.3">
      <c r="A327" t="s">
        <v>873</v>
      </c>
      <c r="B327" s="1">
        <v>45382</v>
      </c>
      <c r="C327" t="s">
        <v>874</v>
      </c>
      <c r="D327" t="s">
        <v>285</v>
      </c>
      <c r="E327" t="s">
        <v>61</v>
      </c>
      <c r="F327" t="s">
        <v>62</v>
      </c>
      <c r="G327" t="s">
        <v>63</v>
      </c>
      <c r="H327" t="s">
        <v>64</v>
      </c>
      <c r="I327" t="s">
        <v>108</v>
      </c>
      <c r="J327" t="s">
        <v>155</v>
      </c>
      <c r="K327">
        <v>4</v>
      </c>
      <c r="L327">
        <v>8620.02</v>
      </c>
      <c r="M327">
        <v>0.05</v>
      </c>
      <c r="N327">
        <v>32756.080000000002</v>
      </c>
      <c r="O327">
        <v>24246.77</v>
      </c>
      <c r="P327">
        <v>8509.31</v>
      </c>
      <c r="Q327" t="s">
        <v>67</v>
      </c>
      <c r="R327">
        <v>0.25977803204779082</v>
      </c>
      <c r="S327">
        <v>2024</v>
      </c>
      <c r="T327" t="s">
        <v>636</v>
      </c>
      <c r="U327">
        <v>3</v>
      </c>
      <c r="V327" t="s">
        <v>33</v>
      </c>
    </row>
    <row r="328" spans="1:22" x14ac:dyDescent="0.3">
      <c r="A328" t="s">
        <v>875</v>
      </c>
      <c r="B328" s="1">
        <v>45383</v>
      </c>
      <c r="C328" t="s">
        <v>473</v>
      </c>
      <c r="D328" t="s">
        <v>876</v>
      </c>
      <c r="E328" t="s">
        <v>41</v>
      </c>
      <c r="F328" t="s">
        <v>42</v>
      </c>
      <c r="G328" t="s">
        <v>50</v>
      </c>
      <c r="H328" t="s">
        <v>84</v>
      </c>
      <c r="I328" t="s">
        <v>85</v>
      </c>
      <c r="J328" t="s">
        <v>86</v>
      </c>
      <c r="K328">
        <v>1</v>
      </c>
      <c r="L328">
        <v>1859.15</v>
      </c>
      <c r="M328">
        <v>0.15</v>
      </c>
      <c r="N328">
        <v>1580.28</v>
      </c>
      <c r="O328">
        <v>986.92</v>
      </c>
      <c r="P328">
        <v>593.36</v>
      </c>
      <c r="Q328" t="s">
        <v>31</v>
      </c>
      <c r="R328">
        <v>0.37547776343432809</v>
      </c>
      <c r="S328">
        <v>2024</v>
      </c>
      <c r="T328" t="s">
        <v>877</v>
      </c>
      <c r="U328">
        <v>4</v>
      </c>
      <c r="V328" t="s">
        <v>878</v>
      </c>
    </row>
    <row r="329" spans="1:22" x14ac:dyDescent="0.3">
      <c r="A329" t="s">
        <v>879</v>
      </c>
      <c r="B329" s="1">
        <v>45383</v>
      </c>
      <c r="C329" t="s">
        <v>730</v>
      </c>
      <c r="D329" t="s">
        <v>393</v>
      </c>
      <c r="E329" t="s">
        <v>61</v>
      </c>
      <c r="F329" t="s">
        <v>62</v>
      </c>
      <c r="G329" t="s">
        <v>90</v>
      </c>
      <c r="H329" t="s">
        <v>84</v>
      </c>
      <c r="I329" t="s">
        <v>85</v>
      </c>
      <c r="J329" t="s">
        <v>86</v>
      </c>
      <c r="K329">
        <v>3</v>
      </c>
      <c r="L329">
        <v>1751.83</v>
      </c>
      <c r="M329">
        <v>0.1</v>
      </c>
      <c r="N329">
        <v>4729.9399999999996</v>
      </c>
      <c r="O329">
        <v>2752.73</v>
      </c>
      <c r="P329">
        <v>1977.21</v>
      </c>
      <c r="Q329" t="s">
        <v>46</v>
      </c>
      <c r="R329">
        <v>0.41802010173490578</v>
      </c>
      <c r="S329">
        <v>2024</v>
      </c>
      <c r="T329" t="s">
        <v>877</v>
      </c>
      <c r="U329">
        <v>4</v>
      </c>
      <c r="V329" t="s">
        <v>878</v>
      </c>
    </row>
    <row r="330" spans="1:22" x14ac:dyDescent="0.3">
      <c r="A330" t="s">
        <v>880</v>
      </c>
      <c r="B330" s="1">
        <v>45383</v>
      </c>
      <c r="C330" t="s">
        <v>881</v>
      </c>
      <c r="D330" t="s">
        <v>735</v>
      </c>
      <c r="E330" t="s">
        <v>61</v>
      </c>
      <c r="F330" t="s">
        <v>78</v>
      </c>
      <c r="G330" t="s">
        <v>79</v>
      </c>
      <c r="H330" t="s">
        <v>28</v>
      </c>
      <c r="I330" t="s">
        <v>29</v>
      </c>
      <c r="J330" t="s">
        <v>30</v>
      </c>
      <c r="K330">
        <v>3</v>
      </c>
      <c r="L330">
        <v>59442.93</v>
      </c>
      <c r="M330">
        <v>0</v>
      </c>
      <c r="N330">
        <v>178328.79</v>
      </c>
      <c r="O330">
        <v>155566.54</v>
      </c>
      <c r="P330">
        <v>22762.25</v>
      </c>
      <c r="Q330" t="s">
        <v>31</v>
      </c>
      <c r="R330">
        <v>0.12764203693638029</v>
      </c>
      <c r="S330">
        <v>2024</v>
      </c>
      <c r="T330" t="s">
        <v>877</v>
      </c>
      <c r="U330">
        <v>4</v>
      </c>
      <c r="V330" t="s">
        <v>878</v>
      </c>
    </row>
    <row r="331" spans="1:22" x14ac:dyDescent="0.3">
      <c r="A331" t="s">
        <v>882</v>
      </c>
      <c r="B331" s="1">
        <v>45384</v>
      </c>
      <c r="C331" t="s">
        <v>883</v>
      </c>
      <c r="D331" t="s">
        <v>884</v>
      </c>
      <c r="E331" t="s">
        <v>61</v>
      </c>
      <c r="F331" t="s">
        <v>78</v>
      </c>
      <c r="G331" t="s">
        <v>79</v>
      </c>
      <c r="H331" t="s">
        <v>28</v>
      </c>
      <c r="I331" t="s">
        <v>73</v>
      </c>
      <c r="J331" t="s">
        <v>74</v>
      </c>
      <c r="K331">
        <v>1</v>
      </c>
      <c r="L331">
        <v>2501.4</v>
      </c>
      <c r="M331">
        <v>0.2</v>
      </c>
      <c r="N331">
        <v>2001.12</v>
      </c>
      <c r="O331">
        <v>1341.81</v>
      </c>
      <c r="P331">
        <v>659.31</v>
      </c>
      <c r="Q331" t="s">
        <v>46</v>
      </c>
      <c r="R331">
        <v>0.32947049652194771</v>
      </c>
      <c r="S331">
        <v>2024</v>
      </c>
      <c r="T331" t="s">
        <v>877</v>
      </c>
      <c r="U331">
        <v>4</v>
      </c>
      <c r="V331" t="s">
        <v>878</v>
      </c>
    </row>
    <row r="332" spans="1:22" x14ac:dyDescent="0.3">
      <c r="A332" t="s">
        <v>885</v>
      </c>
      <c r="B332" s="1">
        <v>45384</v>
      </c>
      <c r="C332" t="s">
        <v>886</v>
      </c>
      <c r="D332" t="s">
        <v>806</v>
      </c>
      <c r="E332" t="s">
        <v>61</v>
      </c>
      <c r="F332" t="s">
        <v>71</v>
      </c>
      <c r="G332" t="s">
        <v>72</v>
      </c>
      <c r="H332" t="s">
        <v>84</v>
      </c>
      <c r="I332" t="s">
        <v>85</v>
      </c>
      <c r="J332" t="s">
        <v>86</v>
      </c>
      <c r="K332">
        <v>1</v>
      </c>
      <c r="L332">
        <v>1883.71</v>
      </c>
      <c r="M332">
        <v>0.05</v>
      </c>
      <c r="N332">
        <v>1789.52</v>
      </c>
      <c r="O332">
        <v>995.97</v>
      </c>
      <c r="P332">
        <v>793.55</v>
      </c>
      <c r="Q332" t="s">
        <v>53</v>
      </c>
      <c r="R332">
        <v>0.44344293441816801</v>
      </c>
      <c r="S332">
        <v>2024</v>
      </c>
      <c r="T332" t="s">
        <v>877</v>
      </c>
      <c r="U332">
        <v>4</v>
      </c>
      <c r="V332" t="s">
        <v>878</v>
      </c>
    </row>
    <row r="333" spans="1:22" x14ac:dyDescent="0.3">
      <c r="A333" t="s">
        <v>887</v>
      </c>
      <c r="B333" s="1">
        <v>45384</v>
      </c>
      <c r="C333" t="s">
        <v>574</v>
      </c>
      <c r="D333" t="s">
        <v>888</v>
      </c>
      <c r="E333" t="s">
        <v>61</v>
      </c>
      <c r="F333" t="s">
        <v>71</v>
      </c>
      <c r="G333" t="s">
        <v>201</v>
      </c>
      <c r="H333" t="s">
        <v>28</v>
      </c>
      <c r="I333" t="s">
        <v>29</v>
      </c>
      <c r="J333" t="s">
        <v>30</v>
      </c>
      <c r="K333">
        <v>2</v>
      </c>
      <c r="L333">
        <v>60686.239999999998</v>
      </c>
      <c r="M333">
        <v>0.15</v>
      </c>
      <c r="N333">
        <v>103166.61</v>
      </c>
      <c r="O333">
        <v>110477.35</v>
      </c>
      <c r="P333">
        <v>-7310.74</v>
      </c>
      <c r="Q333" t="s">
        <v>46</v>
      </c>
      <c r="R333">
        <v>-7.0863431492030213E-2</v>
      </c>
      <c r="S333">
        <v>2024</v>
      </c>
      <c r="T333" t="s">
        <v>877</v>
      </c>
      <c r="U333">
        <v>4</v>
      </c>
      <c r="V333" t="s">
        <v>878</v>
      </c>
    </row>
    <row r="334" spans="1:22" x14ac:dyDescent="0.3">
      <c r="A334" t="s">
        <v>889</v>
      </c>
      <c r="B334" s="1">
        <v>45385</v>
      </c>
      <c r="C334" t="s">
        <v>69</v>
      </c>
      <c r="D334" t="s">
        <v>116</v>
      </c>
      <c r="E334" t="s">
        <v>61</v>
      </c>
      <c r="F334" t="s">
        <v>62</v>
      </c>
      <c r="G334" t="s">
        <v>228</v>
      </c>
      <c r="H334" t="s">
        <v>64</v>
      </c>
      <c r="I334" t="s">
        <v>108</v>
      </c>
      <c r="J334" t="s">
        <v>155</v>
      </c>
      <c r="K334">
        <v>2</v>
      </c>
      <c r="L334">
        <v>8060.38</v>
      </c>
      <c r="M334">
        <v>0.1</v>
      </c>
      <c r="N334">
        <v>14508.68</v>
      </c>
      <c r="O334">
        <v>10945.56</v>
      </c>
      <c r="P334">
        <v>3563.12</v>
      </c>
      <c r="Q334" t="s">
        <v>113</v>
      </c>
      <c r="R334">
        <v>0.24558540129081349</v>
      </c>
      <c r="S334">
        <v>2024</v>
      </c>
      <c r="T334" t="s">
        <v>877</v>
      </c>
      <c r="U334">
        <v>4</v>
      </c>
      <c r="V334" t="s">
        <v>878</v>
      </c>
    </row>
    <row r="335" spans="1:22" x14ac:dyDescent="0.3">
      <c r="A335" t="s">
        <v>890</v>
      </c>
      <c r="B335" s="1">
        <v>45385</v>
      </c>
      <c r="C335" t="s">
        <v>267</v>
      </c>
      <c r="D335" t="s">
        <v>304</v>
      </c>
      <c r="E335" t="s">
        <v>120</v>
      </c>
      <c r="F335" t="s">
        <v>121</v>
      </c>
      <c r="G335" t="s">
        <v>224</v>
      </c>
      <c r="H335" t="s">
        <v>28</v>
      </c>
      <c r="I335" t="s">
        <v>73</v>
      </c>
      <c r="J335" t="s">
        <v>74</v>
      </c>
      <c r="K335">
        <v>1</v>
      </c>
      <c r="L335">
        <v>2520.92</v>
      </c>
      <c r="M335">
        <v>0.1</v>
      </c>
      <c r="N335">
        <v>2268.83</v>
      </c>
      <c r="O335">
        <v>1441.84</v>
      </c>
      <c r="P335">
        <v>826.99</v>
      </c>
      <c r="Q335" t="s">
        <v>31</v>
      </c>
      <c r="R335">
        <v>0.36450064570725882</v>
      </c>
      <c r="S335">
        <v>2024</v>
      </c>
      <c r="T335" t="s">
        <v>877</v>
      </c>
      <c r="U335">
        <v>4</v>
      </c>
      <c r="V335" t="s">
        <v>878</v>
      </c>
    </row>
    <row r="336" spans="1:22" x14ac:dyDescent="0.3">
      <c r="A336" t="s">
        <v>891</v>
      </c>
      <c r="B336" s="1">
        <v>45385</v>
      </c>
      <c r="C336" t="s">
        <v>892</v>
      </c>
      <c r="D336" t="s">
        <v>307</v>
      </c>
      <c r="E336" t="s">
        <v>25</v>
      </c>
      <c r="F336" t="s">
        <v>26</v>
      </c>
      <c r="G336" t="s">
        <v>260</v>
      </c>
      <c r="H336" t="s">
        <v>43</v>
      </c>
      <c r="I336" t="s">
        <v>51</v>
      </c>
      <c r="J336" t="s">
        <v>96</v>
      </c>
      <c r="K336">
        <v>3</v>
      </c>
      <c r="L336">
        <v>509.66</v>
      </c>
      <c r="M336">
        <v>0.2</v>
      </c>
      <c r="N336">
        <v>1223.18</v>
      </c>
      <c r="O336">
        <v>662.73</v>
      </c>
      <c r="P336">
        <v>560.45000000000005</v>
      </c>
      <c r="Q336" t="s">
        <v>31</v>
      </c>
      <c r="R336">
        <v>0.45819094491407641</v>
      </c>
      <c r="S336">
        <v>2024</v>
      </c>
      <c r="T336" t="s">
        <v>877</v>
      </c>
      <c r="U336">
        <v>4</v>
      </c>
      <c r="V336" t="s">
        <v>878</v>
      </c>
    </row>
    <row r="337" spans="1:22" x14ac:dyDescent="0.3">
      <c r="A337" t="s">
        <v>893</v>
      </c>
      <c r="B337" s="1">
        <v>45385</v>
      </c>
      <c r="C337" t="s">
        <v>663</v>
      </c>
      <c r="D337" t="s">
        <v>894</v>
      </c>
      <c r="E337" t="s">
        <v>25</v>
      </c>
      <c r="F337" t="s">
        <v>26</v>
      </c>
      <c r="G337" t="s">
        <v>37</v>
      </c>
      <c r="H337" t="s">
        <v>28</v>
      </c>
      <c r="I337" t="s">
        <v>29</v>
      </c>
      <c r="J337" t="s">
        <v>30</v>
      </c>
      <c r="K337">
        <v>2</v>
      </c>
      <c r="L337">
        <v>57011.62</v>
      </c>
      <c r="M337">
        <v>0.15</v>
      </c>
      <c r="N337">
        <v>96919.75</v>
      </c>
      <c r="O337">
        <v>102160.58</v>
      </c>
      <c r="P337">
        <v>-5240.83</v>
      </c>
      <c r="Q337" t="s">
        <v>53</v>
      </c>
      <c r="R337">
        <v>-5.4073911664031332E-2</v>
      </c>
      <c r="S337">
        <v>2024</v>
      </c>
      <c r="T337" t="s">
        <v>877</v>
      </c>
      <c r="U337">
        <v>4</v>
      </c>
      <c r="V337" t="s">
        <v>878</v>
      </c>
    </row>
    <row r="338" spans="1:22" x14ac:dyDescent="0.3">
      <c r="A338" t="s">
        <v>895</v>
      </c>
      <c r="B338" s="1">
        <v>45385</v>
      </c>
      <c r="C338" t="s">
        <v>896</v>
      </c>
      <c r="D338" t="s">
        <v>24</v>
      </c>
      <c r="E338" t="s">
        <v>61</v>
      </c>
      <c r="F338" t="s">
        <v>62</v>
      </c>
      <c r="G338" t="s">
        <v>63</v>
      </c>
      <c r="H338" t="s">
        <v>28</v>
      </c>
      <c r="I338" t="s">
        <v>29</v>
      </c>
      <c r="J338" t="s">
        <v>57</v>
      </c>
      <c r="K338">
        <v>2</v>
      </c>
      <c r="L338">
        <v>16697.3</v>
      </c>
      <c r="M338">
        <v>0.05</v>
      </c>
      <c r="N338">
        <v>31724.87</v>
      </c>
      <c r="O338">
        <v>24088.31</v>
      </c>
      <c r="P338">
        <v>7636.56</v>
      </c>
      <c r="Q338" t="s">
        <v>31</v>
      </c>
      <c r="R338">
        <v>0.24071209748062011</v>
      </c>
      <c r="S338">
        <v>2024</v>
      </c>
      <c r="T338" t="s">
        <v>877</v>
      </c>
      <c r="U338">
        <v>4</v>
      </c>
      <c r="V338" t="s">
        <v>878</v>
      </c>
    </row>
    <row r="339" spans="1:22" x14ac:dyDescent="0.3">
      <c r="A339" t="s">
        <v>897</v>
      </c>
      <c r="B339" s="1">
        <v>45387</v>
      </c>
      <c r="C339" t="s">
        <v>898</v>
      </c>
      <c r="D339" t="s">
        <v>822</v>
      </c>
      <c r="E339" t="s">
        <v>61</v>
      </c>
      <c r="F339" t="s">
        <v>62</v>
      </c>
      <c r="G339" t="s">
        <v>134</v>
      </c>
      <c r="H339" t="s">
        <v>28</v>
      </c>
      <c r="I339" t="s">
        <v>91</v>
      </c>
      <c r="J339" t="s">
        <v>92</v>
      </c>
      <c r="K339">
        <v>3</v>
      </c>
      <c r="L339">
        <v>3153.24</v>
      </c>
      <c r="M339">
        <v>0</v>
      </c>
      <c r="N339">
        <v>9459.7199999999993</v>
      </c>
      <c r="O339">
        <v>5036.3</v>
      </c>
      <c r="P339">
        <v>4423.42</v>
      </c>
      <c r="Q339" t="s">
        <v>53</v>
      </c>
      <c r="R339">
        <v>0.46760580651435768</v>
      </c>
      <c r="S339">
        <v>2024</v>
      </c>
      <c r="T339" t="s">
        <v>877</v>
      </c>
      <c r="U339">
        <v>4</v>
      </c>
      <c r="V339" t="s">
        <v>878</v>
      </c>
    </row>
    <row r="340" spans="1:22" x14ac:dyDescent="0.3">
      <c r="A340" t="s">
        <v>899</v>
      </c>
      <c r="B340" s="1">
        <v>45387</v>
      </c>
      <c r="C340" t="s">
        <v>900</v>
      </c>
      <c r="D340" t="s">
        <v>901</v>
      </c>
      <c r="E340" t="s">
        <v>120</v>
      </c>
      <c r="F340" t="s">
        <v>121</v>
      </c>
      <c r="G340" t="s">
        <v>130</v>
      </c>
      <c r="H340" t="s">
        <v>28</v>
      </c>
      <c r="I340" t="s">
        <v>29</v>
      </c>
      <c r="J340" t="s">
        <v>57</v>
      </c>
      <c r="K340">
        <v>2</v>
      </c>
      <c r="L340">
        <v>15379.28</v>
      </c>
      <c r="M340">
        <v>0</v>
      </c>
      <c r="N340">
        <v>30758.560000000001</v>
      </c>
      <c r="O340">
        <v>22421</v>
      </c>
      <c r="P340">
        <v>8337.56</v>
      </c>
      <c r="Q340" t="s">
        <v>31</v>
      </c>
      <c r="R340">
        <v>0.2710647052397771</v>
      </c>
      <c r="S340">
        <v>2024</v>
      </c>
      <c r="T340" t="s">
        <v>877</v>
      </c>
      <c r="U340">
        <v>4</v>
      </c>
      <c r="V340" t="s">
        <v>878</v>
      </c>
    </row>
    <row r="341" spans="1:22" x14ac:dyDescent="0.3">
      <c r="A341" t="s">
        <v>902</v>
      </c>
      <c r="B341" s="1">
        <v>45387</v>
      </c>
      <c r="C341" t="s">
        <v>903</v>
      </c>
      <c r="D341" t="s">
        <v>349</v>
      </c>
      <c r="E341" t="s">
        <v>61</v>
      </c>
      <c r="F341" t="s">
        <v>62</v>
      </c>
      <c r="G341" t="s">
        <v>228</v>
      </c>
      <c r="H341" t="s">
        <v>28</v>
      </c>
      <c r="I341" t="s">
        <v>73</v>
      </c>
      <c r="J341" t="s">
        <v>80</v>
      </c>
      <c r="K341">
        <v>1</v>
      </c>
      <c r="L341">
        <v>776.55</v>
      </c>
      <c r="M341">
        <v>0.2</v>
      </c>
      <c r="N341">
        <v>621.24</v>
      </c>
      <c r="O341">
        <v>481.62</v>
      </c>
      <c r="P341">
        <v>139.62</v>
      </c>
      <c r="Q341" t="s">
        <v>67</v>
      </c>
      <c r="R341">
        <v>0.22474406026656371</v>
      </c>
      <c r="S341">
        <v>2024</v>
      </c>
      <c r="T341" t="s">
        <v>877</v>
      </c>
      <c r="U341">
        <v>4</v>
      </c>
      <c r="V341" t="s">
        <v>878</v>
      </c>
    </row>
    <row r="342" spans="1:22" x14ac:dyDescent="0.3">
      <c r="A342" t="s">
        <v>904</v>
      </c>
      <c r="B342" s="1">
        <v>45388</v>
      </c>
      <c r="C342" t="s">
        <v>905</v>
      </c>
      <c r="D342" t="s">
        <v>906</v>
      </c>
      <c r="E342" t="s">
        <v>120</v>
      </c>
      <c r="F342" t="s">
        <v>121</v>
      </c>
      <c r="G342" t="s">
        <v>122</v>
      </c>
      <c r="H342" t="s">
        <v>43</v>
      </c>
      <c r="I342" t="s">
        <v>44</v>
      </c>
      <c r="J342" t="s">
        <v>45</v>
      </c>
      <c r="K342">
        <v>6</v>
      </c>
      <c r="L342">
        <v>258.24</v>
      </c>
      <c r="M342">
        <v>0.1</v>
      </c>
      <c r="N342">
        <v>1394.5</v>
      </c>
      <c r="O342">
        <v>598.07000000000005</v>
      </c>
      <c r="P342">
        <v>796.43</v>
      </c>
      <c r="Q342" t="s">
        <v>53</v>
      </c>
      <c r="R342">
        <v>0.57112226604517746</v>
      </c>
      <c r="S342">
        <v>2024</v>
      </c>
      <c r="T342" t="s">
        <v>877</v>
      </c>
      <c r="U342">
        <v>4</v>
      </c>
      <c r="V342" t="s">
        <v>878</v>
      </c>
    </row>
    <row r="343" spans="1:22" x14ac:dyDescent="0.3">
      <c r="A343" t="s">
        <v>907</v>
      </c>
      <c r="B343" s="1">
        <v>45388</v>
      </c>
      <c r="C343" t="s">
        <v>908</v>
      </c>
      <c r="D343" t="s">
        <v>532</v>
      </c>
      <c r="E343" t="s">
        <v>61</v>
      </c>
      <c r="F343" t="s">
        <v>62</v>
      </c>
      <c r="G343" t="s">
        <v>63</v>
      </c>
      <c r="H343" t="s">
        <v>28</v>
      </c>
      <c r="I343" t="s">
        <v>29</v>
      </c>
      <c r="J343" t="s">
        <v>57</v>
      </c>
      <c r="K343">
        <v>5</v>
      </c>
      <c r="L343">
        <v>16803.740000000002</v>
      </c>
      <c r="M343">
        <v>0.1</v>
      </c>
      <c r="N343">
        <v>75616.83</v>
      </c>
      <c r="O343">
        <v>62005.42</v>
      </c>
      <c r="P343">
        <v>13611.41</v>
      </c>
      <c r="Q343" t="s">
        <v>31</v>
      </c>
      <c r="R343">
        <v>0.1800050332710324</v>
      </c>
      <c r="S343">
        <v>2024</v>
      </c>
      <c r="T343" t="s">
        <v>877</v>
      </c>
      <c r="U343">
        <v>4</v>
      </c>
      <c r="V343" t="s">
        <v>878</v>
      </c>
    </row>
    <row r="344" spans="1:22" x14ac:dyDescent="0.3">
      <c r="A344" t="s">
        <v>909</v>
      </c>
      <c r="B344" s="1">
        <v>45388</v>
      </c>
      <c r="C344" t="s">
        <v>910</v>
      </c>
      <c r="D344" t="s">
        <v>911</v>
      </c>
      <c r="E344" t="s">
        <v>25</v>
      </c>
      <c r="F344" t="s">
        <v>26</v>
      </c>
      <c r="G344" t="s">
        <v>27</v>
      </c>
      <c r="H344" t="s">
        <v>84</v>
      </c>
      <c r="I344" t="s">
        <v>138</v>
      </c>
      <c r="J344" t="s">
        <v>139</v>
      </c>
      <c r="K344">
        <v>6</v>
      </c>
      <c r="L344">
        <v>13206.91</v>
      </c>
      <c r="M344">
        <v>0.1</v>
      </c>
      <c r="N344">
        <v>71317.31</v>
      </c>
      <c r="O344">
        <v>57293.32</v>
      </c>
      <c r="P344">
        <v>14023.99</v>
      </c>
      <c r="Q344" t="s">
        <v>31</v>
      </c>
      <c r="R344">
        <v>0.19664216162948381</v>
      </c>
      <c r="S344">
        <v>2024</v>
      </c>
      <c r="T344" t="s">
        <v>877</v>
      </c>
      <c r="U344">
        <v>4</v>
      </c>
      <c r="V344" t="s">
        <v>878</v>
      </c>
    </row>
    <row r="345" spans="1:22" x14ac:dyDescent="0.3">
      <c r="A345" t="s">
        <v>912</v>
      </c>
      <c r="B345" s="1">
        <v>45388</v>
      </c>
      <c r="C345" t="s">
        <v>913</v>
      </c>
      <c r="D345" t="s">
        <v>418</v>
      </c>
      <c r="E345" t="s">
        <v>61</v>
      </c>
      <c r="F345" t="s">
        <v>78</v>
      </c>
      <c r="G345" t="s">
        <v>83</v>
      </c>
      <c r="H345" t="s">
        <v>43</v>
      </c>
      <c r="I345" t="s">
        <v>44</v>
      </c>
      <c r="J345" t="s">
        <v>248</v>
      </c>
      <c r="K345">
        <v>3</v>
      </c>
      <c r="L345">
        <v>308.97000000000003</v>
      </c>
      <c r="M345">
        <v>0.2</v>
      </c>
      <c r="N345">
        <v>741.53</v>
      </c>
      <c r="O345">
        <v>380.68</v>
      </c>
      <c r="P345">
        <v>360.85</v>
      </c>
      <c r="Q345" t="s">
        <v>31</v>
      </c>
      <c r="R345">
        <v>0.48662899680390548</v>
      </c>
      <c r="S345">
        <v>2024</v>
      </c>
      <c r="T345" t="s">
        <v>877</v>
      </c>
      <c r="U345">
        <v>4</v>
      </c>
      <c r="V345" t="s">
        <v>878</v>
      </c>
    </row>
    <row r="346" spans="1:22" x14ac:dyDescent="0.3">
      <c r="A346" t="s">
        <v>914</v>
      </c>
      <c r="B346" s="1">
        <v>45389</v>
      </c>
      <c r="C346" t="s">
        <v>915</v>
      </c>
      <c r="D346" t="s">
        <v>695</v>
      </c>
      <c r="E346" t="s">
        <v>61</v>
      </c>
      <c r="F346" t="s">
        <v>62</v>
      </c>
      <c r="G346" t="s">
        <v>90</v>
      </c>
      <c r="H346" t="s">
        <v>84</v>
      </c>
      <c r="I346" t="s">
        <v>85</v>
      </c>
      <c r="J346" t="s">
        <v>145</v>
      </c>
      <c r="K346">
        <v>2</v>
      </c>
      <c r="L346">
        <v>3441.72</v>
      </c>
      <c r="M346">
        <v>0.1</v>
      </c>
      <c r="N346">
        <v>6195.1</v>
      </c>
      <c r="O346">
        <v>3772.18</v>
      </c>
      <c r="P346">
        <v>2422.92</v>
      </c>
      <c r="Q346" t="s">
        <v>67</v>
      </c>
      <c r="R346">
        <v>0.39110264563929559</v>
      </c>
      <c r="S346">
        <v>2024</v>
      </c>
      <c r="T346" t="s">
        <v>877</v>
      </c>
      <c r="U346">
        <v>4</v>
      </c>
      <c r="V346" t="s">
        <v>878</v>
      </c>
    </row>
    <row r="347" spans="1:22" x14ac:dyDescent="0.3">
      <c r="A347" t="s">
        <v>916</v>
      </c>
      <c r="B347" s="1">
        <v>45389</v>
      </c>
      <c r="C347" t="s">
        <v>917</v>
      </c>
      <c r="D347" t="s">
        <v>374</v>
      </c>
      <c r="E347" t="s">
        <v>120</v>
      </c>
      <c r="F347" t="s">
        <v>121</v>
      </c>
      <c r="G347" t="s">
        <v>122</v>
      </c>
      <c r="H347" t="s">
        <v>28</v>
      </c>
      <c r="I347" t="s">
        <v>73</v>
      </c>
      <c r="J347" t="s">
        <v>80</v>
      </c>
      <c r="K347">
        <v>4</v>
      </c>
      <c r="L347">
        <v>776.13</v>
      </c>
      <c r="M347">
        <v>0.1</v>
      </c>
      <c r="N347">
        <v>2794.07</v>
      </c>
      <c r="O347">
        <v>1945.61</v>
      </c>
      <c r="P347">
        <v>848.46</v>
      </c>
      <c r="Q347" t="s">
        <v>67</v>
      </c>
      <c r="R347">
        <v>0.3036645467006911</v>
      </c>
      <c r="S347">
        <v>2024</v>
      </c>
      <c r="T347" t="s">
        <v>877</v>
      </c>
      <c r="U347">
        <v>4</v>
      </c>
      <c r="V347" t="s">
        <v>878</v>
      </c>
    </row>
    <row r="348" spans="1:22" x14ac:dyDescent="0.3">
      <c r="A348" t="s">
        <v>918</v>
      </c>
      <c r="B348" s="1">
        <v>45389</v>
      </c>
      <c r="C348" t="s">
        <v>811</v>
      </c>
      <c r="D348" t="s">
        <v>667</v>
      </c>
      <c r="E348" t="s">
        <v>61</v>
      </c>
      <c r="F348" t="s">
        <v>78</v>
      </c>
      <c r="G348" t="s">
        <v>216</v>
      </c>
      <c r="H348" t="s">
        <v>64</v>
      </c>
      <c r="I348" t="s">
        <v>108</v>
      </c>
      <c r="J348" t="s">
        <v>109</v>
      </c>
      <c r="K348">
        <v>1</v>
      </c>
      <c r="L348">
        <v>7029.89</v>
      </c>
      <c r="M348">
        <v>0.2</v>
      </c>
      <c r="N348">
        <v>5623.91</v>
      </c>
      <c r="O348">
        <v>4581.79</v>
      </c>
      <c r="P348">
        <v>1042.1199999999999</v>
      </c>
      <c r="Q348" t="s">
        <v>46</v>
      </c>
      <c r="R348">
        <v>0.18530168512653999</v>
      </c>
      <c r="S348">
        <v>2024</v>
      </c>
      <c r="T348" t="s">
        <v>877</v>
      </c>
      <c r="U348">
        <v>4</v>
      </c>
      <c r="V348" t="s">
        <v>878</v>
      </c>
    </row>
    <row r="349" spans="1:22" x14ac:dyDescent="0.3">
      <c r="A349" t="s">
        <v>919</v>
      </c>
      <c r="B349" s="1">
        <v>45389</v>
      </c>
      <c r="C349" t="s">
        <v>920</v>
      </c>
      <c r="D349" t="s">
        <v>70</v>
      </c>
      <c r="E349" t="s">
        <v>41</v>
      </c>
      <c r="F349" t="s">
        <v>42</v>
      </c>
      <c r="G349" t="s">
        <v>42</v>
      </c>
      <c r="H349" t="s">
        <v>28</v>
      </c>
      <c r="I349" t="s">
        <v>91</v>
      </c>
      <c r="J349" t="s">
        <v>126</v>
      </c>
      <c r="K349">
        <v>1</v>
      </c>
      <c r="L349">
        <v>1941.62</v>
      </c>
      <c r="M349">
        <v>0.05</v>
      </c>
      <c r="N349">
        <v>1844.54</v>
      </c>
      <c r="O349">
        <v>1082.3699999999999</v>
      </c>
      <c r="P349">
        <v>762.17</v>
      </c>
      <c r="Q349" t="s">
        <v>113</v>
      </c>
      <c r="R349">
        <v>0.4132032918776497</v>
      </c>
      <c r="S349">
        <v>2024</v>
      </c>
      <c r="T349" t="s">
        <v>877</v>
      </c>
      <c r="U349">
        <v>4</v>
      </c>
      <c r="V349" t="s">
        <v>878</v>
      </c>
    </row>
    <row r="350" spans="1:22" x14ac:dyDescent="0.3">
      <c r="A350" t="s">
        <v>921</v>
      </c>
      <c r="B350" s="1">
        <v>45389</v>
      </c>
      <c r="C350" t="s">
        <v>922</v>
      </c>
      <c r="D350" t="s">
        <v>606</v>
      </c>
      <c r="E350" t="s">
        <v>120</v>
      </c>
      <c r="F350" t="s">
        <v>121</v>
      </c>
      <c r="G350" t="s">
        <v>122</v>
      </c>
      <c r="H350" t="s">
        <v>28</v>
      </c>
      <c r="I350" t="s">
        <v>91</v>
      </c>
      <c r="J350" t="s">
        <v>92</v>
      </c>
      <c r="K350">
        <v>3</v>
      </c>
      <c r="L350">
        <v>3104.52</v>
      </c>
      <c r="M350">
        <v>0.15</v>
      </c>
      <c r="N350">
        <v>7916.53</v>
      </c>
      <c r="O350">
        <v>4709.58</v>
      </c>
      <c r="P350">
        <v>3206.95</v>
      </c>
      <c r="Q350" t="s">
        <v>31</v>
      </c>
      <c r="R350">
        <v>0.40509541427873069</v>
      </c>
      <c r="S350">
        <v>2024</v>
      </c>
      <c r="T350" t="s">
        <v>877</v>
      </c>
      <c r="U350">
        <v>4</v>
      </c>
      <c r="V350" t="s">
        <v>878</v>
      </c>
    </row>
    <row r="351" spans="1:22" x14ac:dyDescent="0.3">
      <c r="A351" t="s">
        <v>923</v>
      </c>
      <c r="B351" s="1">
        <v>45390</v>
      </c>
      <c r="C351" t="s">
        <v>924</v>
      </c>
      <c r="D351" t="s">
        <v>925</v>
      </c>
      <c r="E351" t="s">
        <v>61</v>
      </c>
      <c r="F351" t="s">
        <v>71</v>
      </c>
      <c r="G351" t="s">
        <v>72</v>
      </c>
      <c r="H351" t="s">
        <v>64</v>
      </c>
      <c r="I351" t="s">
        <v>108</v>
      </c>
      <c r="J351" t="s">
        <v>155</v>
      </c>
      <c r="K351">
        <v>2</v>
      </c>
      <c r="L351">
        <v>8422.58</v>
      </c>
      <c r="M351">
        <v>0</v>
      </c>
      <c r="N351">
        <v>16845.16</v>
      </c>
      <c r="O351">
        <v>11593.98</v>
      </c>
      <c r="P351">
        <v>5251.18</v>
      </c>
      <c r="Q351" t="s">
        <v>31</v>
      </c>
      <c r="R351">
        <v>0.31173227205915532</v>
      </c>
      <c r="S351">
        <v>2024</v>
      </c>
      <c r="T351" t="s">
        <v>877</v>
      </c>
      <c r="U351">
        <v>4</v>
      </c>
      <c r="V351" t="s">
        <v>878</v>
      </c>
    </row>
    <row r="352" spans="1:22" x14ac:dyDescent="0.3">
      <c r="A352" t="s">
        <v>926</v>
      </c>
      <c r="B352" s="1">
        <v>45390</v>
      </c>
      <c r="C352" t="s">
        <v>927</v>
      </c>
      <c r="D352" t="s">
        <v>535</v>
      </c>
      <c r="E352" t="s">
        <v>41</v>
      </c>
      <c r="F352" t="s">
        <v>42</v>
      </c>
      <c r="G352" t="s">
        <v>50</v>
      </c>
      <c r="H352" t="s">
        <v>28</v>
      </c>
      <c r="I352" t="s">
        <v>91</v>
      </c>
      <c r="J352" t="s">
        <v>92</v>
      </c>
      <c r="K352">
        <v>1</v>
      </c>
      <c r="L352">
        <v>3173.08</v>
      </c>
      <c r="M352">
        <v>0.15</v>
      </c>
      <c r="N352">
        <v>2697.12</v>
      </c>
      <c r="O352">
        <v>1671.06</v>
      </c>
      <c r="P352">
        <v>1026.06</v>
      </c>
      <c r="Q352" t="s">
        <v>31</v>
      </c>
      <c r="R352">
        <v>0.38042801210179739</v>
      </c>
      <c r="S352">
        <v>2024</v>
      </c>
      <c r="T352" t="s">
        <v>877</v>
      </c>
      <c r="U352">
        <v>4</v>
      </c>
      <c r="V352" t="s">
        <v>878</v>
      </c>
    </row>
    <row r="353" spans="1:22" x14ac:dyDescent="0.3">
      <c r="A353" t="s">
        <v>928</v>
      </c>
      <c r="B353" s="1">
        <v>45390</v>
      </c>
      <c r="C353" t="s">
        <v>417</v>
      </c>
      <c r="D353" t="s">
        <v>929</v>
      </c>
      <c r="E353" t="s">
        <v>25</v>
      </c>
      <c r="F353" t="s">
        <v>26</v>
      </c>
      <c r="G353" t="s">
        <v>27</v>
      </c>
      <c r="H353" t="s">
        <v>84</v>
      </c>
      <c r="I353" t="s">
        <v>85</v>
      </c>
      <c r="J353" t="s">
        <v>86</v>
      </c>
      <c r="K353">
        <v>4</v>
      </c>
      <c r="L353">
        <v>1857.91</v>
      </c>
      <c r="M353">
        <v>0.1</v>
      </c>
      <c r="N353">
        <v>6688.48</v>
      </c>
      <c r="O353">
        <v>3939.61</v>
      </c>
      <c r="P353">
        <v>2748.87</v>
      </c>
      <c r="Q353" t="s">
        <v>113</v>
      </c>
      <c r="R353">
        <v>0.41098575461091308</v>
      </c>
      <c r="S353">
        <v>2024</v>
      </c>
      <c r="T353" t="s">
        <v>877</v>
      </c>
      <c r="U353">
        <v>4</v>
      </c>
      <c r="V353" t="s">
        <v>878</v>
      </c>
    </row>
    <row r="354" spans="1:22" x14ac:dyDescent="0.3">
      <c r="A354" t="s">
        <v>930</v>
      </c>
      <c r="B354" s="1">
        <v>45390</v>
      </c>
      <c r="C354" t="s">
        <v>618</v>
      </c>
      <c r="D354" t="s">
        <v>129</v>
      </c>
      <c r="E354" t="s">
        <v>120</v>
      </c>
      <c r="F354" t="s">
        <v>121</v>
      </c>
      <c r="G354" t="s">
        <v>224</v>
      </c>
      <c r="H354" t="s">
        <v>43</v>
      </c>
      <c r="I354" t="s">
        <v>51</v>
      </c>
      <c r="J354" t="s">
        <v>52</v>
      </c>
      <c r="K354">
        <v>2</v>
      </c>
      <c r="L354">
        <v>712.92</v>
      </c>
      <c r="M354">
        <v>0</v>
      </c>
      <c r="N354">
        <v>1425.84</v>
      </c>
      <c r="O354">
        <v>670.19</v>
      </c>
      <c r="P354">
        <v>755.65</v>
      </c>
      <c r="Q354" t="s">
        <v>31</v>
      </c>
      <c r="R354">
        <v>0.52996829938843071</v>
      </c>
      <c r="S354">
        <v>2024</v>
      </c>
      <c r="T354" t="s">
        <v>877</v>
      </c>
      <c r="U354">
        <v>4</v>
      </c>
      <c r="V354" t="s">
        <v>878</v>
      </c>
    </row>
    <row r="355" spans="1:22" x14ac:dyDescent="0.3">
      <c r="A355" t="s">
        <v>931</v>
      </c>
      <c r="B355" s="1">
        <v>45391</v>
      </c>
      <c r="C355" t="s">
        <v>714</v>
      </c>
      <c r="D355" t="s">
        <v>932</v>
      </c>
      <c r="E355" t="s">
        <v>120</v>
      </c>
      <c r="F355" t="s">
        <v>121</v>
      </c>
      <c r="G355" t="s">
        <v>130</v>
      </c>
      <c r="H355" t="s">
        <v>64</v>
      </c>
      <c r="I355" t="s">
        <v>108</v>
      </c>
      <c r="J355" t="s">
        <v>155</v>
      </c>
      <c r="K355">
        <v>2</v>
      </c>
      <c r="L355">
        <v>8627.0400000000009</v>
      </c>
      <c r="M355">
        <v>0</v>
      </c>
      <c r="N355">
        <v>17254.080000000002</v>
      </c>
      <c r="O355">
        <v>11986.23</v>
      </c>
      <c r="P355">
        <v>5267.85</v>
      </c>
      <c r="Q355" t="s">
        <v>113</v>
      </c>
      <c r="R355">
        <v>0.30531039614978023</v>
      </c>
      <c r="S355">
        <v>2024</v>
      </c>
      <c r="T355" t="s">
        <v>877</v>
      </c>
      <c r="U355">
        <v>4</v>
      </c>
      <c r="V355" t="s">
        <v>878</v>
      </c>
    </row>
    <row r="356" spans="1:22" x14ac:dyDescent="0.3">
      <c r="A356" t="s">
        <v>933</v>
      </c>
      <c r="B356" s="1">
        <v>45391</v>
      </c>
      <c r="C356" t="s">
        <v>934</v>
      </c>
      <c r="D356" t="s">
        <v>935</v>
      </c>
      <c r="E356" t="s">
        <v>61</v>
      </c>
      <c r="F356" t="s">
        <v>62</v>
      </c>
      <c r="G356" t="s">
        <v>63</v>
      </c>
      <c r="H356" t="s">
        <v>28</v>
      </c>
      <c r="I356" t="s">
        <v>91</v>
      </c>
      <c r="J356" t="s">
        <v>92</v>
      </c>
      <c r="K356">
        <v>1</v>
      </c>
      <c r="L356">
        <v>3014.13</v>
      </c>
      <c r="M356">
        <v>0.15</v>
      </c>
      <c r="N356">
        <v>2562.0100000000002</v>
      </c>
      <c r="O356">
        <v>1524.76</v>
      </c>
      <c r="P356">
        <v>1037.25</v>
      </c>
      <c r="Q356" t="s">
        <v>31</v>
      </c>
      <c r="R356">
        <v>0.40485790453589171</v>
      </c>
      <c r="S356">
        <v>2024</v>
      </c>
      <c r="T356" t="s">
        <v>877</v>
      </c>
      <c r="U356">
        <v>4</v>
      </c>
      <c r="V356" t="s">
        <v>878</v>
      </c>
    </row>
    <row r="357" spans="1:22" x14ac:dyDescent="0.3">
      <c r="A357" t="s">
        <v>936</v>
      </c>
      <c r="B357" s="1">
        <v>45392</v>
      </c>
      <c r="C357" t="s">
        <v>937</v>
      </c>
      <c r="D357" t="s">
        <v>212</v>
      </c>
      <c r="E357" t="s">
        <v>61</v>
      </c>
      <c r="F357" t="s">
        <v>78</v>
      </c>
      <c r="G357" t="s">
        <v>104</v>
      </c>
      <c r="H357" t="s">
        <v>64</v>
      </c>
      <c r="I357" t="s">
        <v>108</v>
      </c>
      <c r="J357" t="s">
        <v>155</v>
      </c>
      <c r="K357">
        <v>2</v>
      </c>
      <c r="L357">
        <v>8699.9</v>
      </c>
      <c r="M357">
        <v>0.05</v>
      </c>
      <c r="N357">
        <v>16529.810000000001</v>
      </c>
      <c r="O357">
        <v>11747.81</v>
      </c>
      <c r="P357">
        <v>4782</v>
      </c>
      <c r="Q357" t="s">
        <v>53</v>
      </c>
      <c r="R357">
        <v>0.28929552124313579</v>
      </c>
      <c r="S357">
        <v>2024</v>
      </c>
      <c r="T357" t="s">
        <v>877</v>
      </c>
      <c r="U357">
        <v>4</v>
      </c>
      <c r="V357" t="s">
        <v>878</v>
      </c>
    </row>
    <row r="358" spans="1:22" x14ac:dyDescent="0.3">
      <c r="A358" t="s">
        <v>938</v>
      </c>
      <c r="B358" s="1">
        <v>45392</v>
      </c>
      <c r="C358" t="s">
        <v>939</v>
      </c>
      <c r="D358" t="s">
        <v>940</v>
      </c>
      <c r="E358" t="s">
        <v>61</v>
      </c>
      <c r="F358" t="s">
        <v>78</v>
      </c>
      <c r="G358" t="s">
        <v>83</v>
      </c>
      <c r="H358" t="s">
        <v>43</v>
      </c>
      <c r="I358" t="s">
        <v>44</v>
      </c>
      <c r="J358" t="s">
        <v>248</v>
      </c>
      <c r="K358">
        <v>3</v>
      </c>
      <c r="L358">
        <v>308.88</v>
      </c>
      <c r="M358">
        <v>0</v>
      </c>
      <c r="N358">
        <v>926.64</v>
      </c>
      <c r="O358">
        <v>379.9</v>
      </c>
      <c r="P358">
        <v>546.74</v>
      </c>
      <c r="Q358" t="s">
        <v>31</v>
      </c>
      <c r="R358">
        <v>0.59002417335750668</v>
      </c>
      <c r="S358">
        <v>2024</v>
      </c>
      <c r="T358" t="s">
        <v>877</v>
      </c>
      <c r="U358">
        <v>4</v>
      </c>
      <c r="V358" t="s">
        <v>878</v>
      </c>
    </row>
    <row r="359" spans="1:22" x14ac:dyDescent="0.3">
      <c r="A359" t="s">
        <v>941</v>
      </c>
      <c r="B359" s="1">
        <v>45392</v>
      </c>
      <c r="C359" t="s">
        <v>487</v>
      </c>
      <c r="D359" t="s">
        <v>911</v>
      </c>
      <c r="E359" t="s">
        <v>120</v>
      </c>
      <c r="F359" t="s">
        <v>121</v>
      </c>
      <c r="G359" t="s">
        <v>122</v>
      </c>
      <c r="H359" t="s">
        <v>64</v>
      </c>
      <c r="I359" t="s">
        <v>108</v>
      </c>
      <c r="J359" t="s">
        <v>155</v>
      </c>
      <c r="K359">
        <v>3</v>
      </c>
      <c r="L359">
        <v>8956.3799999999992</v>
      </c>
      <c r="M359">
        <v>0.15</v>
      </c>
      <c r="N359">
        <v>22838.77</v>
      </c>
      <c r="O359">
        <v>17796.5</v>
      </c>
      <c r="P359">
        <v>5042.2700000000004</v>
      </c>
      <c r="Q359" t="s">
        <v>67</v>
      </c>
      <c r="R359">
        <v>0.22077677563196271</v>
      </c>
      <c r="S359">
        <v>2024</v>
      </c>
      <c r="T359" t="s">
        <v>877</v>
      </c>
      <c r="U359">
        <v>4</v>
      </c>
      <c r="V359" t="s">
        <v>878</v>
      </c>
    </row>
    <row r="360" spans="1:22" x14ac:dyDescent="0.3">
      <c r="A360" t="s">
        <v>942</v>
      </c>
      <c r="B360" s="1">
        <v>45392</v>
      </c>
      <c r="C360" t="s">
        <v>943</v>
      </c>
      <c r="D360" t="s">
        <v>944</v>
      </c>
      <c r="E360" t="s">
        <v>120</v>
      </c>
      <c r="F360" t="s">
        <v>121</v>
      </c>
      <c r="G360" t="s">
        <v>224</v>
      </c>
      <c r="H360" t="s">
        <v>84</v>
      </c>
      <c r="I360" t="s">
        <v>138</v>
      </c>
      <c r="J360" t="s">
        <v>139</v>
      </c>
      <c r="K360">
        <v>3</v>
      </c>
      <c r="L360">
        <v>13643.62</v>
      </c>
      <c r="M360">
        <v>0</v>
      </c>
      <c r="N360">
        <v>40930.86</v>
      </c>
      <c r="O360">
        <v>29793.94</v>
      </c>
      <c r="P360">
        <v>11136.92</v>
      </c>
      <c r="Q360" t="s">
        <v>31</v>
      </c>
      <c r="R360">
        <v>0.27209103351358849</v>
      </c>
      <c r="S360">
        <v>2024</v>
      </c>
      <c r="T360" t="s">
        <v>877</v>
      </c>
      <c r="U360">
        <v>4</v>
      </c>
      <c r="V360" t="s">
        <v>878</v>
      </c>
    </row>
    <row r="361" spans="1:22" x14ac:dyDescent="0.3">
      <c r="A361" t="s">
        <v>945</v>
      </c>
      <c r="B361" s="1">
        <v>45392</v>
      </c>
      <c r="C361" t="s">
        <v>946</v>
      </c>
      <c r="D361" t="s">
        <v>161</v>
      </c>
      <c r="E361" t="s">
        <v>61</v>
      </c>
      <c r="F361" t="s">
        <v>78</v>
      </c>
      <c r="G361" t="s">
        <v>216</v>
      </c>
      <c r="H361" t="s">
        <v>64</v>
      </c>
      <c r="I361" t="s">
        <v>108</v>
      </c>
      <c r="J361" t="s">
        <v>109</v>
      </c>
      <c r="K361">
        <v>1</v>
      </c>
      <c r="L361">
        <v>7233.15</v>
      </c>
      <c r="M361">
        <v>0.1</v>
      </c>
      <c r="N361">
        <v>6509.84</v>
      </c>
      <c r="O361">
        <v>4665.1000000000004</v>
      </c>
      <c r="P361">
        <v>1844.74</v>
      </c>
      <c r="Q361" t="s">
        <v>46</v>
      </c>
      <c r="R361">
        <v>0.28337716441571531</v>
      </c>
      <c r="S361">
        <v>2024</v>
      </c>
      <c r="T361" t="s">
        <v>877</v>
      </c>
      <c r="U361">
        <v>4</v>
      </c>
      <c r="V361" t="s">
        <v>878</v>
      </c>
    </row>
    <row r="362" spans="1:22" x14ac:dyDescent="0.3">
      <c r="A362" t="s">
        <v>947</v>
      </c>
      <c r="B362" s="1">
        <v>45393</v>
      </c>
      <c r="C362" t="s">
        <v>948</v>
      </c>
      <c r="D362" t="s">
        <v>949</v>
      </c>
      <c r="E362" t="s">
        <v>61</v>
      </c>
      <c r="F362" t="s">
        <v>71</v>
      </c>
      <c r="G362" t="s">
        <v>201</v>
      </c>
      <c r="H362" t="s">
        <v>64</v>
      </c>
      <c r="I362" t="s">
        <v>108</v>
      </c>
      <c r="J362" t="s">
        <v>155</v>
      </c>
      <c r="K362">
        <v>3</v>
      </c>
      <c r="L362">
        <v>8907.19</v>
      </c>
      <c r="M362">
        <v>0.15</v>
      </c>
      <c r="N362">
        <v>22713.33</v>
      </c>
      <c r="O362">
        <v>17613.32</v>
      </c>
      <c r="P362">
        <v>5100.01</v>
      </c>
      <c r="Q362" t="s">
        <v>53</v>
      </c>
      <c r="R362">
        <v>0.2245381896886102</v>
      </c>
      <c r="S362">
        <v>2024</v>
      </c>
      <c r="T362" t="s">
        <v>877</v>
      </c>
      <c r="U362">
        <v>4</v>
      </c>
      <c r="V362" t="s">
        <v>878</v>
      </c>
    </row>
    <row r="363" spans="1:22" x14ac:dyDescent="0.3">
      <c r="A363" t="s">
        <v>950</v>
      </c>
      <c r="B363" s="1">
        <v>45393</v>
      </c>
      <c r="C363" t="s">
        <v>951</v>
      </c>
      <c r="D363" t="s">
        <v>524</v>
      </c>
      <c r="E363" t="s">
        <v>41</v>
      </c>
      <c r="F363" t="s">
        <v>42</v>
      </c>
      <c r="G363" t="s">
        <v>42</v>
      </c>
      <c r="H363" t="s">
        <v>28</v>
      </c>
      <c r="I363" t="s">
        <v>73</v>
      </c>
      <c r="J363" t="s">
        <v>74</v>
      </c>
      <c r="K363">
        <v>5</v>
      </c>
      <c r="L363">
        <v>2524.8200000000002</v>
      </c>
      <c r="M363">
        <v>0.1</v>
      </c>
      <c r="N363">
        <v>11361.69</v>
      </c>
      <c r="O363">
        <v>6948.9</v>
      </c>
      <c r="P363">
        <v>4412.79</v>
      </c>
      <c r="Q363" t="s">
        <v>31</v>
      </c>
      <c r="R363">
        <v>0.38839204378926018</v>
      </c>
      <c r="S363">
        <v>2024</v>
      </c>
      <c r="T363" t="s">
        <v>877</v>
      </c>
      <c r="U363">
        <v>4</v>
      </c>
      <c r="V363" t="s">
        <v>878</v>
      </c>
    </row>
    <row r="364" spans="1:22" x14ac:dyDescent="0.3">
      <c r="A364" t="s">
        <v>952</v>
      </c>
      <c r="B364" s="1">
        <v>45393</v>
      </c>
      <c r="C364" t="s">
        <v>953</v>
      </c>
      <c r="D364" t="s">
        <v>954</v>
      </c>
      <c r="E364" t="s">
        <v>61</v>
      </c>
      <c r="F364" t="s">
        <v>62</v>
      </c>
      <c r="G364" t="s">
        <v>63</v>
      </c>
      <c r="H364" t="s">
        <v>28</v>
      </c>
      <c r="I364" t="s">
        <v>91</v>
      </c>
      <c r="J364" t="s">
        <v>126</v>
      </c>
      <c r="K364">
        <v>2</v>
      </c>
      <c r="L364">
        <v>1986.7</v>
      </c>
      <c r="M364">
        <v>0.15</v>
      </c>
      <c r="N364">
        <v>3377.39</v>
      </c>
      <c r="O364">
        <v>2335.63</v>
      </c>
      <c r="P364">
        <v>1041.76</v>
      </c>
      <c r="Q364" t="s">
        <v>113</v>
      </c>
      <c r="R364">
        <v>0.30845120048321339</v>
      </c>
      <c r="S364">
        <v>2024</v>
      </c>
      <c r="T364" t="s">
        <v>877</v>
      </c>
      <c r="U364">
        <v>4</v>
      </c>
      <c r="V364" t="s">
        <v>878</v>
      </c>
    </row>
    <row r="365" spans="1:22" x14ac:dyDescent="0.3">
      <c r="A365" t="s">
        <v>955</v>
      </c>
      <c r="B365" s="1">
        <v>45393</v>
      </c>
      <c r="C365" t="s">
        <v>956</v>
      </c>
      <c r="D365" t="s">
        <v>957</v>
      </c>
      <c r="E365" t="s">
        <v>41</v>
      </c>
      <c r="F365" t="s">
        <v>42</v>
      </c>
      <c r="G365" t="s">
        <v>50</v>
      </c>
      <c r="H365" t="s">
        <v>43</v>
      </c>
      <c r="I365" t="s">
        <v>44</v>
      </c>
      <c r="J365" t="s">
        <v>248</v>
      </c>
      <c r="K365">
        <v>1</v>
      </c>
      <c r="L365">
        <v>303.41000000000003</v>
      </c>
      <c r="M365">
        <v>0</v>
      </c>
      <c r="N365">
        <v>303.41000000000003</v>
      </c>
      <c r="O365">
        <v>125.45</v>
      </c>
      <c r="P365">
        <v>177.96</v>
      </c>
      <c r="Q365" t="s">
        <v>31</v>
      </c>
      <c r="R365">
        <v>0.5865330740582051</v>
      </c>
      <c r="S365">
        <v>2024</v>
      </c>
      <c r="T365" t="s">
        <v>877</v>
      </c>
      <c r="U365">
        <v>4</v>
      </c>
      <c r="V365" t="s">
        <v>878</v>
      </c>
    </row>
    <row r="366" spans="1:22" x14ac:dyDescent="0.3">
      <c r="A366" t="s">
        <v>958</v>
      </c>
      <c r="B366" s="1">
        <v>45394</v>
      </c>
      <c r="C366" t="s">
        <v>803</v>
      </c>
      <c r="D366" t="s">
        <v>929</v>
      </c>
      <c r="E366" t="s">
        <v>120</v>
      </c>
      <c r="F366" t="s">
        <v>121</v>
      </c>
      <c r="G366" t="s">
        <v>224</v>
      </c>
      <c r="H366" t="s">
        <v>28</v>
      </c>
      <c r="I366" t="s">
        <v>91</v>
      </c>
      <c r="J366" t="s">
        <v>126</v>
      </c>
      <c r="K366">
        <v>3</v>
      </c>
      <c r="L366">
        <v>1968.71</v>
      </c>
      <c r="M366">
        <v>0</v>
      </c>
      <c r="N366">
        <v>5906.13</v>
      </c>
      <c r="O366">
        <v>3429.81</v>
      </c>
      <c r="P366">
        <v>2476.3200000000002</v>
      </c>
      <c r="Q366" t="s">
        <v>31</v>
      </c>
      <c r="R366">
        <v>0.41927962980835171</v>
      </c>
      <c r="S366">
        <v>2024</v>
      </c>
      <c r="T366" t="s">
        <v>877</v>
      </c>
      <c r="U366">
        <v>4</v>
      </c>
      <c r="V366" t="s">
        <v>878</v>
      </c>
    </row>
    <row r="367" spans="1:22" x14ac:dyDescent="0.3">
      <c r="A367" t="s">
        <v>959</v>
      </c>
      <c r="B367" s="1">
        <v>45394</v>
      </c>
      <c r="C367" t="s">
        <v>208</v>
      </c>
      <c r="D367" t="s">
        <v>813</v>
      </c>
      <c r="E367" t="s">
        <v>25</v>
      </c>
      <c r="F367" t="s">
        <v>26</v>
      </c>
      <c r="G367" t="s">
        <v>27</v>
      </c>
      <c r="H367" t="s">
        <v>64</v>
      </c>
      <c r="I367" t="s">
        <v>65</v>
      </c>
      <c r="J367" t="s">
        <v>66</v>
      </c>
      <c r="K367">
        <v>2</v>
      </c>
      <c r="L367">
        <v>5081.43</v>
      </c>
      <c r="M367">
        <v>0.1</v>
      </c>
      <c r="N367">
        <v>9146.57</v>
      </c>
      <c r="O367">
        <v>6211.53</v>
      </c>
      <c r="P367">
        <v>2935.04</v>
      </c>
      <c r="Q367" t="s">
        <v>53</v>
      </c>
      <c r="R367">
        <v>0.32088968870297829</v>
      </c>
      <c r="S367">
        <v>2024</v>
      </c>
      <c r="T367" t="s">
        <v>877</v>
      </c>
      <c r="U367">
        <v>4</v>
      </c>
      <c r="V367" t="s">
        <v>878</v>
      </c>
    </row>
    <row r="368" spans="1:22" x14ac:dyDescent="0.3">
      <c r="A368" t="s">
        <v>960</v>
      </c>
      <c r="B368" s="1">
        <v>45394</v>
      </c>
      <c r="C368" t="s">
        <v>629</v>
      </c>
      <c r="D368" t="s">
        <v>704</v>
      </c>
      <c r="E368" t="s">
        <v>61</v>
      </c>
      <c r="F368" t="s">
        <v>71</v>
      </c>
      <c r="G368" t="s">
        <v>72</v>
      </c>
      <c r="H368" t="s">
        <v>43</v>
      </c>
      <c r="I368" t="s">
        <v>51</v>
      </c>
      <c r="J368" t="s">
        <v>96</v>
      </c>
      <c r="K368">
        <v>3</v>
      </c>
      <c r="L368">
        <v>476.12</v>
      </c>
      <c r="M368">
        <v>0.05</v>
      </c>
      <c r="N368">
        <v>1356.94</v>
      </c>
      <c r="O368">
        <v>668.41</v>
      </c>
      <c r="P368">
        <v>688.53</v>
      </c>
      <c r="Q368" t="s">
        <v>53</v>
      </c>
      <c r="R368">
        <v>0.50741373973793968</v>
      </c>
      <c r="S368">
        <v>2024</v>
      </c>
      <c r="T368" t="s">
        <v>877</v>
      </c>
      <c r="U368">
        <v>4</v>
      </c>
      <c r="V368" t="s">
        <v>878</v>
      </c>
    </row>
    <row r="369" spans="1:22" x14ac:dyDescent="0.3">
      <c r="A369" t="s">
        <v>961</v>
      </c>
      <c r="B369" s="1">
        <v>45394</v>
      </c>
      <c r="C369" t="s">
        <v>962</v>
      </c>
      <c r="D369" t="s">
        <v>963</v>
      </c>
      <c r="E369" t="s">
        <v>61</v>
      </c>
      <c r="F369" t="s">
        <v>62</v>
      </c>
      <c r="G369" t="s">
        <v>134</v>
      </c>
      <c r="H369" t="s">
        <v>84</v>
      </c>
      <c r="I369" t="s">
        <v>138</v>
      </c>
      <c r="J369" t="s">
        <v>139</v>
      </c>
      <c r="K369">
        <v>2</v>
      </c>
      <c r="L369">
        <v>12721.84</v>
      </c>
      <c r="M369">
        <v>0.05</v>
      </c>
      <c r="N369">
        <v>24171.5</v>
      </c>
      <c r="O369">
        <v>18153.87</v>
      </c>
      <c r="P369">
        <v>6017.63</v>
      </c>
      <c r="Q369" t="s">
        <v>46</v>
      </c>
      <c r="R369">
        <v>0.2489555881927063</v>
      </c>
      <c r="S369">
        <v>2024</v>
      </c>
      <c r="T369" t="s">
        <v>877</v>
      </c>
      <c r="U369">
        <v>4</v>
      </c>
      <c r="V369" t="s">
        <v>878</v>
      </c>
    </row>
    <row r="370" spans="1:22" x14ac:dyDescent="0.3">
      <c r="A370" t="s">
        <v>964</v>
      </c>
      <c r="B370" s="1">
        <v>45395</v>
      </c>
      <c r="C370" t="s">
        <v>965</v>
      </c>
      <c r="D370" t="s">
        <v>966</v>
      </c>
      <c r="E370" t="s">
        <v>25</v>
      </c>
      <c r="F370" t="s">
        <v>26</v>
      </c>
      <c r="G370" t="s">
        <v>260</v>
      </c>
      <c r="H370" t="s">
        <v>43</v>
      </c>
      <c r="I370" t="s">
        <v>51</v>
      </c>
      <c r="J370" t="s">
        <v>96</v>
      </c>
      <c r="K370">
        <v>3</v>
      </c>
      <c r="L370">
        <v>498.01</v>
      </c>
      <c r="M370">
        <v>0.15</v>
      </c>
      <c r="N370">
        <v>1269.93</v>
      </c>
      <c r="O370">
        <v>674.11</v>
      </c>
      <c r="P370">
        <v>595.82000000000005</v>
      </c>
      <c r="Q370" t="s">
        <v>46</v>
      </c>
      <c r="R370">
        <v>0.46917546636428781</v>
      </c>
      <c r="S370">
        <v>2024</v>
      </c>
      <c r="T370" t="s">
        <v>877</v>
      </c>
      <c r="U370">
        <v>4</v>
      </c>
      <c r="V370" t="s">
        <v>878</v>
      </c>
    </row>
    <row r="371" spans="1:22" x14ac:dyDescent="0.3">
      <c r="A371" t="s">
        <v>967</v>
      </c>
      <c r="B371" s="1">
        <v>45395</v>
      </c>
      <c r="C371" t="s">
        <v>968</v>
      </c>
      <c r="D371" t="s">
        <v>969</v>
      </c>
      <c r="E371" t="s">
        <v>61</v>
      </c>
      <c r="F371" t="s">
        <v>71</v>
      </c>
      <c r="G371" t="s">
        <v>100</v>
      </c>
      <c r="H371" t="s">
        <v>84</v>
      </c>
      <c r="I371" t="s">
        <v>85</v>
      </c>
      <c r="J371" t="s">
        <v>86</v>
      </c>
      <c r="K371">
        <v>3</v>
      </c>
      <c r="L371">
        <v>1716.06</v>
      </c>
      <c r="M371">
        <v>0</v>
      </c>
      <c r="N371">
        <v>5148.18</v>
      </c>
      <c r="O371">
        <v>2690.28</v>
      </c>
      <c r="P371">
        <v>2457.9</v>
      </c>
      <c r="Q371" t="s">
        <v>31</v>
      </c>
      <c r="R371">
        <v>0.47743085906087201</v>
      </c>
      <c r="S371">
        <v>2024</v>
      </c>
      <c r="T371" t="s">
        <v>877</v>
      </c>
      <c r="U371">
        <v>4</v>
      </c>
      <c r="V371" t="s">
        <v>878</v>
      </c>
    </row>
    <row r="372" spans="1:22" x14ac:dyDescent="0.3">
      <c r="A372" t="s">
        <v>970</v>
      </c>
      <c r="B372" s="1">
        <v>45395</v>
      </c>
      <c r="C372" t="s">
        <v>971</v>
      </c>
      <c r="D372" t="s">
        <v>972</v>
      </c>
      <c r="E372" t="s">
        <v>61</v>
      </c>
      <c r="F372" t="s">
        <v>71</v>
      </c>
      <c r="G372" t="s">
        <v>72</v>
      </c>
      <c r="H372" t="s">
        <v>84</v>
      </c>
      <c r="I372" t="s">
        <v>85</v>
      </c>
      <c r="J372" t="s">
        <v>145</v>
      </c>
      <c r="K372">
        <v>5</v>
      </c>
      <c r="L372">
        <v>3347.94</v>
      </c>
      <c r="M372">
        <v>0.1</v>
      </c>
      <c r="N372">
        <v>15065.73</v>
      </c>
      <c r="O372">
        <v>9457.67</v>
      </c>
      <c r="P372">
        <v>5608.06</v>
      </c>
      <c r="Q372" t="s">
        <v>31</v>
      </c>
      <c r="R372">
        <v>0.37223951312017411</v>
      </c>
      <c r="S372">
        <v>2024</v>
      </c>
      <c r="T372" t="s">
        <v>877</v>
      </c>
      <c r="U372">
        <v>4</v>
      </c>
      <c r="V372" t="s">
        <v>878</v>
      </c>
    </row>
    <row r="373" spans="1:22" x14ac:dyDescent="0.3">
      <c r="A373" t="s">
        <v>973</v>
      </c>
      <c r="B373" s="1">
        <v>45395</v>
      </c>
      <c r="C373" t="s">
        <v>974</v>
      </c>
      <c r="D373" t="s">
        <v>440</v>
      </c>
      <c r="E373" t="s">
        <v>41</v>
      </c>
      <c r="F373" t="s">
        <v>42</v>
      </c>
      <c r="G373" t="s">
        <v>50</v>
      </c>
      <c r="H373" t="s">
        <v>28</v>
      </c>
      <c r="I373" t="s">
        <v>29</v>
      </c>
      <c r="J373" t="s">
        <v>57</v>
      </c>
      <c r="K373">
        <v>1</v>
      </c>
      <c r="L373">
        <v>15130.01</v>
      </c>
      <c r="M373">
        <v>0.1</v>
      </c>
      <c r="N373">
        <v>13617.01</v>
      </c>
      <c r="O373">
        <v>11153.78</v>
      </c>
      <c r="P373">
        <v>2463.23</v>
      </c>
      <c r="Q373" t="s">
        <v>53</v>
      </c>
      <c r="R373">
        <v>0.18089360292751491</v>
      </c>
      <c r="S373">
        <v>2024</v>
      </c>
      <c r="T373" t="s">
        <v>877</v>
      </c>
      <c r="U373">
        <v>4</v>
      </c>
      <c r="V373" t="s">
        <v>878</v>
      </c>
    </row>
    <row r="374" spans="1:22" x14ac:dyDescent="0.3">
      <c r="A374" t="s">
        <v>975</v>
      </c>
      <c r="B374" s="1">
        <v>45396</v>
      </c>
      <c r="C374" t="s">
        <v>48</v>
      </c>
      <c r="D374" t="s">
        <v>468</v>
      </c>
      <c r="E374" t="s">
        <v>120</v>
      </c>
      <c r="F374" t="s">
        <v>121</v>
      </c>
      <c r="G374" t="s">
        <v>130</v>
      </c>
      <c r="H374" t="s">
        <v>43</v>
      </c>
      <c r="I374" t="s">
        <v>51</v>
      </c>
      <c r="J374" t="s">
        <v>96</v>
      </c>
      <c r="K374">
        <v>1</v>
      </c>
      <c r="L374">
        <v>524.96</v>
      </c>
      <c r="M374">
        <v>0.1</v>
      </c>
      <c r="N374">
        <v>472.46</v>
      </c>
      <c r="O374">
        <v>237.67</v>
      </c>
      <c r="P374">
        <v>234.79</v>
      </c>
      <c r="Q374" t="s">
        <v>53</v>
      </c>
      <c r="R374">
        <v>0.4969521229310418</v>
      </c>
      <c r="S374">
        <v>2024</v>
      </c>
      <c r="T374" t="s">
        <v>877</v>
      </c>
      <c r="U374">
        <v>4</v>
      </c>
      <c r="V374" t="s">
        <v>878</v>
      </c>
    </row>
    <row r="375" spans="1:22" x14ac:dyDescent="0.3">
      <c r="A375" t="s">
        <v>976</v>
      </c>
      <c r="B375" s="1">
        <v>45396</v>
      </c>
      <c r="C375" t="s">
        <v>977</v>
      </c>
      <c r="D375" t="s">
        <v>978</v>
      </c>
      <c r="E375" t="s">
        <v>61</v>
      </c>
      <c r="F375" t="s">
        <v>71</v>
      </c>
      <c r="G375" t="s">
        <v>317</v>
      </c>
      <c r="H375" t="s">
        <v>28</v>
      </c>
      <c r="I375" t="s">
        <v>73</v>
      </c>
      <c r="J375" t="s">
        <v>74</v>
      </c>
      <c r="K375">
        <v>2</v>
      </c>
      <c r="L375">
        <v>2448.35</v>
      </c>
      <c r="M375">
        <v>0.15</v>
      </c>
      <c r="N375">
        <v>4162.1899999999996</v>
      </c>
      <c r="O375">
        <v>2598.96</v>
      </c>
      <c r="P375">
        <v>1563.23</v>
      </c>
      <c r="Q375" t="s">
        <v>53</v>
      </c>
      <c r="R375">
        <v>0.37557872177867913</v>
      </c>
      <c r="S375">
        <v>2024</v>
      </c>
      <c r="T375" t="s">
        <v>877</v>
      </c>
      <c r="U375">
        <v>4</v>
      </c>
      <c r="V375" t="s">
        <v>878</v>
      </c>
    </row>
    <row r="376" spans="1:22" x14ac:dyDescent="0.3">
      <c r="A376" t="s">
        <v>979</v>
      </c>
      <c r="B376" s="1">
        <v>45396</v>
      </c>
      <c r="C376" t="s">
        <v>980</v>
      </c>
      <c r="D376" t="s">
        <v>981</v>
      </c>
      <c r="E376" t="s">
        <v>120</v>
      </c>
      <c r="F376" t="s">
        <v>121</v>
      </c>
      <c r="G376" t="s">
        <v>122</v>
      </c>
      <c r="H376" t="s">
        <v>84</v>
      </c>
      <c r="I376" t="s">
        <v>138</v>
      </c>
      <c r="J376" t="s">
        <v>139</v>
      </c>
      <c r="K376">
        <v>1</v>
      </c>
      <c r="L376">
        <v>13380.63</v>
      </c>
      <c r="M376">
        <v>0.1</v>
      </c>
      <c r="N376">
        <v>12042.57</v>
      </c>
      <c r="O376">
        <v>9477.17</v>
      </c>
      <c r="P376">
        <v>2565.4</v>
      </c>
      <c r="Q376" t="s">
        <v>31</v>
      </c>
      <c r="R376">
        <v>0.21302761785897861</v>
      </c>
      <c r="S376">
        <v>2024</v>
      </c>
      <c r="T376" t="s">
        <v>877</v>
      </c>
      <c r="U376">
        <v>4</v>
      </c>
      <c r="V376" t="s">
        <v>878</v>
      </c>
    </row>
    <row r="377" spans="1:22" x14ac:dyDescent="0.3">
      <c r="A377" t="s">
        <v>982</v>
      </c>
      <c r="B377" s="1">
        <v>45396</v>
      </c>
      <c r="C377" t="s">
        <v>983</v>
      </c>
      <c r="D377" t="s">
        <v>398</v>
      </c>
      <c r="E377" t="s">
        <v>61</v>
      </c>
      <c r="F377" t="s">
        <v>62</v>
      </c>
      <c r="G377" t="s">
        <v>228</v>
      </c>
      <c r="H377" t="s">
        <v>28</v>
      </c>
      <c r="I377" t="s">
        <v>91</v>
      </c>
      <c r="J377" t="s">
        <v>126</v>
      </c>
      <c r="K377">
        <v>4</v>
      </c>
      <c r="L377">
        <v>1994.67</v>
      </c>
      <c r="M377">
        <v>0.1</v>
      </c>
      <c r="N377">
        <v>7180.81</v>
      </c>
      <c r="O377">
        <v>4462.7700000000004</v>
      </c>
      <c r="P377">
        <v>2718.04</v>
      </c>
      <c r="Q377" t="s">
        <v>31</v>
      </c>
      <c r="R377">
        <v>0.37851440157865202</v>
      </c>
      <c r="S377">
        <v>2024</v>
      </c>
      <c r="T377" t="s">
        <v>877</v>
      </c>
      <c r="U377">
        <v>4</v>
      </c>
      <c r="V377" t="s">
        <v>878</v>
      </c>
    </row>
    <row r="378" spans="1:22" x14ac:dyDescent="0.3">
      <c r="A378" t="s">
        <v>984</v>
      </c>
      <c r="B378" s="1">
        <v>45396</v>
      </c>
      <c r="C378" t="s">
        <v>985</v>
      </c>
      <c r="D378" t="s">
        <v>170</v>
      </c>
      <c r="E378" t="s">
        <v>61</v>
      </c>
      <c r="F378" t="s">
        <v>62</v>
      </c>
      <c r="G378" t="s">
        <v>134</v>
      </c>
      <c r="H378" t="s">
        <v>64</v>
      </c>
      <c r="I378" t="s">
        <v>108</v>
      </c>
      <c r="J378" t="s">
        <v>109</v>
      </c>
      <c r="K378">
        <v>5</v>
      </c>
      <c r="L378">
        <v>7021.47</v>
      </c>
      <c r="M378">
        <v>0.1</v>
      </c>
      <c r="N378">
        <v>31596.61</v>
      </c>
      <c r="O378">
        <v>21856.7</v>
      </c>
      <c r="P378">
        <v>9739.91</v>
      </c>
      <c r="Q378" t="s">
        <v>31</v>
      </c>
      <c r="R378">
        <v>0.30825806945745132</v>
      </c>
      <c r="S378">
        <v>2024</v>
      </c>
      <c r="T378" t="s">
        <v>877</v>
      </c>
      <c r="U378">
        <v>4</v>
      </c>
      <c r="V378" t="s">
        <v>878</v>
      </c>
    </row>
    <row r="379" spans="1:22" x14ac:dyDescent="0.3">
      <c r="A379" t="s">
        <v>986</v>
      </c>
      <c r="B379" s="1">
        <v>45397</v>
      </c>
      <c r="C379" t="s">
        <v>815</v>
      </c>
      <c r="D379" t="s">
        <v>987</v>
      </c>
      <c r="E379" t="s">
        <v>61</v>
      </c>
      <c r="F379" t="s">
        <v>71</v>
      </c>
      <c r="G379" t="s">
        <v>100</v>
      </c>
      <c r="H379" t="s">
        <v>28</v>
      </c>
      <c r="I379" t="s">
        <v>73</v>
      </c>
      <c r="J379" t="s">
        <v>74</v>
      </c>
      <c r="K379">
        <v>5</v>
      </c>
      <c r="L379">
        <v>2498.58</v>
      </c>
      <c r="M379">
        <v>0.1</v>
      </c>
      <c r="N379">
        <v>11243.61</v>
      </c>
      <c r="O379">
        <v>7121.03</v>
      </c>
      <c r="P379">
        <v>4122.58</v>
      </c>
      <c r="Q379" t="s">
        <v>31</v>
      </c>
      <c r="R379">
        <v>0.36665981833236833</v>
      </c>
      <c r="S379">
        <v>2024</v>
      </c>
      <c r="T379" t="s">
        <v>877</v>
      </c>
      <c r="U379">
        <v>4</v>
      </c>
      <c r="V379" t="s">
        <v>878</v>
      </c>
    </row>
    <row r="380" spans="1:22" x14ac:dyDescent="0.3">
      <c r="A380" t="s">
        <v>988</v>
      </c>
      <c r="B380" s="1">
        <v>45397</v>
      </c>
      <c r="C380" t="s">
        <v>989</v>
      </c>
      <c r="D380" t="s">
        <v>954</v>
      </c>
      <c r="E380" t="s">
        <v>120</v>
      </c>
      <c r="F380" t="s">
        <v>121</v>
      </c>
      <c r="G380" t="s">
        <v>224</v>
      </c>
      <c r="H380" t="s">
        <v>84</v>
      </c>
      <c r="I380" t="s">
        <v>138</v>
      </c>
      <c r="J380" t="s">
        <v>139</v>
      </c>
      <c r="K380">
        <v>1</v>
      </c>
      <c r="L380">
        <v>12369.73</v>
      </c>
      <c r="M380">
        <v>0.05</v>
      </c>
      <c r="N380">
        <v>11751.24</v>
      </c>
      <c r="O380">
        <v>9122.57</v>
      </c>
      <c r="P380">
        <v>2628.67</v>
      </c>
      <c r="Q380" t="s">
        <v>31</v>
      </c>
      <c r="R380">
        <v>0.2236929889952039</v>
      </c>
      <c r="S380">
        <v>2024</v>
      </c>
      <c r="T380" t="s">
        <v>877</v>
      </c>
      <c r="U380">
        <v>4</v>
      </c>
      <c r="V380" t="s">
        <v>878</v>
      </c>
    </row>
    <row r="381" spans="1:22" x14ac:dyDescent="0.3">
      <c r="A381" t="s">
        <v>990</v>
      </c>
      <c r="B381" s="1">
        <v>45397</v>
      </c>
      <c r="C381" t="s">
        <v>991</v>
      </c>
      <c r="D381" t="s">
        <v>393</v>
      </c>
      <c r="E381" t="s">
        <v>120</v>
      </c>
      <c r="F381" t="s">
        <v>121</v>
      </c>
      <c r="G381" t="s">
        <v>130</v>
      </c>
      <c r="H381" t="s">
        <v>28</v>
      </c>
      <c r="I381" t="s">
        <v>73</v>
      </c>
      <c r="J381" t="s">
        <v>80</v>
      </c>
      <c r="K381">
        <v>1</v>
      </c>
      <c r="L381">
        <v>751.71</v>
      </c>
      <c r="M381">
        <v>0.15</v>
      </c>
      <c r="N381">
        <v>638.95000000000005</v>
      </c>
      <c r="O381">
        <v>464.9</v>
      </c>
      <c r="P381">
        <v>174.05</v>
      </c>
      <c r="Q381" t="s">
        <v>67</v>
      </c>
      <c r="R381">
        <v>0.27240003130135382</v>
      </c>
      <c r="S381">
        <v>2024</v>
      </c>
      <c r="T381" t="s">
        <v>877</v>
      </c>
      <c r="U381">
        <v>4</v>
      </c>
      <c r="V381" t="s">
        <v>878</v>
      </c>
    </row>
    <row r="382" spans="1:22" x14ac:dyDescent="0.3">
      <c r="A382" t="s">
        <v>992</v>
      </c>
      <c r="B382" s="1">
        <v>45397</v>
      </c>
      <c r="C382" t="s">
        <v>700</v>
      </c>
      <c r="D382" t="s">
        <v>331</v>
      </c>
      <c r="E382" t="s">
        <v>61</v>
      </c>
      <c r="F382" t="s">
        <v>71</v>
      </c>
      <c r="G382" t="s">
        <v>72</v>
      </c>
      <c r="H382" t="s">
        <v>84</v>
      </c>
      <c r="I382" t="s">
        <v>138</v>
      </c>
      <c r="J382" t="s">
        <v>139</v>
      </c>
      <c r="K382">
        <v>2</v>
      </c>
      <c r="L382">
        <v>12754.15</v>
      </c>
      <c r="M382">
        <v>0.1</v>
      </c>
      <c r="N382">
        <v>22957.47</v>
      </c>
      <c r="O382">
        <v>19061.439999999999</v>
      </c>
      <c r="P382">
        <v>3896.03</v>
      </c>
      <c r="Q382" t="s">
        <v>67</v>
      </c>
      <c r="R382">
        <v>0.1697064179981505</v>
      </c>
      <c r="S382">
        <v>2024</v>
      </c>
      <c r="T382" t="s">
        <v>877</v>
      </c>
      <c r="U382">
        <v>4</v>
      </c>
      <c r="V382" t="s">
        <v>878</v>
      </c>
    </row>
    <row r="383" spans="1:22" x14ac:dyDescent="0.3">
      <c r="A383" t="s">
        <v>993</v>
      </c>
      <c r="B383" s="1">
        <v>45397</v>
      </c>
      <c r="C383" t="s">
        <v>994</v>
      </c>
      <c r="D383" t="s">
        <v>465</v>
      </c>
      <c r="E383" t="s">
        <v>61</v>
      </c>
      <c r="F383" t="s">
        <v>62</v>
      </c>
      <c r="G383" t="s">
        <v>90</v>
      </c>
      <c r="H383" t="s">
        <v>84</v>
      </c>
      <c r="I383" t="s">
        <v>138</v>
      </c>
      <c r="J383" t="s">
        <v>139</v>
      </c>
      <c r="K383">
        <v>2</v>
      </c>
      <c r="L383">
        <v>12561.59</v>
      </c>
      <c r="M383">
        <v>0</v>
      </c>
      <c r="N383">
        <v>25123.18</v>
      </c>
      <c r="O383">
        <v>17860.68</v>
      </c>
      <c r="P383">
        <v>7262.5</v>
      </c>
      <c r="Q383" t="s">
        <v>31</v>
      </c>
      <c r="R383">
        <v>0.28907566637662913</v>
      </c>
      <c r="S383">
        <v>2024</v>
      </c>
      <c r="T383" t="s">
        <v>877</v>
      </c>
      <c r="U383">
        <v>4</v>
      </c>
      <c r="V383" t="s">
        <v>878</v>
      </c>
    </row>
    <row r="384" spans="1:22" x14ac:dyDescent="0.3">
      <c r="A384" t="s">
        <v>995</v>
      </c>
      <c r="B384" s="1">
        <v>45398</v>
      </c>
      <c r="C384" t="s">
        <v>996</v>
      </c>
      <c r="D384" t="s">
        <v>997</v>
      </c>
      <c r="E384" t="s">
        <v>61</v>
      </c>
      <c r="F384" t="s">
        <v>78</v>
      </c>
      <c r="G384" t="s">
        <v>79</v>
      </c>
      <c r="H384" t="s">
        <v>84</v>
      </c>
      <c r="I384" t="s">
        <v>138</v>
      </c>
      <c r="J384" t="s">
        <v>220</v>
      </c>
      <c r="K384">
        <v>3</v>
      </c>
      <c r="L384">
        <v>7583.65</v>
      </c>
      <c r="M384">
        <v>0.05</v>
      </c>
      <c r="N384">
        <v>21613.4</v>
      </c>
      <c r="O384">
        <v>14864.12</v>
      </c>
      <c r="P384">
        <v>6749.28</v>
      </c>
      <c r="Q384" t="s">
        <v>113</v>
      </c>
      <c r="R384">
        <v>0.31227294178611409</v>
      </c>
      <c r="S384">
        <v>2024</v>
      </c>
      <c r="T384" t="s">
        <v>877</v>
      </c>
      <c r="U384">
        <v>4</v>
      </c>
      <c r="V384" t="s">
        <v>878</v>
      </c>
    </row>
    <row r="385" spans="1:22" x14ac:dyDescent="0.3">
      <c r="A385" t="s">
        <v>998</v>
      </c>
      <c r="B385" s="1">
        <v>45398</v>
      </c>
      <c r="C385" t="s">
        <v>999</v>
      </c>
      <c r="D385" t="s">
        <v>209</v>
      </c>
      <c r="E385" t="s">
        <v>61</v>
      </c>
      <c r="F385" t="s">
        <v>62</v>
      </c>
      <c r="G385" t="s">
        <v>63</v>
      </c>
      <c r="H385" t="s">
        <v>28</v>
      </c>
      <c r="I385" t="s">
        <v>73</v>
      </c>
      <c r="J385" t="s">
        <v>80</v>
      </c>
      <c r="K385">
        <v>2</v>
      </c>
      <c r="L385">
        <v>797.61</v>
      </c>
      <c r="M385">
        <v>0</v>
      </c>
      <c r="N385">
        <v>1595.22</v>
      </c>
      <c r="O385">
        <v>974.13</v>
      </c>
      <c r="P385">
        <v>621.09</v>
      </c>
      <c r="Q385" t="s">
        <v>67</v>
      </c>
      <c r="R385">
        <v>0.38934441644412682</v>
      </c>
      <c r="S385">
        <v>2024</v>
      </c>
      <c r="T385" t="s">
        <v>877</v>
      </c>
      <c r="U385">
        <v>4</v>
      </c>
      <c r="V385" t="s">
        <v>878</v>
      </c>
    </row>
    <row r="386" spans="1:22" x14ac:dyDescent="0.3">
      <c r="A386" t="s">
        <v>1000</v>
      </c>
      <c r="B386" s="1">
        <v>45399</v>
      </c>
      <c r="C386" t="s">
        <v>1001</v>
      </c>
      <c r="D386" t="s">
        <v>1002</v>
      </c>
      <c r="E386" t="s">
        <v>25</v>
      </c>
      <c r="F386" t="s">
        <v>26</v>
      </c>
      <c r="G386" t="s">
        <v>171</v>
      </c>
      <c r="H386" t="s">
        <v>84</v>
      </c>
      <c r="I386" t="s">
        <v>85</v>
      </c>
      <c r="J386" t="s">
        <v>145</v>
      </c>
      <c r="K386">
        <v>5</v>
      </c>
      <c r="L386">
        <v>3378.93</v>
      </c>
      <c r="M386">
        <v>0.15</v>
      </c>
      <c r="N386">
        <v>14360.45</v>
      </c>
      <c r="O386">
        <v>9485.93</v>
      </c>
      <c r="P386">
        <v>4874.5200000000004</v>
      </c>
      <c r="Q386" t="s">
        <v>31</v>
      </c>
      <c r="R386">
        <v>0.33944061641522377</v>
      </c>
      <c r="S386">
        <v>2024</v>
      </c>
      <c r="T386" t="s">
        <v>877</v>
      </c>
      <c r="U386">
        <v>4</v>
      </c>
      <c r="V386" t="s">
        <v>878</v>
      </c>
    </row>
    <row r="387" spans="1:22" x14ac:dyDescent="0.3">
      <c r="A387" t="s">
        <v>1003</v>
      </c>
      <c r="B387" s="1">
        <v>45399</v>
      </c>
      <c r="C387" t="s">
        <v>1004</v>
      </c>
      <c r="D387" t="s">
        <v>112</v>
      </c>
      <c r="E387" t="s">
        <v>61</v>
      </c>
      <c r="F387" t="s">
        <v>62</v>
      </c>
      <c r="G387" t="s">
        <v>90</v>
      </c>
      <c r="H387" t="s">
        <v>64</v>
      </c>
      <c r="I387" t="s">
        <v>108</v>
      </c>
      <c r="J387" t="s">
        <v>155</v>
      </c>
      <c r="K387">
        <v>1</v>
      </c>
      <c r="L387">
        <v>8408.84</v>
      </c>
      <c r="M387">
        <v>0</v>
      </c>
      <c r="N387">
        <v>8408.84</v>
      </c>
      <c r="O387">
        <v>5817.69</v>
      </c>
      <c r="P387">
        <v>2591.15</v>
      </c>
      <c r="Q387" t="s">
        <v>113</v>
      </c>
      <c r="R387">
        <v>0.30814595116567811</v>
      </c>
      <c r="S387">
        <v>2024</v>
      </c>
      <c r="T387" t="s">
        <v>877</v>
      </c>
      <c r="U387">
        <v>4</v>
      </c>
      <c r="V387" t="s">
        <v>878</v>
      </c>
    </row>
    <row r="388" spans="1:22" x14ac:dyDescent="0.3">
      <c r="A388" t="s">
        <v>1005</v>
      </c>
      <c r="B388" s="1">
        <v>45399</v>
      </c>
      <c r="C388" t="s">
        <v>1006</v>
      </c>
      <c r="D388" t="s">
        <v>185</v>
      </c>
      <c r="E388" t="s">
        <v>61</v>
      </c>
      <c r="F388" t="s">
        <v>78</v>
      </c>
      <c r="G388" t="s">
        <v>104</v>
      </c>
      <c r="H388" t="s">
        <v>28</v>
      </c>
      <c r="I388" t="s">
        <v>91</v>
      </c>
      <c r="J388" t="s">
        <v>126</v>
      </c>
      <c r="K388">
        <v>2</v>
      </c>
      <c r="L388">
        <v>1928.55</v>
      </c>
      <c r="M388">
        <v>0.05</v>
      </c>
      <c r="N388">
        <v>3664.24</v>
      </c>
      <c r="O388">
        <v>2161.1</v>
      </c>
      <c r="P388">
        <v>1503.14</v>
      </c>
      <c r="Q388" t="s">
        <v>67</v>
      </c>
      <c r="R388">
        <v>0.41021876296312482</v>
      </c>
      <c r="S388">
        <v>2024</v>
      </c>
      <c r="T388" t="s">
        <v>877</v>
      </c>
      <c r="U388">
        <v>4</v>
      </c>
      <c r="V388" t="s">
        <v>878</v>
      </c>
    </row>
    <row r="389" spans="1:22" x14ac:dyDescent="0.3">
      <c r="A389" t="s">
        <v>1007</v>
      </c>
      <c r="B389" s="1">
        <v>45399</v>
      </c>
      <c r="C389" t="s">
        <v>1008</v>
      </c>
      <c r="D389" t="s">
        <v>726</v>
      </c>
      <c r="E389" t="s">
        <v>120</v>
      </c>
      <c r="F389" t="s">
        <v>121</v>
      </c>
      <c r="G389" t="s">
        <v>130</v>
      </c>
      <c r="H389" t="s">
        <v>43</v>
      </c>
      <c r="I389" t="s">
        <v>51</v>
      </c>
      <c r="J389" t="s">
        <v>96</v>
      </c>
      <c r="K389">
        <v>3</v>
      </c>
      <c r="L389">
        <v>469.84</v>
      </c>
      <c r="M389">
        <v>0.05</v>
      </c>
      <c r="N389">
        <v>1339.04</v>
      </c>
      <c r="O389">
        <v>623.15</v>
      </c>
      <c r="P389">
        <v>715.89</v>
      </c>
      <c r="Q389" t="s">
        <v>113</v>
      </c>
      <c r="R389">
        <v>0.53462928665312459</v>
      </c>
      <c r="S389">
        <v>2024</v>
      </c>
      <c r="T389" t="s">
        <v>877</v>
      </c>
      <c r="U389">
        <v>4</v>
      </c>
      <c r="V389" t="s">
        <v>878</v>
      </c>
    </row>
    <row r="390" spans="1:22" x14ac:dyDescent="0.3">
      <c r="A390" t="s">
        <v>1009</v>
      </c>
      <c r="B390" s="1">
        <v>45400</v>
      </c>
      <c r="C390" t="s">
        <v>309</v>
      </c>
      <c r="D390" t="s">
        <v>174</v>
      </c>
      <c r="E390" t="s">
        <v>61</v>
      </c>
      <c r="F390" t="s">
        <v>62</v>
      </c>
      <c r="G390" t="s">
        <v>90</v>
      </c>
      <c r="H390" t="s">
        <v>84</v>
      </c>
      <c r="I390" t="s">
        <v>138</v>
      </c>
      <c r="J390" t="s">
        <v>139</v>
      </c>
      <c r="K390">
        <v>5</v>
      </c>
      <c r="L390">
        <v>12816.99</v>
      </c>
      <c r="M390">
        <v>0.05</v>
      </c>
      <c r="N390">
        <v>60880.7</v>
      </c>
      <c r="O390">
        <v>46989</v>
      </c>
      <c r="P390">
        <v>13891.7</v>
      </c>
      <c r="Q390" t="s">
        <v>46</v>
      </c>
      <c r="R390">
        <v>0.2281790452475087</v>
      </c>
      <c r="S390">
        <v>2024</v>
      </c>
      <c r="T390" t="s">
        <v>877</v>
      </c>
      <c r="U390">
        <v>4</v>
      </c>
      <c r="V390" t="s">
        <v>878</v>
      </c>
    </row>
    <row r="391" spans="1:22" x14ac:dyDescent="0.3">
      <c r="A391" t="s">
        <v>1010</v>
      </c>
      <c r="B391" s="1">
        <v>45401</v>
      </c>
      <c r="C391" t="s">
        <v>240</v>
      </c>
      <c r="D391" t="s">
        <v>170</v>
      </c>
      <c r="E391" t="s">
        <v>61</v>
      </c>
      <c r="F391" t="s">
        <v>62</v>
      </c>
      <c r="G391" t="s">
        <v>228</v>
      </c>
      <c r="H391" t="s">
        <v>28</v>
      </c>
      <c r="I391" t="s">
        <v>29</v>
      </c>
      <c r="J391" t="s">
        <v>57</v>
      </c>
      <c r="K391">
        <v>1</v>
      </c>
      <c r="L391">
        <v>16663.63</v>
      </c>
      <c r="M391">
        <v>0.1</v>
      </c>
      <c r="N391">
        <v>14997.27</v>
      </c>
      <c r="O391">
        <v>12068.45</v>
      </c>
      <c r="P391">
        <v>2928.82</v>
      </c>
      <c r="Q391" t="s">
        <v>67</v>
      </c>
      <c r="R391">
        <v>0.19529020948479289</v>
      </c>
      <c r="S391">
        <v>2024</v>
      </c>
      <c r="T391" t="s">
        <v>877</v>
      </c>
      <c r="U391">
        <v>4</v>
      </c>
      <c r="V391" t="s">
        <v>878</v>
      </c>
    </row>
    <row r="392" spans="1:22" x14ac:dyDescent="0.3">
      <c r="A392" t="s">
        <v>1011</v>
      </c>
      <c r="B392" s="1">
        <v>45401</v>
      </c>
      <c r="C392" t="s">
        <v>1012</v>
      </c>
      <c r="D392" t="s">
        <v>158</v>
      </c>
      <c r="E392" t="s">
        <v>25</v>
      </c>
      <c r="F392" t="s">
        <v>26</v>
      </c>
      <c r="G392" t="s">
        <v>37</v>
      </c>
      <c r="H392" t="s">
        <v>28</v>
      </c>
      <c r="I392" t="s">
        <v>29</v>
      </c>
      <c r="J392" t="s">
        <v>30</v>
      </c>
      <c r="K392">
        <v>3</v>
      </c>
      <c r="L392">
        <v>61559.23</v>
      </c>
      <c r="M392">
        <v>0.05</v>
      </c>
      <c r="N392">
        <v>175443.81</v>
      </c>
      <c r="O392">
        <v>159426.91</v>
      </c>
      <c r="P392">
        <v>16016.9</v>
      </c>
      <c r="Q392" t="s">
        <v>46</v>
      </c>
      <c r="R392">
        <v>9.1293617027582791E-2</v>
      </c>
      <c r="S392">
        <v>2024</v>
      </c>
      <c r="T392" t="s">
        <v>877</v>
      </c>
      <c r="U392">
        <v>4</v>
      </c>
      <c r="V392" t="s">
        <v>878</v>
      </c>
    </row>
    <row r="393" spans="1:22" x14ac:dyDescent="0.3">
      <c r="A393" t="s">
        <v>1013</v>
      </c>
      <c r="B393" s="1">
        <v>45401</v>
      </c>
      <c r="C393" t="s">
        <v>1014</v>
      </c>
      <c r="D393" t="s">
        <v>510</v>
      </c>
      <c r="E393" t="s">
        <v>41</v>
      </c>
      <c r="F393" t="s">
        <v>42</v>
      </c>
      <c r="G393" t="s">
        <v>42</v>
      </c>
      <c r="H393" t="s">
        <v>64</v>
      </c>
      <c r="I393" t="s">
        <v>108</v>
      </c>
      <c r="J393" t="s">
        <v>109</v>
      </c>
      <c r="K393">
        <v>1</v>
      </c>
      <c r="L393">
        <v>6643.67</v>
      </c>
      <c r="M393">
        <v>0.1</v>
      </c>
      <c r="N393">
        <v>5979.3</v>
      </c>
      <c r="O393">
        <v>4418.8</v>
      </c>
      <c r="P393">
        <v>1560.5</v>
      </c>
      <c r="Q393" t="s">
        <v>31</v>
      </c>
      <c r="R393">
        <v>0.26098372719214619</v>
      </c>
      <c r="S393">
        <v>2024</v>
      </c>
      <c r="T393" t="s">
        <v>877</v>
      </c>
      <c r="U393">
        <v>4</v>
      </c>
      <c r="V393" t="s">
        <v>878</v>
      </c>
    </row>
    <row r="394" spans="1:22" x14ac:dyDescent="0.3">
      <c r="A394" t="s">
        <v>1015</v>
      </c>
      <c r="B394" s="1">
        <v>45401</v>
      </c>
      <c r="C394" t="s">
        <v>614</v>
      </c>
      <c r="D394" t="s">
        <v>203</v>
      </c>
      <c r="E394" t="s">
        <v>61</v>
      </c>
      <c r="F394" t="s">
        <v>71</v>
      </c>
      <c r="G394" t="s">
        <v>317</v>
      </c>
      <c r="H394" t="s">
        <v>28</v>
      </c>
      <c r="I394" t="s">
        <v>29</v>
      </c>
      <c r="J394" t="s">
        <v>30</v>
      </c>
      <c r="K394">
        <v>3</v>
      </c>
      <c r="L394">
        <v>60095.92</v>
      </c>
      <c r="M394">
        <v>0</v>
      </c>
      <c r="N394">
        <v>180287.76</v>
      </c>
      <c r="O394">
        <v>157868.35999999999</v>
      </c>
      <c r="P394">
        <v>22419.4</v>
      </c>
      <c r="Q394" t="s">
        <v>113</v>
      </c>
      <c r="R394">
        <v>0.1243534225507045</v>
      </c>
      <c r="S394">
        <v>2024</v>
      </c>
      <c r="T394" t="s">
        <v>877</v>
      </c>
      <c r="U394">
        <v>4</v>
      </c>
      <c r="V394" t="s">
        <v>878</v>
      </c>
    </row>
    <row r="395" spans="1:22" x14ac:dyDescent="0.3">
      <c r="A395" t="s">
        <v>1016</v>
      </c>
      <c r="B395" s="1">
        <v>45401</v>
      </c>
      <c r="C395" t="s">
        <v>1017</v>
      </c>
      <c r="D395" t="s">
        <v>212</v>
      </c>
      <c r="E395" t="s">
        <v>120</v>
      </c>
      <c r="F395" t="s">
        <v>121</v>
      </c>
      <c r="G395" t="s">
        <v>130</v>
      </c>
      <c r="H395" t="s">
        <v>43</v>
      </c>
      <c r="I395" t="s">
        <v>44</v>
      </c>
      <c r="J395" t="s">
        <v>248</v>
      </c>
      <c r="K395">
        <v>3</v>
      </c>
      <c r="L395">
        <v>293.27</v>
      </c>
      <c r="M395">
        <v>0.1</v>
      </c>
      <c r="N395">
        <v>791.83</v>
      </c>
      <c r="O395">
        <v>380.16</v>
      </c>
      <c r="P395">
        <v>411.67</v>
      </c>
      <c r="Q395" t="s">
        <v>46</v>
      </c>
      <c r="R395">
        <v>0.51989694757713145</v>
      </c>
      <c r="S395">
        <v>2024</v>
      </c>
      <c r="T395" t="s">
        <v>877</v>
      </c>
      <c r="U395">
        <v>4</v>
      </c>
      <c r="V395" t="s">
        <v>878</v>
      </c>
    </row>
    <row r="396" spans="1:22" x14ac:dyDescent="0.3">
      <c r="A396" t="s">
        <v>1018</v>
      </c>
      <c r="B396" s="1">
        <v>45402</v>
      </c>
      <c r="C396" t="s">
        <v>1019</v>
      </c>
      <c r="D396" t="s">
        <v>1020</v>
      </c>
      <c r="E396" t="s">
        <v>61</v>
      </c>
      <c r="F396" t="s">
        <v>78</v>
      </c>
      <c r="G396" t="s">
        <v>79</v>
      </c>
      <c r="H396" t="s">
        <v>43</v>
      </c>
      <c r="I396" t="s">
        <v>51</v>
      </c>
      <c r="J396" t="s">
        <v>52</v>
      </c>
      <c r="K396">
        <v>1</v>
      </c>
      <c r="L396">
        <v>735.65</v>
      </c>
      <c r="M396">
        <v>0.15</v>
      </c>
      <c r="N396">
        <v>625.29999999999995</v>
      </c>
      <c r="O396">
        <v>348.7</v>
      </c>
      <c r="P396">
        <v>276.60000000000002</v>
      </c>
      <c r="Q396" t="s">
        <v>67</v>
      </c>
      <c r="R396">
        <v>0.44234767311690393</v>
      </c>
      <c r="S396">
        <v>2024</v>
      </c>
      <c r="T396" t="s">
        <v>877</v>
      </c>
      <c r="U396">
        <v>4</v>
      </c>
      <c r="V396" t="s">
        <v>878</v>
      </c>
    </row>
    <row r="397" spans="1:22" x14ac:dyDescent="0.3">
      <c r="A397" t="s">
        <v>1021</v>
      </c>
      <c r="B397" s="1">
        <v>45402</v>
      </c>
      <c r="C397" t="s">
        <v>1022</v>
      </c>
      <c r="D397" t="s">
        <v>477</v>
      </c>
      <c r="E397" t="s">
        <v>25</v>
      </c>
      <c r="F397" t="s">
        <v>26</v>
      </c>
      <c r="G397" t="s">
        <v>260</v>
      </c>
      <c r="H397" t="s">
        <v>28</v>
      </c>
      <c r="I397" t="s">
        <v>91</v>
      </c>
      <c r="J397" t="s">
        <v>92</v>
      </c>
      <c r="K397">
        <v>1</v>
      </c>
      <c r="L397">
        <v>3119.89</v>
      </c>
      <c r="M397">
        <v>0.15</v>
      </c>
      <c r="N397">
        <v>2651.91</v>
      </c>
      <c r="O397">
        <v>1581.65</v>
      </c>
      <c r="P397">
        <v>1070.26</v>
      </c>
      <c r="Q397" t="s">
        <v>53</v>
      </c>
      <c r="R397">
        <v>0.4035808153368704</v>
      </c>
      <c r="S397">
        <v>2024</v>
      </c>
      <c r="T397" t="s">
        <v>877</v>
      </c>
      <c r="U397">
        <v>4</v>
      </c>
      <c r="V397" t="s">
        <v>878</v>
      </c>
    </row>
    <row r="398" spans="1:22" x14ac:dyDescent="0.3">
      <c r="A398" t="s">
        <v>1023</v>
      </c>
      <c r="B398" s="1">
        <v>45403</v>
      </c>
      <c r="C398" t="s">
        <v>872</v>
      </c>
      <c r="D398" t="s">
        <v>809</v>
      </c>
      <c r="E398" t="s">
        <v>61</v>
      </c>
      <c r="F398" t="s">
        <v>71</v>
      </c>
      <c r="G398" t="s">
        <v>72</v>
      </c>
      <c r="H398" t="s">
        <v>43</v>
      </c>
      <c r="I398" t="s">
        <v>51</v>
      </c>
      <c r="J398" t="s">
        <v>52</v>
      </c>
      <c r="K398">
        <v>4</v>
      </c>
      <c r="L398">
        <v>727.99</v>
      </c>
      <c r="M398">
        <v>0.15</v>
      </c>
      <c r="N398">
        <v>2475.17</v>
      </c>
      <c r="O398">
        <v>1382.18</v>
      </c>
      <c r="P398">
        <v>1092.99</v>
      </c>
      <c r="Q398" t="s">
        <v>46</v>
      </c>
      <c r="R398">
        <v>0.4415817903416735</v>
      </c>
      <c r="S398">
        <v>2024</v>
      </c>
      <c r="T398" t="s">
        <v>877</v>
      </c>
      <c r="U398">
        <v>4</v>
      </c>
      <c r="V398" t="s">
        <v>878</v>
      </c>
    </row>
    <row r="399" spans="1:22" x14ac:dyDescent="0.3">
      <c r="A399" t="s">
        <v>1024</v>
      </c>
      <c r="B399" s="1">
        <v>45403</v>
      </c>
      <c r="C399" t="s">
        <v>1025</v>
      </c>
      <c r="D399" t="s">
        <v>270</v>
      </c>
      <c r="E399" t="s">
        <v>120</v>
      </c>
      <c r="F399" t="s">
        <v>121</v>
      </c>
      <c r="G399" t="s">
        <v>122</v>
      </c>
      <c r="H399" t="s">
        <v>64</v>
      </c>
      <c r="I399" t="s">
        <v>108</v>
      </c>
      <c r="J399" t="s">
        <v>155</v>
      </c>
      <c r="K399">
        <v>1</v>
      </c>
      <c r="L399">
        <v>8378.35</v>
      </c>
      <c r="M399">
        <v>0.15</v>
      </c>
      <c r="N399">
        <v>7121.6</v>
      </c>
      <c r="O399">
        <v>5668.54</v>
      </c>
      <c r="P399">
        <v>1453.06</v>
      </c>
      <c r="Q399" t="s">
        <v>46</v>
      </c>
      <c r="R399">
        <v>0.20403560997528641</v>
      </c>
      <c r="S399">
        <v>2024</v>
      </c>
      <c r="T399" t="s">
        <v>877</v>
      </c>
      <c r="U399">
        <v>4</v>
      </c>
      <c r="V399" t="s">
        <v>878</v>
      </c>
    </row>
    <row r="400" spans="1:22" x14ac:dyDescent="0.3">
      <c r="A400" t="s">
        <v>1026</v>
      </c>
      <c r="B400" s="1">
        <v>45403</v>
      </c>
      <c r="C400" t="s">
        <v>1027</v>
      </c>
      <c r="D400" t="s">
        <v>822</v>
      </c>
      <c r="E400" t="s">
        <v>120</v>
      </c>
      <c r="F400" t="s">
        <v>121</v>
      </c>
      <c r="G400" t="s">
        <v>130</v>
      </c>
      <c r="H400" t="s">
        <v>43</v>
      </c>
      <c r="I400" t="s">
        <v>44</v>
      </c>
      <c r="J400" t="s">
        <v>45</v>
      </c>
      <c r="K400">
        <v>2</v>
      </c>
      <c r="L400">
        <v>246.38</v>
      </c>
      <c r="M400">
        <v>0.1</v>
      </c>
      <c r="N400">
        <v>443.48</v>
      </c>
      <c r="O400">
        <v>191.14</v>
      </c>
      <c r="P400">
        <v>252.34</v>
      </c>
      <c r="Q400" t="s">
        <v>53</v>
      </c>
      <c r="R400">
        <v>0.56899972941282584</v>
      </c>
      <c r="S400">
        <v>2024</v>
      </c>
      <c r="T400" t="s">
        <v>877</v>
      </c>
      <c r="U400">
        <v>4</v>
      </c>
      <c r="V400" t="s">
        <v>878</v>
      </c>
    </row>
    <row r="401" spans="1:22" x14ac:dyDescent="0.3">
      <c r="A401" t="s">
        <v>1028</v>
      </c>
      <c r="B401" s="1">
        <v>45404</v>
      </c>
      <c r="C401" t="s">
        <v>400</v>
      </c>
      <c r="D401" t="s">
        <v>415</v>
      </c>
      <c r="E401" t="s">
        <v>61</v>
      </c>
      <c r="F401" t="s">
        <v>78</v>
      </c>
      <c r="G401" t="s">
        <v>79</v>
      </c>
      <c r="H401" t="s">
        <v>43</v>
      </c>
      <c r="I401" t="s">
        <v>44</v>
      </c>
      <c r="J401" t="s">
        <v>248</v>
      </c>
      <c r="K401">
        <v>2</v>
      </c>
      <c r="L401">
        <v>298.05</v>
      </c>
      <c r="M401">
        <v>0.1</v>
      </c>
      <c r="N401">
        <v>536.49</v>
      </c>
      <c r="O401">
        <v>255.22</v>
      </c>
      <c r="P401">
        <v>281.27</v>
      </c>
      <c r="Q401" t="s">
        <v>31</v>
      </c>
      <c r="R401">
        <v>0.5242781785308207</v>
      </c>
      <c r="S401">
        <v>2024</v>
      </c>
      <c r="T401" t="s">
        <v>877</v>
      </c>
      <c r="U401">
        <v>4</v>
      </c>
      <c r="V401" t="s">
        <v>878</v>
      </c>
    </row>
    <row r="402" spans="1:22" x14ac:dyDescent="0.3">
      <c r="A402" t="s">
        <v>1029</v>
      </c>
      <c r="B402" s="1">
        <v>45404</v>
      </c>
      <c r="C402" t="s">
        <v>1030</v>
      </c>
      <c r="D402" t="s">
        <v>253</v>
      </c>
      <c r="E402" t="s">
        <v>61</v>
      </c>
      <c r="F402" t="s">
        <v>62</v>
      </c>
      <c r="G402" t="s">
        <v>134</v>
      </c>
      <c r="H402" t="s">
        <v>64</v>
      </c>
      <c r="I402" t="s">
        <v>108</v>
      </c>
      <c r="J402" t="s">
        <v>109</v>
      </c>
      <c r="K402">
        <v>5</v>
      </c>
      <c r="L402">
        <v>7029.06</v>
      </c>
      <c r="M402">
        <v>0.2</v>
      </c>
      <c r="N402">
        <v>28116.240000000002</v>
      </c>
      <c r="O402">
        <v>22906.86</v>
      </c>
      <c r="P402">
        <v>5209.38</v>
      </c>
      <c r="Q402" t="s">
        <v>67</v>
      </c>
      <c r="R402">
        <v>0.1852801085778184</v>
      </c>
      <c r="S402">
        <v>2024</v>
      </c>
      <c r="T402" t="s">
        <v>877</v>
      </c>
      <c r="U402">
        <v>4</v>
      </c>
      <c r="V402" t="s">
        <v>878</v>
      </c>
    </row>
    <row r="403" spans="1:22" x14ac:dyDescent="0.3">
      <c r="A403" t="s">
        <v>1031</v>
      </c>
      <c r="B403" s="1">
        <v>45404</v>
      </c>
      <c r="C403" t="s">
        <v>1032</v>
      </c>
      <c r="D403" t="s">
        <v>1033</v>
      </c>
      <c r="E403" t="s">
        <v>25</v>
      </c>
      <c r="F403" t="s">
        <v>26</v>
      </c>
      <c r="G403" t="s">
        <v>27</v>
      </c>
      <c r="H403" t="s">
        <v>64</v>
      </c>
      <c r="I403" t="s">
        <v>65</v>
      </c>
      <c r="J403" t="s">
        <v>232</v>
      </c>
      <c r="K403">
        <v>3</v>
      </c>
      <c r="L403">
        <v>3855.52</v>
      </c>
      <c r="M403">
        <v>0.1</v>
      </c>
      <c r="N403">
        <v>10409.9</v>
      </c>
      <c r="O403">
        <v>7438.67</v>
      </c>
      <c r="P403">
        <v>2971.23</v>
      </c>
      <c r="Q403" t="s">
        <v>31</v>
      </c>
      <c r="R403">
        <v>0.28542349109981852</v>
      </c>
      <c r="S403">
        <v>2024</v>
      </c>
      <c r="T403" t="s">
        <v>877</v>
      </c>
      <c r="U403">
        <v>4</v>
      </c>
      <c r="V403" t="s">
        <v>878</v>
      </c>
    </row>
    <row r="404" spans="1:22" x14ac:dyDescent="0.3">
      <c r="A404" t="s">
        <v>1034</v>
      </c>
      <c r="B404" s="1">
        <v>45405</v>
      </c>
      <c r="C404" t="s">
        <v>1035</v>
      </c>
      <c r="D404" t="s">
        <v>444</v>
      </c>
      <c r="E404" t="s">
        <v>61</v>
      </c>
      <c r="F404" t="s">
        <v>62</v>
      </c>
      <c r="G404" t="s">
        <v>134</v>
      </c>
      <c r="H404" t="s">
        <v>43</v>
      </c>
      <c r="I404" t="s">
        <v>44</v>
      </c>
      <c r="J404" t="s">
        <v>248</v>
      </c>
      <c r="K404">
        <v>2</v>
      </c>
      <c r="L404">
        <v>313.08</v>
      </c>
      <c r="M404">
        <v>0.1</v>
      </c>
      <c r="N404">
        <v>563.54</v>
      </c>
      <c r="O404">
        <v>257.66000000000003</v>
      </c>
      <c r="P404">
        <v>305.88</v>
      </c>
      <c r="Q404" t="s">
        <v>31</v>
      </c>
      <c r="R404">
        <v>0.54278312098520076</v>
      </c>
      <c r="S404">
        <v>2024</v>
      </c>
      <c r="T404" t="s">
        <v>877</v>
      </c>
      <c r="U404">
        <v>4</v>
      </c>
      <c r="V404" t="s">
        <v>878</v>
      </c>
    </row>
    <row r="405" spans="1:22" x14ac:dyDescent="0.3">
      <c r="A405" t="s">
        <v>1036</v>
      </c>
      <c r="B405" s="1">
        <v>45405</v>
      </c>
      <c r="C405" t="s">
        <v>1037</v>
      </c>
      <c r="D405" t="s">
        <v>244</v>
      </c>
      <c r="E405" t="s">
        <v>120</v>
      </c>
      <c r="F405" t="s">
        <v>121</v>
      </c>
      <c r="G405" t="s">
        <v>224</v>
      </c>
      <c r="H405" t="s">
        <v>43</v>
      </c>
      <c r="I405" t="s">
        <v>44</v>
      </c>
      <c r="J405" t="s">
        <v>45</v>
      </c>
      <c r="K405">
        <v>3</v>
      </c>
      <c r="L405">
        <v>248.38</v>
      </c>
      <c r="M405">
        <v>0</v>
      </c>
      <c r="N405">
        <v>745.14</v>
      </c>
      <c r="O405">
        <v>280.58999999999997</v>
      </c>
      <c r="P405">
        <v>464.55</v>
      </c>
      <c r="Q405" t="s">
        <v>31</v>
      </c>
      <c r="R405">
        <v>0.62343989049037762</v>
      </c>
      <c r="S405">
        <v>2024</v>
      </c>
      <c r="T405" t="s">
        <v>877</v>
      </c>
      <c r="U405">
        <v>4</v>
      </c>
      <c r="V405" t="s">
        <v>878</v>
      </c>
    </row>
    <row r="406" spans="1:22" x14ac:dyDescent="0.3">
      <c r="A406" t="s">
        <v>1038</v>
      </c>
      <c r="B406" s="1">
        <v>45405</v>
      </c>
      <c r="C406" t="s">
        <v>98</v>
      </c>
      <c r="D406" t="s">
        <v>575</v>
      </c>
      <c r="E406" t="s">
        <v>120</v>
      </c>
      <c r="F406" t="s">
        <v>121</v>
      </c>
      <c r="G406" t="s">
        <v>122</v>
      </c>
      <c r="H406" t="s">
        <v>43</v>
      </c>
      <c r="I406" t="s">
        <v>44</v>
      </c>
      <c r="J406" t="s">
        <v>45</v>
      </c>
      <c r="K406">
        <v>6</v>
      </c>
      <c r="L406">
        <v>239.89</v>
      </c>
      <c r="M406">
        <v>0.05</v>
      </c>
      <c r="N406">
        <v>1367.37</v>
      </c>
      <c r="O406">
        <v>567.33000000000004</v>
      </c>
      <c r="P406">
        <v>800.04</v>
      </c>
      <c r="Q406" t="s">
        <v>46</v>
      </c>
      <c r="R406">
        <v>0.58509401259351901</v>
      </c>
      <c r="S406">
        <v>2024</v>
      </c>
      <c r="T406" t="s">
        <v>877</v>
      </c>
      <c r="U406">
        <v>4</v>
      </c>
      <c r="V406" t="s">
        <v>878</v>
      </c>
    </row>
    <row r="407" spans="1:22" x14ac:dyDescent="0.3">
      <c r="A407" t="s">
        <v>1039</v>
      </c>
      <c r="B407" s="1">
        <v>45405</v>
      </c>
      <c r="C407" t="s">
        <v>1040</v>
      </c>
      <c r="D407" t="s">
        <v>747</v>
      </c>
      <c r="E407" t="s">
        <v>61</v>
      </c>
      <c r="F407" t="s">
        <v>62</v>
      </c>
      <c r="G407" t="s">
        <v>228</v>
      </c>
      <c r="H407" t="s">
        <v>84</v>
      </c>
      <c r="I407" t="s">
        <v>138</v>
      </c>
      <c r="J407" t="s">
        <v>220</v>
      </c>
      <c r="K407">
        <v>4</v>
      </c>
      <c r="L407">
        <v>7919.94</v>
      </c>
      <c r="M407">
        <v>0</v>
      </c>
      <c r="N407">
        <v>31679.759999999998</v>
      </c>
      <c r="O407">
        <v>21295.78</v>
      </c>
      <c r="P407">
        <v>10383.98</v>
      </c>
      <c r="Q407" t="s">
        <v>67</v>
      </c>
      <c r="R407">
        <v>0.32777962964365892</v>
      </c>
      <c r="S407">
        <v>2024</v>
      </c>
      <c r="T407" t="s">
        <v>877</v>
      </c>
      <c r="U407">
        <v>4</v>
      </c>
      <c r="V407" t="s">
        <v>878</v>
      </c>
    </row>
    <row r="408" spans="1:22" x14ac:dyDescent="0.3">
      <c r="A408" t="s">
        <v>1041</v>
      </c>
      <c r="B408" s="1">
        <v>45405</v>
      </c>
      <c r="C408" t="s">
        <v>853</v>
      </c>
      <c r="D408" t="s">
        <v>987</v>
      </c>
      <c r="E408" t="s">
        <v>61</v>
      </c>
      <c r="F408" t="s">
        <v>78</v>
      </c>
      <c r="G408" t="s">
        <v>83</v>
      </c>
      <c r="H408" t="s">
        <v>28</v>
      </c>
      <c r="I408" t="s">
        <v>91</v>
      </c>
      <c r="J408" t="s">
        <v>92</v>
      </c>
      <c r="K408">
        <v>2</v>
      </c>
      <c r="L408">
        <v>2833.73</v>
      </c>
      <c r="M408">
        <v>0.1</v>
      </c>
      <c r="N408">
        <v>5100.71</v>
      </c>
      <c r="O408">
        <v>2851.76</v>
      </c>
      <c r="P408">
        <v>2248.9499999999998</v>
      </c>
      <c r="Q408" t="s">
        <v>31</v>
      </c>
      <c r="R408">
        <v>0.44090920675749062</v>
      </c>
      <c r="S408">
        <v>2024</v>
      </c>
      <c r="T408" t="s">
        <v>877</v>
      </c>
      <c r="U408">
        <v>4</v>
      </c>
      <c r="V408" t="s">
        <v>878</v>
      </c>
    </row>
    <row r="409" spans="1:22" x14ac:dyDescent="0.3">
      <c r="A409" t="s">
        <v>1042</v>
      </c>
      <c r="B409" s="1">
        <v>45405</v>
      </c>
      <c r="C409" t="s">
        <v>1043</v>
      </c>
      <c r="D409" t="s">
        <v>1044</v>
      </c>
      <c r="E409" t="s">
        <v>120</v>
      </c>
      <c r="F409" t="s">
        <v>121</v>
      </c>
      <c r="G409" t="s">
        <v>130</v>
      </c>
      <c r="H409" t="s">
        <v>64</v>
      </c>
      <c r="I409" t="s">
        <v>65</v>
      </c>
      <c r="J409" t="s">
        <v>66</v>
      </c>
      <c r="K409">
        <v>3</v>
      </c>
      <c r="L409">
        <v>4971.87</v>
      </c>
      <c r="M409">
        <v>0.15</v>
      </c>
      <c r="N409">
        <v>12678.27</v>
      </c>
      <c r="O409">
        <v>8795.06</v>
      </c>
      <c r="P409">
        <v>3883.21</v>
      </c>
      <c r="Q409" t="s">
        <v>113</v>
      </c>
      <c r="R409">
        <v>0.30628863401710171</v>
      </c>
      <c r="S409">
        <v>2024</v>
      </c>
      <c r="T409" t="s">
        <v>877</v>
      </c>
      <c r="U409">
        <v>4</v>
      </c>
      <c r="V409" t="s">
        <v>878</v>
      </c>
    </row>
    <row r="410" spans="1:22" x14ac:dyDescent="0.3">
      <c r="A410" t="s">
        <v>1045</v>
      </c>
      <c r="B410" s="1">
        <v>45405</v>
      </c>
      <c r="C410" t="s">
        <v>1046</v>
      </c>
      <c r="D410" t="s">
        <v>932</v>
      </c>
      <c r="E410" t="s">
        <v>41</v>
      </c>
      <c r="F410" t="s">
        <v>42</v>
      </c>
      <c r="G410" t="s">
        <v>42</v>
      </c>
      <c r="H410" t="s">
        <v>43</v>
      </c>
      <c r="I410" t="s">
        <v>44</v>
      </c>
      <c r="J410" t="s">
        <v>45</v>
      </c>
      <c r="K410">
        <v>1</v>
      </c>
      <c r="L410">
        <v>246.07</v>
      </c>
      <c r="M410">
        <v>0.1</v>
      </c>
      <c r="N410">
        <v>221.46</v>
      </c>
      <c r="O410">
        <v>92.93</v>
      </c>
      <c r="P410">
        <v>128.53</v>
      </c>
      <c r="Q410" t="s">
        <v>53</v>
      </c>
      <c r="R410">
        <v>0.58037568861193889</v>
      </c>
      <c r="S410">
        <v>2024</v>
      </c>
      <c r="T410" t="s">
        <v>877</v>
      </c>
      <c r="U410">
        <v>4</v>
      </c>
      <c r="V410" t="s">
        <v>878</v>
      </c>
    </row>
    <row r="411" spans="1:22" x14ac:dyDescent="0.3">
      <c r="A411" t="s">
        <v>1047</v>
      </c>
      <c r="B411" s="1">
        <v>45405</v>
      </c>
      <c r="C411" t="s">
        <v>608</v>
      </c>
      <c r="D411" t="s">
        <v>604</v>
      </c>
      <c r="E411" t="s">
        <v>61</v>
      </c>
      <c r="F411" t="s">
        <v>78</v>
      </c>
      <c r="G411" t="s">
        <v>104</v>
      </c>
      <c r="H411" t="s">
        <v>84</v>
      </c>
      <c r="I411" t="s">
        <v>138</v>
      </c>
      <c r="J411" t="s">
        <v>220</v>
      </c>
      <c r="K411">
        <v>2</v>
      </c>
      <c r="L411">
        <v>7559.7</v>
      </c>
      <c r="M411">
        <v>0.15</v>
      </c>
      <c r="N411">
        <v>12851.49</v>
      </c>
      <c r="O411">
        <v>9746.81</v>
      </c>
      <c r="P411">
        <v>3104.68</v>
      </c>
      <c r="Q411" t="s">
        <v>67</v>
      </c>
      <c r="R411">
        <v>0.2415813263676041</v>
      </c>
      <c r="S411">
        <v>2024</v>
      </c>
      <c r="T411" t="s">
        <v>877</v>
      </c>
      <c r="U411">
        <v>4</v>
      </c>
      <c r="V411" t="s">
        <v>878</v>
      </c>
    </row>
    <row r="412" spans="1:22" x14ac:dyDescent="0.3">
      <c r="A412" t="s">
        <v>1048</v>
      </c>
      <c r="B412" s="1">
        <v>45405</v>
      </c>
      <c r="C412" t="s">
        <v>387</v>
      </c>
      <c r="D412" t="s">
        <v>366</v>
      </c>
      <c r="E412" t="s">
        <v>61</v>
      </c>
      <c r="F412" t="s">
        <v>71</v>
      </c>
      <c r="G412" t="s">
        <v>72</v>
      </c>
      <c r="H412" t="s">
        <v>64</v>
      </c>
      <c r="I412" t="s">
        <v>65</v>
      </c>
      <c r="J412" t="s">
        <v>66</v>
      </c>
      <c r="K412">
        <v>1</v>
      </c>
      <c r="L412">
        <v>4730.4399999999996</v>
      </c>
      <c r="M412">
        <v>0.05</v>
      </c>
      <c r="N412">
        <v>4493.92</v>
      </c>
      <c r="O412">
        <v>2861.25</v>
      </c>
      <c r="P412">
        <v>1632.67</v>
      </c>
      <c r="Q412" t="s">
        <v>113</v>
      </c>
      <c r="R412">
        <v>0.36330642290027421</v>
      </c>
      <c r="S412">
        <v>2024</v>
      </c>
      <c r="T412" t="s">
        <v>877</v>
      </c>
      <c r="U412">
        <v>4</v>
      </c>
      <c r="V412" t="s">
        <v>878</v>
      </c>
    </row>
    <row r="413" spans="1:22" x14ac:dyDescent="0.3">
      <c r="A413" t="s">
        <v>1049</v>
      </c>
      <c r="B413" s="1">
        <v>45406</v>
      </c>
      <c r="C413" t="s">
        <v>1050</v>
      </c>
      <c r="D413" t="s">
        <v>107</v>
      </c>
      <c r="E413" t="s">
        <v>61</v>
      </c>
      <c r="F413" t="s">
        <v>78</v>
      </c>
      <c r="G413" t="s">
        <v>104</v>
      </c>
      <c r="H413" t="s">
        <v>84</v>
      </c>
      <c r="I413" t="s">
        <v>138</v>
      </c>
      <c r="J413" t="s">
        <v>220</v>
      </c>
      <c r="K413">
        <v>5</v>
      </c>
      <c r="L413">
        <v>7943.79</v>
      </c>
      <c r="M413">
        <v>0.05</v>
      </c>
      <c r="N413">
        <v>37733</v>
      </c>
      <c r="O413">
        <v>26033.66</v>
      </c>
      <c r="P413">
        <v>11699.34</v>
      </c>
      <c r="Q413" t="s">
        <v>31</v>
      </c>
      <c r="R413">
        <v>0.31005591922190118</v>
      </c>
      <c r="S413">
        <v>2024</v>
      </c>
      <c r="T413" t="s">
        <v>877</v>
      </c>
      <c r="U413">
        <v>4</v>
      </c>
      <c r="V413" t="s">
        <v>878</v>
      </c>
    </row>
    <row r="414" spans="1:22" x14ac:dyDescent="0.3">
      <c r="A414" t="s">
        <v>1051</v>
      </c>
      <c r="B414" s="1">
        <v>45406</v>
      </c>
      <c r="C414" t="s">
        <v>1052</v>
      </c>
      <c r="D414" t="s">
        <v>704</v>
      </c>
      <c r="E414" t="s">
        <v>41</v>
      </c>
      <c r="F414" t="s">
        <v>42</v>
      </c>
      <c r="G414" t="s">
        <v>50</v>
      </c>
      <c r="H414" t="s">
        <v>64</v>
      </c>
      <c r="I414" t="s">
        <v>65</v>
      </c>
      <c r="J414" t="s">
        <v>232</v>
      </c>
      <c r="K414">
        <v>1</v>
      </c>
      <c r="L414">
        <v>3837.37</v>
      </c>
      <c r="M414">
        <v>0.05</v>
      </c>
      <c r="N414">
        <v>3645.5</v>
      </c>
      <c r="O414">
        <v>2361.5700000000002</v>
      </c>
      <c r="P414">
        <v>1283.93</v>
      </c>
      <c r="Q414" t="s">
        <v>113</v>
      </c>
      <c r="R414">
        <v>0.35219585790700858</v>
      </c>
      <c r="S414">
        <v>2024</v>
      </c>
      <c r="T414" t="s">
        <v>877</v>
      </c>
      <c r="U414">
        <v>4</v>
      </c>
      <c r="V414" t="s">
        <v>878</v>
      </c>
    </row>
    <row r="415" spans="1:22" x14ac:dyDescent="0.3">
      <c r="A415" t="s">
        <v>1053</v>
      </c>
      <c r="B415" s="1">
        <v>45407</v>
      </c>
      <c r="C415" t="s">
        <v>453</v>
      </c>
      <c r="D415" t="s">
        <v>667</v>
      </c>
      <c r="E415" t="s">
        <v>61</v>
      </c>
      <c r="F415" t="s">
        <v>78</v>
      </c>
      <c r="G415" t="s">
        <v>104</v>
      </c>
      <c r="H415" t="s">
        <v>43</v>
      </c>
      <c r="I415" t="s">
        <v>51</v>
      </c>
      <c r="J415" t="s">
        <v>96</v>
      </c>
      <c r="K415">
        <v>1</v>
      </c>
      <c r="L415">
        <v>481.87</v>
      </c>
      <c r="M415">
        <v>0</v>
      </c>
      <c r="N415">
        <v>481.87</v>
      </c>
      <c r="O415">
        <v>211.61</v>
      </c>
      <c r="P415">
        <v>270.26</v>
      </c>
      <c r="Q415" t="s">
        <v>46</v>
      </c>
      <c r="R415">
        <v>0.56085666258534461</v>
      </c>
      <c r="S415">
        <v>2024</v>
      </c>
      <c r="T415" t="s">
        <v>877</v>
      </c>
      <c r="U415">
        <v>4</v>
      </c>
      <c r="V415" t="s">
        <v>878</v>
      </c>
    </row>
    <row r="416" spans="1:22" x14ac:dyDescent="0.3">
      <c r="A416" t="s">
        <v>1054</v>
      </c>
      <c r="B416" s="1">
        <v>45407</v>
      </c>
      <c r="C416" t="s">
        <v>1055</v>
      </c>
      <c r="D416" t="s">
        <v>357</v>
      </c>
      <c r="E416" t="s">
        <v>120</v>
      </c>
      <c r="F416" t="s">
        <v>121</v>
      </c>
      <c r="G416" t="s">
        <v>224</v>
      </c>
      <c r="H416" t="s">
        <v>43</v>
      </c>
      <c r="I416" t="s">
        <v>51</v>
      </c>
      <c r="J416" t="s">
        <v>96</v>
      </c>
      <c r="K416">
        <v>2</v>
      </c>
      <c r="L416">
        <v>502.39</v>
      </c>
      <c r="M416">
        <v>0</v>
      </c>
      <c r="N416">
        <v>1004.78</v>
      </c>
      <c r="O416">
        <v>470.05</v>
      </c>
      <c r="P416">
        <v>534.73</v>
      </c>
      <c r="Q416" t="s">
        <v>31</v>
      </c>
      <c r="R416">
        <v>0.5321861502020343</v>
      </c>
      <c r="S416">
        <v>2024</v>
      </c>
      <c r="T416" t="s">
        <v>877</v>
      </c>
      <c r="U416">
        <v>4</v>
      </c>
      <c r="V416" t="s">
        <v>878</v>
      </c>
    </row>
    <row r="417" spans="1:22" x14ac:dyDescent="0.3">
      <c r="A417" t="s">
        <v>1056</v>
      </c>
      <c r="B417" s="1">
        <v>45407</v>
      </c>
      <c r="C417" t="s">
        <v>1057</v>
      </c>
      <c r="D417" t="s">
        <v>374</v>
      </c>
      <c r="E417" t="s">
        <v>61</v>
      </c>
      <c r="F417" t="s">
        <v>78</v>
      </c>
      <c r="G417" t="s">
        <v>216</v>
      </c>
      <c r="H417" t="s">
        <v>28</v>
      </c>
      <c r="I417" t="s">
        <v>73</v>
      </c>
      <c r="J417" t="s">
        <v>74</v>
      </c>
      <c r="K417">
        <v>2</v>
      </c>
      <c r="L417">
        <v>2361.9499999999998</v>
      </c>
      <c r="M417">
        <v>0.1</v>
      </c>
      <c r="N417">
        <v>4251.51</v>
      </c>
      <c r="O417">
        <v>2510.71</v>
      </c>
      <c r="P417">
        <v>1740.8</v>
      </c>
      <c r="Q417" t="s">
        <v>53</v>
      </c>
      <c r="R417">
        <v>0.4094545232164572</v>
      </c>
      <c r="S417">
        <v>2024</v>
      </c>
      <c r="T417" t="s">
        <v>877</v>
      </c>
      <c r="U417">
        <v>4</v>
      </c>
      <c r="V417" t="s">
        <v>878</v>
      </c>
    </row>
    <row r="418" spans="1:22" x14ac:dyDescent="0.3">
      <c r="A418" t="s">
        <v>1058</v>
      </c>
      <c r="B418" s="1">
        <v>45407</v>
      </c>
      <c r="C418" t="s">
        <v>758</v>
      </c>
      <c r="D418" t="s">
        <v>371</v>
      </c>
      <c r="E418" t="s">
        <v>61</v>
      </c>
      <c r="F418" t="s">
        <v>62</v>
      </c>
      <c r="G418" t="s">
        <v>228</v>
      </c>
      <c r="H418" t="s">
        <v>28</v>
      </c>
      <c r="I418" t="s">
        <v>91</v>
      </c>
      <c r="J418" t="s">
        <v>126</v>
      </c>
      <c r="K418">
        <v>3</v>
      </c>
      <c r="L418">
        <v>1921.46</v>
      </c>
      <c r="M418">
        <v>0.05</v>
      </c>
      <c r="N418">
        <v>5476.16</v>
      </c>
      <c r="O418">
        <v>3344.25</v>
      </c>
      <c r="P418">
        <v>2131.91</v>
      </c>
      <c r="Q418" t="s">
        <v>46</v>
      </c>
      <c r="R418">
        <v>0.38930747092853379</v>
      </c>
      <c r="S418">
        <v>2024</v>
      </c>
      <c r="T418" t="s">
        <v>877</v>
      </c>
      <c r="U418">
        <v>4</v>
      </c>
      <c r="V418" t="s">
        <v>878</v>
      </c>
    </row>
    <row r="419" spans="1:22" x14ac:dyDescent="0.3">
      <c r="A419" t="s">
        <v>1059</v>
      </c>
      <c r="B419" s="1">
        <v>45407</v>
      </c>
      <c r="C419" t="s">
        <v>985</v>
      </c>
      <c r="D419" t="s">
        <v>1060</v>
      </c>
      <c r="E419" t="s">
        <v>120</v>
      </c>
      <c r="F419" t="s">
        <v>121</v>
      </c>
      <c r="G419" t="s">
        <v>122</v>
      </c>
      <c r="H419" t="s">
        <v>64</v>
      </c>
      <c r="I419" t="s">
        <v>65</v>
      </c>
      <c r="J419" t="s">
        <v>232</v>
      </c>
      <c r="K419">
        <v>2</v>
      </c>
      <c r="L419">
        <v>3786.55</v>
      </c>
      <c r="M419">
        <v>0.15</v>
      </c>
      <c r="N419">
        <v>6437.14</v>
      </c>
      <c r="O419">
        <v>4661.3900000000003</v>
      </c>
      <c r="P419">
        <v>1775.75</v>
      </c>
      <c r="Q419" t="s">
        <v>46</v>
      </c>
      <c r="R419">
        <v>0.27586008693301678</v>
      </c>
      <c r="S419">
        <v>2024</v>
      </c>
      <c r="T419" t="s">
        <v>877</v>
      </c>
      <c r="U419">
        <v>4</v>
      </c>
      <c r="V419" t="s">
        <v>878</v>
      </c>
    </row>
    <row r="420" spans="1:22" x14ac:dyDescent="0.3">
      <c r="A420" t="s">
        <v>1061</v>
      </c>
      <c r="B420" s="1">
        <v>45408</v>
      </c>
      <c r="C420" t="s">
        <v>980</v>
      </c>
      <c r="D420" t="s">
        <v>884</v>
      </c>
      <c r="E420" t="s">
        <v>61</v>
      </c>
      <c r="F420" t="s">
        <v>71</v>
      </c>
      <c r="G420" t="s">
        <v>72</v>
      </c>
      <c r="H420" t="s">
        <v>64</v>
      </c>
      <c r="I420" t="s">
        <v>108</v>
      </c>
      <c r="J420" t="s">
        <v>155</v>
      </c>
      <c r="K420">
        <v>2</v>
      </c>
      <c r="L420">
        <v>8919.06</v>
      </c>
      <c r="M420">
        <v>0.05</v>
      </c>
      <c r="N420">
        <v>16946.21</v>
      </c>
      <c r="O420">
        <v>12420.52</v>
      </c>
      <c r="P420">
        <v>4525.6899999999996</v>
      </c>
      <c r="Q420" t="s">
        <v>53</v>
      </c>
      <c r="R420">
        <v>0.26706207464677939</v>
      </c>
      <c r="S420">
        <v>2024</v>
      </c>
      <c r="T420" t="s">
        <v>877</v>
      </c>
      <c r="U420">
        <v>4</v>
      </c>
      <c r="V420" t="s">
        <v>878</v>
      </c>
    </row>
    <row r="421" spans="1:22" x14ac:dyDescent="0.3">
      <c r="A421" t="s">
        <v>1062</v>
      </c>
      <c r="B421" s="1">
        <v>45408</v>
      </c>
      <c r="C421" t="s">
        <v>102</v>
      </c>
      <c r="D421" t="s">
        <v>972</v>
      </c>
      <c r="E421" t="s">
        <v>61</v>
      </c>
      <c r="F421" t="s">
        <v>78</v>
      </c>
      <c r="G421" t="s">
        <v>83</v>
      </c>
      <c r="H421" t="s">
        <v>64</v>
      </c>
      <c r="I421" t="s">
        <v>65</v>
      </c>
      <c r="J421" t="s">
        <v>232</v>
      </c>
      <c r="K421">
        <v>2</v>
      </c>
      <c r="L421">
        <v>4185.99</v>
      </c>
      <c r="M421">
        <v>0</v>
      </c>
      <c r="N421">
        <v>8371.98</v>
      </c>
      <c r="O421">
        <v>5230.05</v>
      </c>
      <c r="P421">
        <v>3141.93</v>
      </c>
      <c r="Q421" t="s">
        <v>67</v>
      </c>
      <c r="R421">
        <v>0.37529114976385508</v>
      </c>
      <c r="S421">
        <v>2024</v>
      </c>
      <c r="T421" t="s">
        <v>877</v>
      </c>
      <c r="U421">
        <v>4</v>
      </c>
      <c r="V421" t="s">
        <v>878</v>
      </c>
    </row>
    <row r="422" spans="1:22" x14ac:dyDescent="0.3">
      <c r="A422" t="s">
        <v>1063</v>
      </c>
      <c r="B422" s="1">
        <v>45408</v>
      </c>
      <c r="C422" t="s">
        <v>843</v>
      </c>
      <c r="D422" t="s">
        <v>385</v>
      </c>
      <c r="E422" t="s">
        <v>41</v>
      </c>
      <c r="F422" t="s">
        <v>42</v>
      </c>
      <c r="G422" t="s">
        <v>42</v>
      </c>
      <c r="H422" t="s">
        <v>43</v>
      </c>
      <c r="I422" t="s">
        <v>51</v>
      </c>
      <c r="J422" t="s">
        <v>52</v>
      </c>
      <c r="K422">
        <v>2</v>
      </c>
      <c r="L422">
        <v>659.74</v>
      </c>
      <c r="M422">
        <v>0.2</v>
      </c>
      <c r="N422">
        <v>1055.58</v>
      </c>
      <c r="O422">
        <v>614.53</v>
      </c>
      <c r="P422">
        <v>441.05</v>
      </c>
      <c r="Q422" t="s">
        <v>31</v>
      </c>
      <c r="R422">
        <v>0.4178271661077323</v>
      </c>
      <c r="S422">
        <v>2024</v>
      </c>
      <c r="T422" t="s">
        <v>877</v>
      </c>
      <c r="U422">
        <v>4</v>
      </c>
      <c r="V422" t="s">
        <v>878</v>
      </c>
    </row>
    <row r="423" spans="1:22" x14ac:dyDescent="0.3">
      <c r="A423" t="s">
        <v>1064</v>
      </c>
      <c r="B423" s="1">
        <v>45409</v>
      </c>
      <c r="C423" t="s">
        <v>1065</v>
      </c>
      <c r="D423" t="s">
        <v>1066</v>
      </c>
      <c r="E423" t="s">
        <v>61</v>
      </c>
      <c r="F423" t="s">
        <v>62</v>
      </c>
      <c r="G423" t="s">
        <v>90</v>
      </c>
      <c r="H423" t="s">
        <v>28</v>
      </c>
      <c r="I423" t="s">
        <v>29</v>
      </c>
      <c r="J423" t="s">
        <v>57</v>
      </c>
      <c r="K423">
        <v>5</v>
      </c>
      <c r="L423">
        <v>16531.5</v>
      </c>
      <c r="M423">
        <v>0.15</v>
      </c>
      <c r="N423">
        <v>70258.880000000005</v>
      </c>
      <c r="O423">
        <v>62080.72</v>
      </c>
      <c r="P423">
        <v>8178.16</v>
      </c>
      <c r="Q423" t="s">
        <v>53</v>
      </c>
      <c r="R423">
        <v>0.1164003752977559</v>
      </c>
      <c r="S423">
        <v>2024</v>
      </c>
      <c r="T423" t="s">
        <v>877</v>
      </c>
      <c r="U423">
        <v>4</v>
      </c>
      <c r="V423" t="s">
        <v>878</v>
      </c>
    </row>
    <row r="424" spans="1:22" x14ac:dyDescent="0.3">
      <c r="A424" t="s">
        <v>1067</v>
      </c>
      <c r="B424" s="1">
        <v>45409</v>
      </c>
      <c r="C424" t="s">
        <v>1046</v>
      </c>
      <c r="D424" t="s">
        <v>270</v>
      </c>
      <c r="E424" t="s">
        <v>25</v>
      </c>
      <c r="F424" t="s">
        <v>26</v>
      </c>
      <c r="G424" t="s">
        <v>260</v>
      </c>
      <c r="H424" t="s">
        <v>64</v>
      </c>
      <c r="I424" t="s">
        <v>65</v>
      </c>
      <c r="J424" t="s">
        <v>66</v>
      </c>
      <c r="K424">
        <v>3</v>
      </c>
      <c r="L424">
        <v>4855.34</v>
      </c>
      <c r="M424">
        <v>0.1</v>
      </c>
      <c r="N424">
        <v>13109.42</v>
      </c>
      <c r="O424">
        <v>8764.69</v>
      </c>
      <c r="P424">
        <v>4344.7299999999996</v>
      </c>
      <c r="Q424" t="s">
        <v>46</v>
      </c>
      <c r="R424">
        <v>0.33142045948638449</v>
      </c>
      <c r="S424">
        <v>2024</v>
      </c>
      <c r="T424" t="s">
        <v>877</v>
      </c>
      <c r="U424">
        <v>4</v>
      </c>
      <c r="V424" t="s">
        <v>878</v>
      </c>
    </row>
    <row r="425" spans="1:22" x14ac:dyDescent="0.3">
      <c r="A425" t="s">
        <v>1068</v>
      </c>
      <c r="B425" s="1">
        <v>45409</v>
      </c>
      <c r="C425" t="s">
        <v>368</v>
      </c>
      <c r="D425" t="s">
        <v>735</v>
      </c>
      <c r="E425" t="s">
        <v>61</v>
      </c>
      <c r="F425" t="s">
        <v>71</v>
      </c>
      <c r="G425" t="s">
        <v>72</v>
      </c>
      <c r="H425" t="s">
        <v>43</v>
      </c>
      <c r="I425" t="s">
        <v>51</v>
      </c>
      <c r="J425" t="s">
        <v>52</v>
      </c>
      <c r="K425">
        <v>2</v>
      </c>
      <c r="L425">
        <v>702.49</v>
      </c>
      <c r="M425">
        <v>0.15</v>
      </c>
      <c r="N425">
        <v>1194.23</v>
      </c>
      <c r="O425">
        <v>636.74</v>
      </c>
      <c r="P425">
        <v>557.49</v>
      </c>
      <c r="Q425" t="s">
        <v>53</v>
      </c>
      <c r="R425">
        <v>0.46681962436046659</v>
      </c>
      <c r="S425">
        <v>2024</v>
      </c>
      <c r="T425" t="s">
        <v>877</v>
      </c>
      <c r="U425">
        <v>4</v>
      </c>
      <c r="V425" t="s">
        <v>878</v>
      </c>
    </row>
    <row r="426" spans="1:22" x14ac:dyDescent="0.3">
      <c r="A426" t="s">
        <v>1069</v>
      </c>
      <c r="B426" s="1">
        <v>45409</v>
      </c>
      <c r="C426" t="s">
        <v>1006</v>
      </c>
      <c r="D426" t="s">
        <v>151</v>
      </c>
      <c r="E426" t="s">
        <v>61</v>
      </c>
      <c r="F426" t="s">
        <v>71</v>
      </c>
      <c r="G426" t="s">
        <v>201</v>
      </c>
      <c r="H426" t="s">
        <v>64</v>
      </c>
      <c r="I426" t="s">
        <v>65</v>
      </c>
      <c r="J426" t="s">
        <v>232</v>
      </c>
      <c r="K426">
        <v>5</v>
      </c>
      <c r="L426">
        <v>4204.46</v>
      </c>
      <c r="M426">
        <v>0.05</v>
      </c>
      <c r="N426">
        <v>19971.18</v>
      </c>
      <c r="O426">
        <v>12747.49</v>
      </c>
      <c r="P426">
        <v>7223.69</v>
      </c>
      <c r="Q426" t="s">
        <v>53</v>
      </c>
      <c r="R426">
        <v>0.36170571793955092</v>
      </c>
      <c r="S426">
        <v>2024</v>
      </c>
      <c r="T426" t="s">
        <v>877</v>
      </c>
      <c r="U426">
        <v>4</v>
      </c>
      <c r="V426" t="s">
        <v>878</v>
      </c>
    </row>
    <row r="427" spans="1:22" x14ac:dyDescent="0.3">
      <c r="A427" t="s">
        <v>1070</v>
      </c>
      <c r="B427" s="1">
        <v>45409</v>
      </c>
      <c r="C427" t="s">
        <v>150</v>
      </c>
      <c r="D427" t="s">
        <v>313</v>
      </c>
      <c r="E427" t="s">
        <v>61</v>
      </c>
      <c r="F427" t="s">
        <v>62</v>
      </c>
      <c r="G427" t="s">
        <v>63</v>
      </c>
      <c r="H427" t="s">
        <v>64</v>
      </c>
      <c r="I427" t="s">
        <v>108</v>
      </c>
      <c r="J427" t="s">
        <v>109</v>
      </c>
      <c r="K427">
        <v>1</v>
      </c>
      <c r="L427">
        <v>7115.95</v>
      </c>
      <c r="M427">
        <v>0</v>
      </c>
      <c r="N427">
        <v>7115.95</v>
      </c>
      <c r="O427">
        <v>4657.28</v>
      </c>
      <c r="P427">
        <v>2458.67</v>
      </c>
      <c r="Q427" t="s">
        <v>113</v>
      </c>
      <c r="R427">
        <v>0.34551535634736052</v>
      </c>
      <c r="S427">
        <v>2024</v>
      </c>
      <c r="T427" t="s">
        <v>877</v>
      </c>
      <c r="U427">
        <v>4</v>
      </c>
      <c r="V427" t="s">
        <v>878</v>
      </c>
    </row>
    <row r="428" spans="1:22" x14ac:dyDescent="0.3">
      <c r="A428" t="s">
        <v>1071</v>
      </c>
      <c r="B428" s="1">
        <v>45410</v>
      </c>
      <c r="C428" t="s">
        <v>1072</v>
      </c>
      <c r="D428" t="s">
        <v>444</v>
      </c>
      <c r="E428" t="s">
        <v>61</v>
      </c>
      <c r="F428" t="s">
        <v>62</v>
      </c>
      <c r="G428" t="s">
        <v>228</v>
      </c>
      <c r="H428" t="s">
        <v>84</v>
      </c>
      <c r="I428" t="s">
        <v>138</v>
      </c>
      <c r="J428" t="s">
        <v>220</v>
      </c>
      <c r="K428">
        <v>1</v>
      </c>
      <c r="L428">
        <v>7933.98</v>
      </c>
      <c r="M428">
        <v>0.1</v>
      </c>
      <c r="N428">
        <v>7140.58</v>
      </c>
      <c r="O428">
        <v>5320.38</v>
      </c>
      <c r="P428">
        <v>1820.2</v>
      </c>
      <c r="Q428" t="s">
        <v>46</v>
      </c>
      <c r="R428">
        <v>0.25490926507370548</v>
      </c>
      <c r="S428">
        <v>2024</v>
      </c>
      <c r="T428" t="s">
        <v>877</v>
      </c>
      <c r="U428">
        <v>4</v>
      </c>
      <c r="V428" t="s">
        <v>878</v>
      </c>
    </row>
    <row r="429" spans="1:22" x14ac:dyDescent="0.3">
      <c r="A429" t="s">
        <v>1073</v>
      </c>
      <c r="B429" s="1">
        <v>45411</v>
      </c>
      <c r="C429" t="s">
        <v>1065</v>
      </c>
      <c r="D429" t="s">
        <v>1074</v>
      </c>
      <c r="E429" t="s">
        <v>41</v>
      </c>
      <c r="F429" t="s">
        <v>42</v>
      </c>
      <c r="G429" t="s">
        <v>50</v>
      </c>
      <c r="H429" t="s">
        <v>64</v>
      </c>
      <c r="I429" t="s">
        <v>108</v>
      </c>
      <c r="J429" t="s">
        <v>109</v>
      </c>
      <c r="K429">
        <v>2</v>
      </c>
      <c r="L429">
        <v>7225.59</v>
      </c>
      <c r="M429">
        <v>0</v>
      </c>
      <c r="N429">
        <v>14451.18</v>
      </c>
      <c r="O429">
        <v>9118.14</v>
      </c>
      <c r="P429">
        <v>5333.04</v>
      </c>
      <c r="Q429" t="s">
        <v>31</v>
      </c>
      <c r="R429">
        <v>0.36903837610492712</v>
      </c>
      <c r="S429">
        <v>2024</v>
      </c>
      <c r="T429" t="s">
        <v>877</v>
      </c>
      <c r="U429">
        <v>4</v>
      </c>
      <c r="V429" t="s">
        <v>878</v>
      </c>
    </row>
    <row r="430" spans="1:22" x14ac:dyDescent="0.3">
      <c r="A430" t="s">
        <v>1075</v>
      </c>
      <c r="B430" s="1">
        <v>45411</v>
      </c>
      <c r="C430" t="s">
        <v>1037</v>
      </c>
      <c r="D430" t="s">
        <v>393</v>
      </c>
      <c r="E430" t="s">
        <v>25</v>
      </c>
      <c r="F430" t="s">
        <v>26</v>
      </c>
      <c r="G430" t="s">
        <v>27</v>
      </c>
      <c r="H430" t="s">
        <v>28</v>
      </c>
      <c r="I430" t="s">
        <v>91</v>
      </c>
      <c r="J430" t="s">
        <v>126</v>
      </c>
      <c r="K430">
        <v>1</v>
      </c>
      <c r="L430">
        <v>1943.26</v>
      </c>
      <c r="M430">
        <v>0.15</v>
      </c>
      <c r="N430">
        <v>1651.77</v>
      </c>
      <c r="O430">
        <v>1151.8599999999999</v>
      </c>
      <c r="P430">
        <v>499.91</v>
      </c>
      <c r="Q430" t="s">
        <v>46</v>
      </c>
      <c r="R430">
        <v>0.3026510954915031</v>
      </c>
      <c r="S430">
        <v>2024</v>
      </c>
      <c r="T430" t="s">
        <v>877</v>
      </c>
      <c r="U430">
        <v>4</v>
      </c>
      <c r="V430" t="s">
        <v>878</v>
      </c>
    </row>
    <row r="431" spans="1:22" x14ac:dyDescent="0.3">
      <c r="A431" t="s">
        <v>1076</v>
      </c>
      <c r="B431" s="1">
        <v>45411</v>
      </c>
      <c r="C431" t="s">
        <v>815</v>
      </c>
      <c r="D431" t="s">
        <v>876</v>
      </c>
      <c r="E431" t="s">
        <v>61</v>
      </c>
      <c r="F431" t="s">
        <v>71</v>
      </c>
      <c r="G431" t="s">
        <v>201</v>
      </c>
      <c r="H431" t="s">
        <v>64</v>
      </c>
      <c r="I431" t="s">
        <v>65</v>
      </c>
      <c r="J431" t="s">
        <v>232</v>
      </c>
      <c r="K431">
        <v>6</v>
      </c>
      <c r="L431">
        <v>4001.18</v>
      </c>
      <c r="M431">
        <v>0.05</v>
      </c>
      <c r="N431">
        <v>22806.73</v>
      </c>
      <c r="O431">
        <v>15559.48</v>
      </c>
      <c r="P431">
        <v>7247.25</v>
      </c>
      <c r="Q431" t="s">
        <v>113</v>
      </c>
      <c r="R431">
        <v>0.31776804478327231</v>
      </c>
      <c r="S431">
        <v>2024</v>
      </c>
      <c r="T431" t="s">
        <v>877</v>
      </c>
      <c r="U431">
        <v>4</v>
      </c>
      <c r="V431" t="s">
        <v>878</v>
      </c>
    </row>
    <row r="432" spans="1:22" x14ac:dyDescent="0.3">
      <c r="A432" t="s">
        <v>1077</v>
      </c>
      <c r="B432" s="1">
        <v>45411</v>
      </c>
      <c r="C432" t="s">
        <v>1078</v>
      </c>
      <c r="D432" t="s">
        <v>652</v>
      </c>
      <c r="E432" t="s">
        <v>61</v>
      </c>
      <c r="F432" t="s">
        <v>78</v>
      </c>
      <c r="G432" t="s">
        <v>79</v>
      </c>
      <c r="H432" t="s">
        <v>43</v>
      </c>
      <c r="I432" t="s">
        <v>51</v>
      </c>
      <c r="J432" t="s">
        <v>52</v>
      </c>
      <c r="K432">
        <v>1</v>
      </c>
      <c r="L432">
        <v>660.13</v>
      </c>
      <c r="M432">
        <v>0.1</v>
      </c>
      <c r="N432">
        <v>594.12</v>
      </c>
      <c r="O432">
        <v>320.13</v>
      </c>
      <c r="P432">
        <v>273.99</v>
      </c>
      <c r="Q432" t="s">
        <v>46</v>
      </c>
      <c r="R432">
        <v>0.46116946071500708</v>
      </c>
      <c r="S432">
        <v>2024</v>
      </c>
      <c r="T432" t="s">
        <v>877</v>
      </c>
      <c r="U432">
        <v>4</v>
      </c>
      <c r="V432" t="s">
        <v>878</v>
      </c>
    </row>
    <row r="433" spans="1:22" x14ac:dyDescent="0.3">
      <c r="A433" t="s">
        <v>1079</v>
      </c>
      <c r="B433" s="1">
        <v>45411</v>
      </c>
      <c r="C433" t="s">
        <v>1080</v>
      </c>
      <c r="D433" t="s">
        <v>304</v>
      </c>
      <c r="E433" t="s">
        <v>61</v>
      </c>
      <c r="F433" t="s">
        <v>71</v>
      </c>
      <c r="G433" t="s">
        <v>317</v>
      </c>
      <c r="H433" t="s">
        <v>64</v>
      </c>
      <c r="I433" t="s">
        <v>65</v>
      </c>
      <c r="J433" t="s">
        <v>232</v>
      </c>
      <c r="K433">
        <v>2</v>
      </c>
      <c r="L433">
        <v>3844.44</v>
      </c>
      <c r="M433">
        <v>0.1</v>
      </c>
      <c r="N433">
        <v>6919.99</v>
      </c>
      <c r="O433">
        <v>4887.83</v>
      </c>
      <c r="P433">
        <v>2032.16</v>
      </c>
      <c r="Q433" t="s">
        <v>31</v>
      </c>
      <c r="R433">
        <v>0.29366516425601769</v>
      </c>
      <c r="S433">
        <v>2024</v>
      </c>
      <c r="T433" t="s">
        <v>877</v>
      </c>
      <c r="U433">
        <v>4</v>
      </c>
      <c r="V433" t="s">
        <v>878</v>
      </c>
    </row>
    <row r="434" spans="1:22" x14ac:dyDescent="0.3">
      <c r="A434" t="s">
        <v>1081</v>
      </c>
      <c r="B434" s="1">
        <v>45411</v>
      </c>
      <c r="C434" t="s">
        <v>834</v>
      </c>
      <c r="D434" t="s">
        <v>457</v>
      </c>
      <c r="E434" t="s">
        <v>61</v>
      </c>
      <c r="F434" t="s">
        <v>78</v>
      </c>
      <c r="G434" t="s">
        <v>83</v>
      </c>
      <c r="H434" t="s">
        <v>84</v>
      </c>
      <c r="I434" t="s">
        <v>85</v>
      </c>
      <c r="J434" t="s">
        <v>145</v>
      </c>
      <c r="K434">
        <v>3</v>
      </c>
      <c r="L434">
        <v>3421.75</v>
      </c>
      <c r="M434">
        <v>0.1</v>
      </c>
      <c r="N434">
        <v>9238.73</v>
      </c>
      <c r="O434">
        <v>5827.57</v>
      </c>
      <c r="P434">
        <v>3411.16</v>
      </c>
      <c r="Q434" t="s">
        <v>46</v>
      </c>
      <c r="R434">
        <v>0.36922390848092762</v>
      </c>
      <c r="S434">
        <v>2024</v>
      </c>
      <c r="T434" t="s">
        <v>877</v>
      </c>
      <c r="U434">
        <v>4</v>
      </c>
      <c r="V434" t="s">
        <v>878</v>
      </c>
    </row>
    <row r="435" spans="1:22" x14ac:dyDescent="0.3">
      <c r="A435" t="s">
        <v>1082</v>
      </c>
      <c r="B435" s="1">
        <v>45412</v>
      </c>
      <c r="C435" t="s">
        <v>1083</v>
      </c>
      <c r="D435" t="s">
        <v>735</v>
      </c>
      <c r="E435" t="s">
        <v>61</v>
      </c>
      <c r="F435" t="s">
        <v>62</v>
      </c>
      <c r="G435" t="s">
        <v>228</v>
      </c>
      <c r="H435" t="s">
        <v>43</v>
      </c>
      <c r="I435" t="s">
        <v>44</v>
      </c>
      <c r="J435" t="s">
        <v>45</v>
      </c>
      <c r="K435">
        <v>1</v>
      </c>
      <c r="L435">
        <v>239.99</v>
      </c>
      <c r="M435">
        <v>0.05</v>
      </c>
      <c r="N435">
        <v>227.99</v>
      </c>
      <c r="O435">
        <v>91.27</v>
      </c>
      <c r="P435">
        <v>136.72</v>
      </c>
      <c r="Q435" t="s">
        <v>53</v>
      </c>
      <c r="R435">
        <v>0.59967542436071752</v>
      </c>
      <c r="S435">
        <v>2024</v>
      </c>
      <c r="T435" t="s">
        <v>877</v>
      </c>
      <c r="U435">
        <v>4</v>
      </c>
      <c r="V435" t="s">
        <v>878</v>
      </c>
    </row>
    <row r="436" spans="1:22" x14ac:dyDescent="0.3">
      <c r="A436" t="s">
        <v>1084</v>
      </c>
      <c r="B436" s="1">
        <v>45412</v>
      </c>
      <c r="C436" t="s">
        <v>1085</v>
      </c>
      <c r="D436" t="s">
        <v>238</v>
      </c>
      <c r="E436" t="s">
        <v>61</v>
      </c>
      <c r="F436" t="s">
        <v>78</v>
      </c>
      <c r="G436" t="s">
        <v>104</v>
      </c>
      <c r="H436" t="s">
        <v>64</v>
      </c>
      <c r="I436" t="s">
        <v>65</v>
      </c>
      <c r="J436" t="s">
        <v>66</v>
      </c>
      <c r="K436">
        <v>4</v>
      </c>
      <c r="L436">
        <v>4716.25</v>
      </c>
      <c r="M436">
        <v>0.05</v>
      </c>
      <c r="N436">
        <v>17921.75</v>
      </c>
      <c r="O436">
        <v>11084.59</v>
      </c>
      <c r="P436">
        <v>6837.16</v>
      </c>
      <c r="Q436" t="s">
        <v>31</v>
      </c>
      <c r="R436">
        <v>0.38150069050176461</v>
      </c>
      <c r="S436">
        <v>2024</v>
      </c>
      <c r="T436" t="s">
        <v>877</v>
      </c>
      <c r="U436">
        <v>4</v>
      </c>
      <c r="V436" t="s">
        <v>878</v>
      </c>
    </row>
    <row r="437" spans="1:22" x14ac:dyDescent="0.3">
      <c r="A437" t="s">
        <v>1086</v>
      </c>
      <c r="B437" s="1">
        <v>45412</v>
      </c>
      <c r="C437" t="s">
        <v>908</v>
      </c>
      <c r="D437" t="s">
        <v>544</v>
      </c>
      <c r="E437" t="s">
        <v>61</v>
      </c>
      <c r="F437" t="s">
        <v>78</v>
      </c>
      <c r="G437" t="s">
        <v>79</v>
      </c>
      <c r="H437" t="s">
        <v>43</v>
      </c>
      <c r="I437" t="s">
        <v>51</v>
      </c>
      <c r="J437" t="s">
        <v>52</v>
      </c>
      <c r="K437">
        <v>2</v>
      </c>
      <c r="L437">
        <v>735.32</v>
      </c>
      <c r="M437">
        <v>0</v>
      </c>
      <c r="N437">
        <v>1470.64</v>
      </c>
      <c r="O437">
        <v>707.1</v>
      </c>
      <c r="P437">
        <v>763.54</v>
      </c>
      <c r="Q437" t="s">
        <v>113</v>
      </c>
      <c r="R437">
        <v>0.51918892454985577</v>
      </c>
      <c r="S437">
        <v>2024</v>
      </c>
      <c r="T437" t="s">
        <v>877</v>
      </c>
      <c r="U437">
        <v>4</v>
      </c>
      <c r="V437" t="s">
        <v>878</v>
      </c>
    </row>
    <row r="438" spans="1:22" x14ac:dyDescent="0.3">
      <c r="A438" t="s">
        <v>1087</v>
      </c>
      <c r="B438" s="1">
        <v>45412</v>
      </c>
      <c r="C438" t="s">
        <v>648</v>
      </c>
      <c r="D438" t="s">
        <v>1088</v>
      </c>
      <c r="E438" t="s">
        <v>61</v>
      </c>
      <c r="F438" t="s">
        <v>78</v>
      </c>
      <c r="G438" t="s">
        <v>83</v>
      </c>
      <c r="H438" t="s">
        <v>43</v>
      </c>
      <c r="I438" t="s">
        <v>51</v>
      </c>
      <c r="J438" t="s">
        <v>52</v>
      </c>
      <c r="K438">
        <v>2</v>
      </c>
      <c r="L438">
        <v>717.51</v>
      </c>
      <c r="M438">
        <v>0.1</v>
      </c>
      <c r="N438">
        <v>1291.52</v>
      </c>
      <c r="O438">
        <v>685.86</v>
      </c>
      <c r="P438">
        <v>605.66</v>
      </c>
      <c r="Q438" t="s">
        <v>31</v>
      </c>
      <c r="R438">
        <v>0.46895131318136768</v>
      </c>
      <c r="S438">
        <v>2024</v>
      </c>
      <c r="T438" t="s">
        <v>877</v>
      </c>
      <c r="U438">
        <v>4</v>
      </c>
      <c r="V438" t="s">
        <v>878</v>
      </c>
    </row>
    <row r="439" spans="1:22" x14ac:dyDescent="0.3">
      <c r="A439" t="s">
        <v>1089</v>
      </c>
      <c r="B439" s="1">
        <v>45412</v>
      </c>
      <c r="C439" t="s">
        <v>939</v>
      </c>
      <c r="D439" t="s">
        <v>609</v>
      </c>
      <c r="E439" t="s">
        <v>61</v>
      </c>
      <c r="F439" t="s">
        <v>62</v>
      </c>
      <c r="G439" t="s">
        <v>90</v>
      </c>
      <c r="H439" t="s">
        <v>28</v>
      </c>
      <c r="I439" t="s">
        <v>91</v>
      </c>
      <c r="J439" t="s">
        <v>126</v>
      </c>
      <c r="K439">
        <v>4</v>
      </c>
      <c r="L439">
        <v>2058.21</v>
      </c>
      <c r="M439">
        <v>0</v>
      </c>
      <c r="N439">
        <v>8232.84</v>
      </c>
      <c r="O439">
        <v>4863.93</v>
      </c>
      <c r="P439">
        <v>3368.91</v>
      </c>
      <c r="Q439" t="s">
        <v>31</v>
      </c>
      <c r="R439">
        <v>0.4092038713250834</v>
      </c>
      <c r="S439">
        <v>2024</v>
      </c>
      <c r="T439" t="s">
        <v>877</v>
      </c>
      <c r="U439">
        <v>4</v>
      </c>
      <c r="V439" t="s">
        <v>878</v>
      </c>
    </row>
    <row r="440" spans="1:22" x14ac:dyDescent="0.3">
      <c r="A440" t="s">
        <v>1090</v>
      </c>
      <c r="B440" s="1">
        <v>45413</v>
      </c>
      <c r="C440" t="s">
        <v>1091</v>
      </c>
      <c r="D440" t="s">
        <v>740</v>
      </c>
      <c r="E440" t="s">
        <v>41</v>
      </c>
      <c r="F440" t="s">
        <v>42</v>
      </c>
      <c r="G440" t="s">
        <v>42</v>
      </c>
      <c r="H440" t="s">
        <v>64</v>
      </c>
      <c r="I440" t="s">
        <v>65</v>
      </c>
      <c r="J440" t="s">
        <v>66</v>
      </c>
      <c r="K440">
        <v>6</v>
      </c>
      <c r="L440">
        <v>5027.3100000000004</v>
      </c>
      <c r="M440">
        <v>0.15</v>
      </c>
      <c r="N440">
        <v>25639.279999999999</v>
      </c>
      <c r="O440">
        <v>18441.580000000002</v>
      </c>
      <c r="P440">
        <v>7197.7</v>
      </c>
      <c r="Q440" t="s">
        <v>31</v>
      </c>
      <c r="R440">
        <v>0.28072941205837287</v>
      </c>
      <c r="S440">
        <v>2024</v>
      </c>
      <c r="T440" t="s">
        <v>1092</v>
      </c>
      <c r="U440">
        <v>5</v>
      </c>
      <c r="V440" t="s">
        <v>878</v>
      </c>
    </row>
    <row r="441" spans="1:22" x14ac:dyDescent="0.3">
      <c r="A441" t="s">
        <v>1093</v>
      </c>
      <c r="B441" s="1">
        <v>45413</v>
      </c>
      <c r="C441" t="s">
        <v>461</v>
      </c>
      <c r="D441" t="s">
        <v>630</v>
      </c>
      <c r="E441" t="s">
        <v>41</v>
      </c>
      <c r="F441" t="s">
        <v>42</v>
      </c>
      <c r="G441" t="s">
        <v>42</v>
      </c>
      <c r="H441" t="s">
        <v>84</v>
      </c>
      <c r="I441" t="s">
        <v>85</v>
      </c>
      <c r="J441" t="s">
        <v>145</v>
      </c>
      <c r="K441">
        <v>3</v>
      </c>
      <c r="L441">
        <v>3471.08</v>
      </c>
      <c r="M441">
        <v>0.15</v>
      </c>
      <c r="N441">
        <v>8851.25</v>
      </c>
      <c r="O441">
        <v>5923.77</v>
      </c>
      <c r="P441">
        <v>2927.48</v>
      </c>
      <c r="Q441" t="s">
        <v>113</v>
      </c>
      <c r="R441">
        <v>0.33074198559525492</v>
      </c>
      <c r="S441">
        <v>2024</v>
      </c>
      <c r="T441" t="s">
        <v>1092</v>
      </c>
      <c r="U441">
        <v>5</v>
      </c>
      <c r="V441" t="s">
        <v>878</v>
      </c>
    </row>
    <row r="442" spans="1:22" x14ac:dyDescent="0.3">
      <c r="A442" t="s">
        <v>1094</v>
      </c>
      <c r="B442" s="1">
        <v>45413</v>
      </c>
      <c r="C442" t="s">
        <v>1095</v>
      </c>
      <c r="D442" t="s">
        <v>1096</v>
      </c>
      <c r="E442" t="s">
        <v>61</v>
      </c>
      <c r="F442" t="s">
        <v>78</v>
      </c>
      <c r="G442" t="s">
        <v>83</v>
      </c>
      <c r="H442" t="s">
        <v>28</v>
      </c>
      <c r="I442" t="s">
        <v>73</v>
      </c>
      <c r="J442" t="s">
        <v>74</v>
      </c>
      <c r="K442">
        <v>2</v>
      </c>
      <c r="L442">
        <v>2543.4899999999998</v>
      </c>
      <c r="M442">
        <v>0.05</v>
      </c>
      <c r="N442">
        <v>4832.63</v>
      </c>
      <c r="O442">
        <v>2808.91</v>
      </c>
      <c r="P442">
        <v>2023.72</v>
      </c>
      <c r="Q442" t="s">
        <v>46</v>
      </c>
      <c r="R442">
        <v>0.4187616266918841</v>
      </c>
      <c r="S442">
        <v>2024</v>
      </c>
      <c r="T442" t="s">
        <v>1092</v>
      </c>
      <c r="U442">
        <v>5</v>
      </c>
      <c r="V442" t="s">
        <v>878</v>
      </c>
    </row>
    <row r="443" spans="1:22" x14ac:dyDescent="0.3">
      <c r="A443" t="s">
        <v>1097</v>
      </c>
      <c r="B443" s="1">
        <v>45414</v>
      </c>
      <c r="C443" t="s">
        <v>502</v>
      </c>
      <c r="D443" t="s">
        <v>1098</v>
      </c>
      <c r="E443" t="s">
        <v>61</v>
      </c>
      <c r="F443" t="s">
        <v>78</v>
      </c>
      <c r="G443" t="s">
        <v>79</v>
      </c>
      <c r="H443" t="s">
        <v>84</v>
      </c>
      <c r="I443" t="s">
        <v>138</v>
      </c>
      <c r="J443" t="s">
        <v>139</v>
      </c>
      <c r="K443">
        <v>2</v>
      </c>
      <c r="L443">
        <v>13020.33</v>
      </c>
      <c r="M443">
        <v>0.1</v>
      </c>
      <c r="N443">
        <v>23436.59</v>
      </c>
      <c r="O443">
        <v>18895.189999999999</v>
      </c>
      <c r="P443">
        <v>4541.3999999999996</v>
      </c>
      <c r="Q443" t="s">
        <v>53</v>
      </c>
      <c r="R443">
        <v>0.1937739235955401</v>
      </c>
      <c r="S443">
        <v>2024</v>
      </c>
      <c r="T443" t="s">
        <v>1092</v>
      </c>
      <c r="U443">
        <v>5</v>
      </c>
      <c r="V443" t="s">
        <v>878</v>
      </c>
    </row>
    <row r="444" spans="1:22" x14ac:dyDescent="0.3">
      <c r="A444" t="s">
        <v>1099</v>
      </c>
      <c r="B444" s="1">
        <v>45414</v>
      </c>
      <c r="C444" t="s">
        <v>1100</v>
      </c>
      <c r="D444" t="s">
        <v>773</v>
      </c>
      <c r="E444" t="s">
        <v>61</v>
      </c>
      <c r="F444" t="s">
        <v>62</v>
      </c>
      <c r="G444" t="s">
        <v>63</v>
      </c>
      <c r="H444" t="s">
        <v>84</v>
      </c>
      <c r="I444" t="s">
        <v>138</v>
      </c>
      <c r="J444" t="s">
        <v>220</v>
      </c>
      <c r="K444">
        <v>3</v>
      </c>
      <c r="L444">
        <v>7715.98</v>
      </c>
      <c r="M444">
        <v>0</v>
      </c>
      <c r="N444">
        <v>23147.94</v>
      </c>
      <c r="O444">
        <v>15242.55</v>
      </c>
      <c r="P444">
        <v>7905.39</v>
      </c>
      <c r="Q444" t="s">
        <v>113</v>
      </c>
      <c r="R444">
        <v>0.34151591891114291</v>
      </c>
      <c r="S444">
        <v>2024</v>
      </c>
      <c r="T444" t="s">
        <v>1092</v>
      </c>
      <c r="U444">
        <v>5</v>
      </c>
      <c r="V444" t="s">
        <v>878</v>
      </c>
    </row>
    <row r="445" spans="1:22" x14ac:dyDescent="0.3">
      <c r="A445" t="s">
        <v>1101</v>
      </c>
      <c r="B445" s="1">
        <v>45415</v>
      </c>
      <c r="C445" t="s">
        <v>297</v>
      </c>
      <c r="D445" t="s">
        <v>292</v>
      </c>
      <c r="E445" t="s">
        <v>61</v>
      </c>
      <c r="F445" t="s">
        <v>71</v>
      </c>
      <c r="G445" t="s">
        <v>317</v>
      </c>
      <c r="H445" t="s">
        <v>28</v>
      </c>
      <c r="I445" t="s">
        <v>73</v>
      </c>
      <c r="J445" t="s">
        <v>80</v>
      </c>
      <c r="K445">
        <v>2</v>
      </c>
      <c r="L445">
        <v>768.84</v>
      </c>
      <c r="M445">
        <v>0.05</v>
      </c>
      <c r="N445">
        <v>1460.8</v>
      </c>
      <c r="O445">
        <v>987.98</v>
      </c>
      <c r="P445">
        <v>472.82</v>
      </c>
      <c r="Q445" t="s">
        <v>31</v>
      </c>
      <c r="R445">
        <v>0.32367196056955089</v>
      </c>
      <c r="S445">
        <v>2024</v>
      </c>
      <c r="T445" t="s">
        <v>1092</v>
      </c>
      <c r="U445">
        <v>5</v>
      </c>
      <c r="V445" t="s">
        <v>878</v>
      </c>
    </row>
    <row r="446" spans="1:22" x14ac:dyDescent="0.3">
      <c r="A446" t="s">
        <v>1102</v>
      </c>
      <c r="B446" s="1">
        <v>45415</v>
      </c>
      <c r="C446" t="s">
        <v>272</v>
      </c>
      <c r="D446" t="s">
        <v>477</v>
      </c>
      <c r="E446" t="s">
        <v>120</v>
      </c>
      <c r="F446" t="s">
        <v>121</v>
      </c>
      <c r="G446" t="s">
        <v>122</v>
      </c>
      <c r="H446" t="s">
        <v>84</v>
      </c>
      <c r="I446" t="s">
        <v>85</v>
      </c>
      <c r="J446" t="s">
        <v>86</v>
      </c>
      <c r="K446">
        <v>4</v>
      </c>
      <c r="L446">
        <v>1827.62</v>
      </c>
      <c r="M446">
        <v>0.05</v>
      </c>
      <c r="N446">
        <v>6944.96</v>
      </c>
      <c r="O446">
        <v>4028.74</v>
      </c>
      <c r="P446">
        <v>2916.22</v>
      </c>
      <c r="Q446" t="s">
        <v>31</v>
      </c>
      <c r="R446">
        <v>0.41990450628945297</v>
      </c>
      <c r="S446">
        <v>2024</v>
      </c>
      <c r="T446" t="s">
        <v>1092</v>
      </c>
      <c r="U446">
        <v>5</v>
      </c>
      <c r="V446" t="s">
        <v>878</v>
      </c>
    </row>
    <row r="447" spans="1:22" x14ac:dyDescent="0.3">
      <c r="A447" t="s">
        <v>1103</v>
      </c>
      <c r="B447" s="1">
        <v>45416</v>
      </c>
      <c r="C447" t="s">
        <v>1104</v>
      </c>
      <c r="D447" t="s">
        <v>1020</v>
      </c>
      <c r="E447" t="s">
        <v>41</v>
      </c>
      <c r="F447" t="s">
        <v>42</v>
      </c>
      <c r="G447" t="s">
        <v>50</v>
      </c>
      <c r="H447" t="s">
        <v>64</v>
      </c>
      <c r="I447" t="s">
        <v>108</v>
      </c>
      <c r="J447" t="s">
        <v>155</v>
      </c>
      <c r="K447">
        <v>6</v>
      </c>
      <c r="L447">
        <v>8009.37</v>
      </c>
      <c r="M447">
        <v>0.05</v>
      </c>
      <c r="N447">
        <v>45653.41</v>
      </c>
      <c r="O447">
        <v>32099.279999999999</v>
      </c>
      <c r="P447">
        <v>13554.13</v>
      </c>
      <c r="Q447" t="s">
        <v>31</v>
      </c>
      <c r="R447">
        <v>0.29689195177315342</v>
      </c>
      <c r="S447">
        <v>2024</v>
      </c>
      <c r="T447" t="s">
        <v>1092</v>
      </c>
      <c r="U447">
        <v>5</v>
      </c>
      <c r="V447" t="s">
        <v>878</v>
      </c>
    </row>
    <row r="448" spans="1:22" x14ac:dyDescent="0.3">
      <c r="A448" t="s">
        <v>1105</v>
      </c>
      <c r="B448" s="1">
        <v>45416</v>
      </c>
      <c r="C448" t="s">
        <v>612</v>
      </c>
      <c r="D448" t="s">
        <v>1106</v>
      </c>
      <c r="E448" t="s">
        <v>41</v>
      </c>
      <c r="F448" t="s">
        <v>42</v>
      </c>
      <c r="G448" t="s">
        <v>50</v>
      </c>
      <c r="H448" t="s">
        <v>84</v>
      </c>
      <c r="I448" t="s">
        <v>138</v>
      </c>
      <c r="J448" t="s">
        <v>139</v>
      </c>
      <c r="K448">
        <v>3</v>
      </c>
      <c r="L448">
        <v>12243.93</v>
      </c>
      <c r="M448">
        <v>0.05</v>
      </c>
      <c r="N448">
        <v>34895.199999999997</v>
      </c>
      <c r="O448">
        <v>27479.42</v>
      </c>
      <c r="P448">
        <v>7415.78</v>
      </c>
      <c r="Q448" t="s">
        <v>53</v>
      </c>
      <c r="R448">
        <v>0.21251576148008899</v>
      </c>
      <c r="S448">
        <v>2024</v>
      </c>
      <c r="T448" t="s">
        <v>1092</v>
      </c>
      <c r="U448">
        <v>5</v>
      </c>
      <c r="V448" t="s">
        <v>878</v>
      </c>
    </row>
    <row r="449" spans="1:22" x14ac:dyDescent="0.3">
      <c r="A449" t="s">
        <v>1107</v>
      </c>
      <c r="B449" s="1">
        <v>45416</v>
      </c>
      <c r="C449" t="s">
        <v>1052</v>
      </c>
      <c r="D449" t="s">
        <v>1108</v>
      </c>
      <c r="E449" t="s">
        <v>25</v>
      </c>
      <c r="F449" t="s">
        <v>26</v>
      </c>
      <c r="G449" t="s">
        <v>27</v>
      </c>
      <c r="H449" t="s">
        <v>28</v>
      </c>
      <c r="I449" t="s">
        <v>29</v>
      </c>
      <c r="J449" t="s">
        <v>57</v>
      </c>
      <c r="K449">
        <v>5</v>
      </c>
      <c r="L449">
        <v>16572.560000000001</v>
      </c>
      <c r="M449">
        <v>0.1</v>
      </c>
      <c r="N449">
        <v>74576.52</v>
      </c>
      <c r="O449">
        <v>62965.35</v>
      </c>
      <c r="P449">
        <v>11611.17</v>
      </c>
      <c r="Q449" t="s">
        <v>53</v>
      </c>
      <c r="R449">
        <v>0.1556947146367248</v>
      </c>
      <c r="S449">
        <v>2024</v>
      </c>
      <c r="T449" t="s">
        <v>1092</v>
      </c>
      <c r="U449">
        <v>5</v>
      </c>
      <c r="V449" t="s">
        <v>878</v>
      </c>
    </row>
    <row r="450" spans="1:22" x14ac:dyDescent="0.3">
      <c r="A450" t="s">
        <v>1109</v>
      </c>
      <c r="B450" s="1">
        <v>45416</v>
      </c>
      <c r="C450" t="s">
        <v>656</v>
      </c>
      <c r="D450" t="s">
        <v>644</v>
      </c>
      <c r="E450" t="s">
        <v>41</v>
      </c>
      <c r="F450" t="s">
        <v>42</v>
      </c>
      <c r="G450" t="s">
        <v>42</v>
      </c>
      <c r="H450" t="s">
        <v>28</v>
      </c>
      <c r="I450" t="s">
        <v>91</v>
      </c>
      <c r="J450" t="s">
        <v>92</v>
      </c>
      <c r="K450">
        <v>2</v>
      </c>
      <c r="L450">
        <v>3149.82</v>
      </c>
      <c r="M450">
        <v>0.1</v>
      </c>
      <c r="N450">
        <v>5669.68</v>
      </c>
      <c r="O450">
        <v>3374.04</v>
      </c>
      <c r="P450">
        <v>2295.64</v>
      </c>
      <c r="Q450" t="s">
        <v>67</v>
      </c>
      <c r="R450">
        <v>0.40489763090685887</v>
      </c>
      <c r="S450">
        <v>2024</v>
      </c>
      <c r="T450" t="s">
        <v>1092</v>
      </c>
      <c r="U450">
        <v>5</v>
      </c>
      <c r="V450" t="s">
        <v>878</v>
      </c>
    </row>
    <row r="451" spans="1:22" x14ac:dyDescent="0.3">
      <c r="A451" t="s">
        <v>1110</v>
      </c>
      <c r="B451" s="1">
        <v>45417</v>
      </c>
      <c r="C451" t="s">
        <v>387</v>
      </c>
      <c r="D451" t="s">
        <v>283</v>
      </c>
      <c r="E451" t="s">
        <v>61</v>
      </c>
      <c r="F451" t="s">
        <v>78</v>
      </c>
      <c r="G451" t="s">
        <v>104</v>
      </c>
      <c r="H451" t="s">
        <v>28</v>
      </c>
      <c r="I451" t="s">
        <v>91</v>
      </c>
      <c r="J451" t="s">
        <v>92</v>
      </c>
      <c r="K451">
        <v>4</v>
      </c>
      <c r="L451">
        <v>2907.84</v>
      </c>
      <c r="M451">
        <v>0.15</v>
      </c>
      <c r="N451">
        <v>9886.66</v>
      </c>
      <c r="O451">
        <v>6129.52</v>
      </c>
      <c r="P451">
        <v>3757.14</v>
      </c>
      <c r="Q451" t="s">
        <v>31</v>
      </c>
      <c r="R451">
        <v>0.38002115982546181</v>
      </c>
      <c r="S451">
        <v>2024</v>
      </c>
      <c r="T451" t="s">
        <v>1092</v>
      </c>
      <c r="U451">
        <v>5</v>
      </c>
      <c r="V451" t="s">
        <v>878</v>
      </c>
    </row>
    <row r="452" spans="1:22" x14ac:dyDescent="0.3">
      <c r="A452" t="s">
        <v>1111</v>
      </c>
      <c r="B452" s="1">
        <v>45417</v>
      </c>
      <c r="C452" t="s">
        <v>309</v>
      </c>
      <c r="D452" t="s">
        <v>451</v>
      </c>
      <c r="E452" t="s">
        <v>61</v>
      </c>
      <c r="F452" t="s">
        <v>71</v>
      </c>
      <c r="G452" t="s">
        <v>201</v>
      </c>
      <c r="H452" t="s">
        <v>28</v>
      </c>
      <c r="I452" t="s">
        <v>29</v>
      </c>
      <c r="J452" t="s">
        <v>30</v>
      </c>
      <c r="K452">
        <v>3</v>
      </c>
      <c r="L452">
        <v>57868.79</v>
      </c>
      <c r="M452">
        <v>0</v>
      </c>
      <c r="N452">
        <v>173606.37</v>
      </c>
      <c r="O452">
        <v>155092.73000000001</v>
      </c>
      <c r="P452">
        <v>18513.64</v>
      </c>
      <c r="Q452" t="s">
        <v>31</v>
      </c>
      <c r="R452">
        <v>0.10664147865081219</v>
      </c>
      <c r="S452">
        <v>2024</v>
      </c>
      <c r="T452" t="s">
        <v>1092</v>
      </c>
      <c r="U452">
        <v>5</v>
      </c>
      <c r="V452" t="s">
        <v>878</v>
      </c>
    </row>
    <row r="453" spans="1:22" x14ac:dyDescent="0.3">
      <c r="A453" t="s">
        <v>1112</v>
      </c>
      <c r="B453" s="1">
        <v>45418</v>
      </c>
      <c r="C453" t="s">
        <v>1113</v>
      </c>
      <c r="D453" t="s">
        <v>587</v>
      </c>
      <c r="E453" t="s">
        <v>61</v>
      </c>
      <c r="F453" t="s">
        <v>62</v>
      </c>
      <c r="G453" t="s">
        <v>90</v>
      </c>
      <c r="H453" t="s">
        <v>43</v>
      </c>
      <c r="I453" t="s">
        <v>51</v>
      </c>
      <c r="J453" t="s">
        <v>52</v>
      </c>
      <c r="K453">
        <v>3</v>
      </c>
      <c r="L453">
        <v>671.8</v>
      </c>
      <c r="M453">
        <v>0.15</v>
      </c>
      <c r="N453">
        <v>1713.09</v>
      </c>
      <c r="O453">
        <v>933.38</v>
      </c>
      <c r="P453">
        <v>779.71</v>
      </c>
      <c r="Q453" t="s">
        <v>46</v>
      </c>
      <c r="R453">
        <v>0.45514829927207567</v>
      </c>
      <c r="S453">
        <v>2024</v>
      </c>
      <c r="T453" t="s">
        <v>1092</v>
      </c>
      <c r="U453">
        <v>5</v>
      </c>
      <c r="V453" t="s">
        <v>878</v>
      </c>
    </row>
    <row r="454" spans="1:22" x14ac:dyDescent="0.3">
      <c r="A454" t="s">
        <v>1114</v>
      </c>
      <c r="B454" s="1">
        <v>45419</v>
      </c>
      <c r="C454" t="s">
        <v>1115</v>
      </c>
      <c r="D454" t="s">
        <v>932</v>
      </c>
      <c r="E454" t="s">
        <v>41</v>
      </c>
      <c r="F454" t="s">
        <v>42</v>
      </c>
      <c r="G454" t="s">
        <v>42</v>
      </c>
      <c r="H454" t="s">
        <v>84</v>
      </c>
      <c r="I454" t="s">
        <v>85</v>
      </c>
      <c r="J454" t="s">
        <v>145</v>
      </c>
      <c r="K454">
        <v>2</v>
      </c>
      <c r="L454">
        <v>3440.56</v>
      </c>
      <c r="M454">
        <v>0.2</v>
      </c>
      <c r="N454">
        <v>5504.9</v>
      </c>
      <c r="O454">
        <v>3853.38</v>
      </c>
      <c r="P454">
        <v>1651.52</v>
      </c>
      <c r="Q454" t="s">
        <v>46</v>
      </c>
      <c r="R454">
        <v>0.30000908281712663</v>
      </c>
      <c r="S454">
        <v>2024</v>
      </c>
      <c r="T454" t="s">
        <v>1092</v>
      </c>
      <c r="U454">
        <v>5</v>
      </c>
      <c r="V454" t="s">
        <v>878</v>
      </c>
    </row>
    <row r="455" spans="1:22" x14ac:dyDescent="0.3">
      <c r="A455" t="s">
        <v>1116</v>
      </c>
      <c r="B455" s="1">
        <v>45420</v>
      </c>
      <c r="C455" t="s">
        <v>1117</v>
      </c>
      <c r="D455" t="s">
        <v>1118</v>
      </c>
      <c r="E455" t="s">
        <v>41</v>
      </c>
      <c r="F455" t="s">
        <v>42</v>
      </c>
      <c r="G455" t="s">
        <v>42</v>
      </c>
      <c r="H455" t="s">
        <v>64</v>
      </c>
      <c r="I455" t="s">
        <v>65</v>
      </c>
      <c r="J455" t="s">
        <v>232</v>
      </c>
      <c r="K455">
        <v>2</v>
      </c>
      <c r="L455">
        <v>3817.91</v>
      </c>
      <c r="M455">
        <v>0.05</v>
      </c>
      <c r="N455">
        <v>7254.03</v>
      </c>
      <c r="O455">
        <v>4866.93</v>
      </c>
      <c r="P455">
        <v>2387.1</v>
      </c>
      <c r="Q455" t="s">
        <v>113</v>
      </c>
      <c r="R455">
        <v>0.32907225363005121</v>
      </c>
      <c r="S455">
        <v>2024</v>
      </c>
      <c r="T455" t="s">
        <v>1092</v>
      </c>
      <c r="U455">
        <v>5</v>
      </c>
      <c r="V455" t="s">
        <v>878</v>
      </c>
    </row>
    <row r="456" spans="1:22" x14ac:dyDescent="0.3">
      <c r="A456" t="s">
        <v>1119</v>
      </c>
      <c r="B456" s="1">
        <v>45420</v>
      </c>
      <c r="C456" t="s">
        <v>1120</v>
      </c>
      <c r="D456" t="s">
        <v>1121</v>
      </c>
      <c r="E456" t="s">
        <v>61</v>
      </c>
      <c r="F456" t="s">
        <v>71</v>
      </c>
      <c r="G456" t="s">
        <v>72</v>
      </c>
      <c r="H456" t="s">
        <v>28</v>
      </c>
      <c r="I456" t="s">
        <v>91</v>
      </c>
      <c r="J456" t="s">
        <v>92</v>
      </c>
      <c r="K456">
        <v>1</v>
      </c>
      <c r="L456">
        <v>3160.92</v>
      </c>
      <c r="M456">
        <v>0.2</v>
      </c>
      <c r="N456">
        <v>2528.7399999999998</v>
      </c>
      <c r="O456">
        <v>1597.56</v>
      </c>
      <c r="P456">
        <v>931.18</v>
      </c>
      <c r="Q456" t="s">
        <v>53</v>
      </c>
      <c r="R456">
        <v>0.36823872758765241</v>
      </c>
      <c r="S456">
        <v>2024</v>
      </c>
      <c r="T456" t="s">
        <v>1092</v>
      </c>
      <c r="U456">
        <v>5</v>
      </c>
      <c r="V456" t="s">
        <v>878</v>
      </c>
    </row>
    <row r="457" spans="1:22" x14ac:dyDescent="0.3">
      <c r="A457" t="s">
        <v>1122</v>
      </c>
      <c r="B457" s="1">
        <v>45420</v>
      </c>
      <c r="C457" t="s">
        <v>872</v>
      </c>
      <c r="D457" t="s">
        <v>527</v>
      </c>
      <c r="E457" t="s">
        <v>41</v>
      </c>
      <c r="F457" t="s">
        <v>42</v>
      </c>
      <c r="G457" t="s">
        <v>42</v>
      </c>
      <c r="H457" t="s">
        <v>84</v>
      </c>
      <c r="I457" t="s">
        <v>85</v>
      </c>
      <c r="J457" t="s">
        <v>145</v>
      </c>
      <c r="K457">
        <v>2</v>
      </c>
      <c r="L457">
        <v>3428.94</v>
      </c>
      <c r="M457">
        <v>0.1</v>
      </c>
      <c r="N457">
        <v>6172.09</v>
      </c>
      <c r="O457">
        <v>4006.62</v>
      </c>
      <c r="P457">
        <v>2165.4699999999998</v>
      </c>
      <c r="Q457" t="s">
        <v>31</v>
      </c>
      <c r="R457">
        <v>0.35084874005401728</v>
      </c>
      <c r="S457">
        <v>2024</v>
      </c>
      <c r="T457" t="s">
        <v>1092</v>
      </c>
      <c r="U457">
        <v>5</v>
      </c>
      <c r="V457" t="s">
        <v>878</v>
      </c>
    </row>
    <row r="458" spans="1:22" x14ac:dyDescent="0.3">
      <c r="A458" t="s">
        <v>1123</v>
      </c>
      <c r="B458" s="1">
        <v>45420</v>
      </c>
      <c r="C458" t="s">
        <v>1124</v>
      </c>
      <c r="D458" t="s">
        <v>688</v>
      </c>
      <c r="E458" t="s">
        <v>41</v>
      </c>
      <c r="F458" t="s">
        <v>42</v>
      </c>
      <c r="G458" t="s">
        <v>42</v>
      </c>
      <c r="H458" t="s">
        <v>43</v>
      </c>
      <c r="I458" t="s">
        <v>44</v>
      </c>
      <c r="J458" t="s">
        <v>248</v>
      </c>
      <c r="K458">
        <v>2</v>
      </c>
      <c r="L458">
        <v>299.02999999999997</v>
      </c>
      <c r="M458">
        <v>0.1</v>
      </c>
      <c r="N458">
        <v>538.25</v>
      </c>
      <c r="O458">
        <v>254.93</v>
      </c>
      <c r="P458">
        <v>283.32</v>
      </c>
      <c r="Q458" t="s">
        <v>67</v>
      </c>
      <c r="R458">
        <v>0.52637250348351139</v>
      </c>
      <c r="S458">
        <v>2024</v>
      </c>
      <c r="T458" t="s">
        <v>1092</v>
      </c>
      <c r="U458">
        <v>5</v>
      </c>
      <c r="V458" t="s">
        <v>878</v>
      </c>
    </row>
    <row r="459" spans="1:22" x14ac:dyDescent="0.3">
      <c r="A459" t="s">
        <v>1125</v>
      </c>
      <c r="B459" s="1">
        <v>45421</v>
      </c>
      <c r="C459" t="s">
        <v>1126</v>
      </c>
      <c r="D459" t="s">
        <v>444</v>
      </c>
      <c r="E459" t="s">
        <v>61</v>
      </c>
      <c r="F459" t="s">
        <v>78</v>
      </c>
      <c r="G459" t="s">
        <v>216</v>
      </c>
      <c r="H459" t="s">
        <v>64</v>
      </c>
      <c r="I459" t="s">
        <v>65</v>
      </c>
      <c r="J459" t="s">
        <v>232</v>
      </c>
      <c r="K459">
        <v>1</v>
      </c>
      <c r="L459">
        <v>4143.32</v>
      </c>
      <c r="M459">
        <v>0.05</v>
      </c>
      <c r="N459">
        <v>3936.15</v>
      </c>
      <c r="O459">
        <v>2687.6</v>
      </c>
      <c r="P459">
        <v>1248.55</v>
      </c>
      <c r="Q459" t="s">
        <v>46</v>
      </c>
      <c r="R459">
        <v>0.3172008180582549</v>
      </c>
      <c r="S459">
        <v>2024</v>
      </c>
      <c r="T459" t="s">
        <v>1092</v>
      </c>
      <c r="U459">
        <v>5</v>
      </c>
      <c r="V459" t="s">
        <v>878</v>
      </c>
    </row>
    <row r="460" spans="1:22" x14ac:dyDescent="0.3">
      <c r="A460" t="s">
        <v>1127</v>
      </c>
      <c r="B460" s="1">
        <v>45421</v>
      </c>
      <c r="C460" t="s">
        <v>1128</v>
      </c>
      <c r="D460" t="s">
        <v>949</v>
      </c>
      <c r="E460" t="s">
        <v>61</v>
      </c>
      <c r="F460" t="s">
        <v>62</v>
      </c>
      <c r="G460" t="s">
        <v>134</v>
      </c>
      <c r="H460" t="s">
        <v>28</v>
      </c>
      <c r="I460" t="s">
        <v>29</v>
      </c>
      <c r="J460" t="s">
        <v>57</v>
      </c>
      <c r="K460">
        <v>6</v>
      </c>
      <c r="L460">
        <v>15287.12</v>
      </c>
      <c r="M460">
        <v>0.05</v>
      </c>
      <c r="N460">
        <v>87136.58</v>
      </c>
      <c r="O460">
        <v>71134.77</v>
      </c>
      <c r="P460">
        <v>16001.81</v>
      </c>
      <c r="Q460" t="s">
        <v>46</v>
      </c>
      <c r="R460">
        <v>0.18364055600988699</v>
      </c>
      <c r="S460">
        <v>2024</v>
      </c>
      <c r="T460" t="s">
        <v>1092</v>
      </c>
      <c r="U460">
        <v>5</v>
      </c>
      <c r="V460" t="s">
        <v>878</v>
      </c>
    </row>
    <row r="461" spans="1:22" x14ac:dyDescent="0.3">
      <c r="A461" t="s">
        <v>1129</v>
      </c>
      <c r="B461" s="1">
        <v>45421</v>
      </c>
      <c r="C461" t="s">
        <v>124</v>
      </c>
      <c r="D461" t="s">
        <v>704</v>
      </c>
      <c r="E461" t="s">
        <v>61</v>
      </c>
      <c r="F461" t="s">
        <v>78</v>
      </c>
      <c r="G461" t="s">
        <v>83</v>
      </c>
      <c r="H461" t="s">
        <v>64</v>
      </c>
      <c r="I461" t="s">
        <v>65</v>
      </c>
      <c r="J461" t="s">
        <v>232</v>
      </c>
      <c r="K461">
        <v>3</v>
      </c>
      <c r="L461">
        <v>3787.44</v>
      </c>
      <c r="M461">
        <v>0.05</v>
      </c>
      <c r="N461">
        <v>10794.2</v>
      </c>
      <c r="O461">
        <v>7420.52</v>
      </c>
      <c r="P461">
        <v>3373.68</v>
      </c>
      <c r="Q461" t="s">
        <v>67</v>
      </c>
      <c r="R461">
        <v>0.31254562635489419</v>
      </c>
      <c r="S461">
        <v>2024</v>
      </c>
      <c r="T461" t="s">
        <v>1092</v>
      </c>
      <c r="U461">
        <v>5</v>
      </c>
      <c r="V461" t="s">
        <v>878</v>
      </c>
    </row>
    <row r="462" spans="1:22" x14ac:dyDescent="0.3">
      <c r="A462" t="s">
        <v>1130</v>
      </c>
      <c r="B462" s="1">
        <v>45421</v>
      </c>
      <c r="C462" t="s">
        <v>1131</v>
      </c>
      <c r="D462" t="s">
        <v>925</v>
      </c>
      <c r="E462" t="s">
        <v>61</v>
      </c>
      <c r="F462" t="s">
        <v>71</v>
      </c>
      <c r="G462" t="s">
        <v>317</v>
      </c>
      <c r="H462" t="s">
        <v>28</v>
      </c>
      <c r="I462" t="s">
        <v>73</v>
      </c>
      <c r="J462" t="s">
        <v>80</v>
      </c>
      <c r="K462">
        <v>2</v>
      </c>
      <c r="L462">
        <v>834.72</v>
      </c>
      <c r="M462">
        <v>0</v>
      </c>
      <c r="N462">
        <v>1669.44</v>
      </c>
      <c r="O462">
        <v>1040.07</v>
      </c>
      <c r="P462">
        <v>629.37</v>
      </c>
      <c r="Q462" t="s">
        <v>53</v>
      </c>
      <c r="R462">
        <v>0.3769946808510638</v>
      </c>
      <c r="S462">
        <v>2024</v>
      </c>
      <c r="T462" t="s">
        <v>1092</v>
      </c>
      <c r="U462">
        <v>5</v>
      </c>
      <c r="V462" t="s">
        <v>878</v>
      </c>
    </row>
    <row r="463" spans="1:22" x14ac:dyDescent="0.3">
      <c r="A463" t="s">
        <v>1132</v>
      </c>
      <c r="B463" s="1">
        <v>45422</v>
      </c>
      <c r="C463" t="s">
        <v>1133</v>
      </c>
      <c r="D463" t="s">
        <v>516</v>
      </c>
      <c r="E463" t="s">
        <v>120</v>
      </c>
      <c r="F463" t="s">
        <v>121</v>
      </c>
      <c r="G463" t="s">
        <v>122</v>
      </c>
      <c r="H463" t="s">
        <v>28</v>
      </c>
      <c r="I463" t="s">
        <v>29</v>
      </c>
      <c r="J463" t="s">
        <v>30</v>
      </c>
      <c r="K463">
        <v>3</v>
      </c>
      <c r="L463">
        <v>59965.120000000003</v>
      </c>
      <c r="M463">
        <v>0.15</v>
      </c>
      <c r="N463">
        <v>152911.06</v>
      </c>
      <c r="O463">
        <v>156145.85999999999</v>
      </c>
      <c r="P463">
        <v>-3234.8</v>
      </c>
      <c r="Q463" t="s">
        <v>53</v>
      </c>
      <c r="R463">
        <v>-2.1154781086469478E-2</v>
      </c>
      <c r="S463">
        <v>2024</v>
      </c>
      <c r="T463" t="s">
        <v>1092</v>
      </c>
      <c r="U463">
        <v>5</v>
      </c>
      <c r="V463" t="s">
        <v>878</v>
      </c>
    </row>
    <row r="464" spans="1:22" x14ac:dyDescent="0.3">
      <c r="A464" t="s">
        <v>1134</v>
      </c>
      <c r="B464" s="1">
        <v>45423</v>
      </c>
      <c r="C464" t="s">
        <v>1135</v>
      </c>
      <c r="D464" t="s">
        <v>1136</v>
      </c>
      <c r="E464" t="s">
        <v>61</v>
      </c>
      <c r="F464" t="s">
        <v>78</v>
      </c>
      <c r="G464" t="s">
        <v>79</v>
      </c>
      <c r="H464" t="s">
        <v>28</v>
      </c>
      <c r="I464" t="s">
        <v>73</v>
      </c>
      <c r="J464" t="s">
        <v>74</v>
      </c>
      <c r="K464">
        <v>4</v>
      </c>
      <c r="L464">
        <v>2595.4499999999998</v>
      </c>
      <c r="M464">
        <v>0.15</v>
      </c>
      <c r="N464">
        <v>8824.5300000000007</v>
      </c>
      <c r="O464">
        <v>5738.55</v>
      </c>
      <c r="P464">
        <v>3085.98</v>
      </c>
      <c r="Q464" t="s">
        <v>31</v>
      </c>
      <c r="R464">
        <v>0.34970474348208908</v>
      </c>
      <c r="S464">
        <v>2024</v>
      </c>
      <c r="T464" t="s">
        <v>1092</v>
      </c>
      <c r="U464">
        <v>5</v>
      </c>
      <c r="V464" t="s">
        <v>878</v>
      </c>
    </row>
    <row r="465" spans="1:22" x14ac:dyDescent="0.3">
      <c r="A465" t="s">
        <v>1137</v>
      </c>
      <c r="B465" s="1">
        <v>45423</v>
      </c>
      <c r="C465" t="s">
        <v>951</v>
      </c>
      <c r="D465" t="s">
        <v>1138</v>
      </c>
      <c r="E465" t="s">
        <v>61</v>
      </c>
      <c r="F465" t="s">
        <v>62</v>
      </c>
      <c r="G465" t="s">
        <v>90</v>
      </c>
      <c r="H465" t="s">
        <v>64</v>
      </c>
      <c r="I465" t="s">
        <v>108</v>
      </c>
      <c r="J465" t="s">
        <v>155</v>
      </c>
      <c r="K465">
        <v>1</v>
      </c>
      <c r="L465">
        <v>7991.88</v>
      </c>
      <c r="M465">
        <v>0.05</v>
      </c>
      <c r="N465">
        <v>7592.29</v>
      </c>
      <c r="O465">
        <v>5462.74</v>
      </c>
      <c r="P465">
        <v>2129.5500000000002</v>
      </c>
      <c r="Q465" t="s">
        <v>46</v>
      </c>
      <c r="R465">
        <v>0.2804884955658965</v>
      </c>
      <c r="S465">
        <v>2024</v>
      </c>
      <c r="T465" t="s">
        <v>1092</v>
      </c>
      <c r="U465">
        <v>5</v>
      </c>
      <c r="V465" t="s">
        <v>878</v>
      </c>
    </row>
    <row r="466" spans="1:22" x14ac:dyDescent="0.3">
      <c r="A466" t="s">
        <v>1139</v>
      </c>
      <c r="B466" s="1">
        <v>45423</v>
      </c>
      <c r="C466" t="s">
        <v>428</v>
      </c>
      <c r="D466" t="s">
        <v>451</v>
      </c>
      <c r="E466" t="s">
        <v>41</v>
      </c>
      <c r="F466" t="s">
        <v>42</v>
      </c>
      <c r="G466" t="s">
        <v>50</v>
      </c>
      <c r="H466" t="s">
        <v>84</v>
      </c>
      <c r="I466" t="s">
        <v>85</v>
      </c>
      <c r="J466" t="s">
        <v>86</v>
      </c>
      <c r="K466">
        <v>2</v>
      </c>
      <c r="L466">
        <v>1792.81</v>
      </c>
      <c r="M466">
        <v>0.05</v>
      </c>
      <c r="N466">
        <v>3406.34</v>
      </c>
      <c r="O466">
        <v>1906.63</v>
      </c>
      <c r="P466">
        <v>1499.71</v>
      </c>
      <c r="Q466" t="s">
        <v>53</v>
      </c>
      <c r="R466">
        <v>0.44027020203502881</v>
      </c>
      <c r="S466">
        <v>2024</v>
      </c>
      <c r="T466" t="s">
        <v>1092</v>
      </c>
      <c r="U466">
        <v>5</v>
      </c>
      <c r="V466" t="s">
        <v>878</v>
      </c>
    </row>
    <row r="467" spans="1:22" x14ac:dyDescent="0.3">
      <c r="A467" t="s">
        <v>1140</v>
      </c>
      <c r="B467" s="1">
        <v>45423</v>
      </c>
      <c r="C467" t="s">
        <v>549</v>
      </c>
      <c r="D467" t="s">
        <v>806</v>
      </c>
      <c r="E467" t="s">
        <v>61</v>
      </c>
      <c r="F467" t="s">
        <v>78</v>
      </c>
      <c r="G467" t="s">
        <v>104</v>
      </c>
      <c r="H467" t="s">
        <v>28</v>
      </c>
      <c r="I467" t="s">
        <v>91</v>
      </c>
      <c r="J467" t="s">
        <v>126</v>
      </c>
      <c r="K467">
        <v>1</v>
      </c>
      <c r="L467">
        <v>1996.81</v>
      </c>
      <c r="M467">
        <v>0</v>
      </c>
      <c r="N467">
        <v>1996.81</v>
      </c>
      <c r="O467">
        <v>1124.57</v>
      </c>
      <c r="P467">
        <v>872.24</v>
      </c>
      <c r="Q467" t="s">
        <v>67</v>
      </c>
      <c r="R467">
        <v>0.43681672267266292</v>
      </c>
      <c r="S467">
        <v>2024</v>
      </c>
      <c r="T467" t="s">
        <v>1092</v>
      </c>
      <c r="U467">
        <v>5</v>
      </c>
      <c r="V467" t="s">
        <v>878</v>
      </c>
    </row>
    <row r="468" spans="1:22" x14ac:dyDescent="0.3">
      <c r="A468" t="s">
        <v>1141</v>
      </c>
      <c r="B468" s="1">
        <v>45423</v>
      </c>
      <c r="C468" t="s">
        <v>730</v>
      </c>
      <c r="D468" t="s">
        <v>670</v>
      </c>
      <c r="E468" t="s">
        <v>25</v>
      </c>
      <c r="F468" t="s">
        <v>26</v>
      </c>
      <c r="G468" t="s">
        <v>37</v>
      </c>
      <c r="H468" t="s">
        <v>28</v>
      </c>
      <c r="I468" t="s">
        <v>91</v>
      </c>
      <c r="J468" t="s">
        <v>92</v>
      </c>
      <c r="K468">
        <v>1</v>
      </c>
      <c r="L468">
        <v>3104.58</v>
      </c>
      <c r="M468">
        <v>0.2</v>
      </c>
      <c r="N468">
        <v>2483.66</v>
      </c>
      <c r="O468">
        <v>1656.33</v>
      </c>
      <c r="P468">
        <v>827.33</v>
      </c>
      <c r="Q468" t="s">
        <v>46</v>
      </c>
      <c r="R468">
        <v>0.33310920174258962</v>
      </c>
      <c r="S468">
        <v>2024</v>
      </c>
      <c r="T468" t="s">
        <v>1092</v>
      </c>
      <c r="U468">
        <v>5</v>
      </c>
      <c r="V468" t="s">
        <v>878</v>
      </c>
    </row>
    <row r="469" spans="1:22" x14ac:dyDescent="0.3">
      <c r="A469" t="s">
        <v>1142</v>
      </c>
      <c r="B469" s="1">
        <v>45423</v>
      </c>
      <c r="C469" t="s">
        <v>1143</v>
      </c>
      <c r="D469" t="s">
        <v>215</v>
      </c>
      <c r="E469" t="s">
        <v>61</v>
      </c>
      <c r="F469" t="s">
        <v>78</v>
      </c>
      <c r="G469" t="s">
        <v>216</v>
      </c>
      <c r="H469" t="s">
        <v>84</v>
      </c>
      <c r="I469" t="s">
        <v>85</v>
      </c>
      <c r="J469" t="s">
        <v>145</v>
      </c>
      <c r="K469">
        <v>3</v>
      </c>
      <c r="L469">
        <v>3286.9</v>
      </c>
      <c r="M469">
        <v>0</v>
      </c>
      <c r="N469">
        <v>9860.7000000000007</v>
      </c>
      <c r="O469">
        <v>5724.76</v>
      </c>
      <c r="P469">
        <v>4135.9399999999996</v>
      </c>
      <c r="Q469" t="s">
        <v>31</v>
      </c>
      <c r="R469">
        <v>0.41943675398298291</v>
      </c>
      <c r="S469">
        <v>2024</v>
      </c>
      <c r="T469" t="s">
        <v>1092</v>
      </c>
      <c r="U469">
        <v>5</v>
      </c>
      <c r="V469" t="s">
        <v>878</v>
      </c>
    </row>
    <row r="470" spans="1:22" x14ac:dyDescent="0.3">
      <c r="A470" t="s">
        <v>1144</v>
      </c>
      <c r="B470" s="1">
        <v>45423</v>
      </c>
      <c r="C470" t="s">
        <v>1145</v>
      </c>
      <c r="D470" t="s">
        <v>270</v>
      </c>
      <c r="E470" t="s">
        <v>120</v>
      </c>
      <c r="F470" t="s">
        <v>121</v>
      </c>
      <c r="G470" t="s">
        <v>130</v>
      </c>
      <c r="H470" t="s">
        <v>28</v>
      </c>
      <c r="I470" t="s">
        <v>91</v>
      </c>
      <c r="J470" t="s">
        <v>92</v>
      </c>
      <c r="K470">
        <v>3</v>
      </c>
      <c r="L470">
        <v>3010.62</v>
      </c>
      <c r="M470">
        <v>0.1</v>
      </c>
      <c r="N470">
        <v>8128.67</v>
      </c>
      <c r="O470">
        <v>4567.59</v>
      </c>
      <c r="P470">
        <v>3561.08</v>
      </c>
      <c r="Q470" t="s">
        <v>31</v>
      </c>
      <c r="R470">
        <v>0.43808888785004191</v>
      </c>
      <c r="S470">
        <v>2024</v>
      </c>
      <c r="T470" t="s">
        <v>1092</v>
      </c>
      <c r="U470">
        <v>5</v>
      </c>
      <c r="V470" t="s">
        <v>878</v>
      </c>
    </row>
    <row r="471" spans="1:22" x14ac:dyDescent="0.3">
      <c r="A471" t="s">
        <v>1146</v>
      </c>
      <c r="B471" s="1">
        <v>45423</v>
      </c>
      <c r="C471" t="s">
        <v>1147</v>
      </c>
      <c r="D471" t="s">
        <v>1148</v>
      </c>
      <c r="E471" t="s">
        <v>61</v>
      </c>
      <c r="F471" t="s">
        <v>62</v>
      </c>
      <c r="G471" t="s">
        <v>228</v>
      </c>
      <c r="H471" t="s">
        <v>43</v>
      </c>
      <c r="I471" t="s">
        <v>44</v>
      </c>
      <c r="J471" t="s">
        <v>45</v>
      </c>
      <c r="K471">
        <v>3</v>
      </c>
      <c r="L471">
        <v>251.76</v>
      </c>
      <c r="M471">
        <v>0.05</v>
      </c>
      <c r="N471">
        <v>717.52</v>
      </c>
      <c r="O471">
        <v>284.23</v>
      </c>
      <c r="P471">
        <v>433.29</v>
      </c>
      <c r="Q471" t="s">
        <v>31</v>
      </c>
      <c r="R471">
        <v>0.60387166908239498</v>
      </c>
      <c r="S471">
        <v>2024</v>
      </c>
      <c r="T471" t="s">
        <v>1092</v>
      </c>
      <c r="U471">
        <v>5</v>
      </c>
      <c r="V471" t="s">
        <v>878</v>
      </c>
    </row>
    <row r="472" spans="1:22" x14ac:dyDescent="0.3">
      <c r="A472" t="s">
        <v>1149</v>
      </c>
      <c r="B472" s="1">
        <v>45424</v>
      </c>
      <c r="C472" t="s">
        <v>1150</v>
      </c>
      <c r="D472" t="s">
        <v>256</v>
      </c>
      <c r="E472" t="s">
        <v>61</v>
      </c>
      <c r="F472" t="s">
        <v>71</v>
      </c>
      <c r="G472" t="s">
        <v>100</v>
      </c>
      <c r="H472" t="s">
        <v>43</v>
      </c>
      <c r="I472" t="s">
        <v>44</v>
      </c>
      <c r="J472" t="s">
        <v>248</v>
      </c>
      <c r="K472">
        <v>3</v>
      </c>
      <c r="L472">
        <v>310.73</v>
      </c>
      <c r="M472">
        <v>0.05</v>
      </c>
      <c r="N472">
        <v>885.58</v>
      </c>
      <c r="O472">
        <v>404.91</v>
      </c>
      <c r="P472">
        <v>480.67</v>
      </c>
      <c r="Q472" t="s">
        <v>31</v>
      </c>
      <c r="R472">
        <v>0.54277422706023171</v>
      </c>
      <c r="S472">
        <v>2024</v>
      </c>
      <c r="T472" t="s">
        <v>1092</v>
      </c>
      <c r="U472">
        <v>5</v>
      </c>
      <c r="V472" t="s">
        <v>878</v>
      </c>
    </row>
    <row r="473" spans="1:22" x14ac:dyDescent="0.3">
      <c r="A473" t="s">
        <v>1151</v>
      </c>
      <c r="B473" s="1">
        <v>45424</v>
      </c>
      <c r="C473" t="s">
        <v>1152</v>
      </c>
      <c r="D473" t="s">
        <v>471</v>
      </c>
      <c r="E473" t="s">
        <v>61</v>
      </c>
      <c r="F473" t="s">
        <v>71</v>
      </c>
      <c r="G473" t="s">
        <v>317</v>
      </c>
      <c r="H473" t="s">
        <v>28</v>
      </c>
      <c r="I473" t="s">
        <v>73</v>
      </c>
      <c r="J473" t="s">
        <v>80</v>
      </c>
      <c r="K473">
        <v>2</v>
      </c>
      <c r="L473">
        <v>767.79</v>
      </c>
      <c r="M473">
        <v>0.05</v>
      </c>
      <c r="N473">
        <v>1458.8</v>
      </c>
      <c r="O473">
        <v>972.17</v>
      </c>
      <c r="P473">
        <v>486.63</v>
      </c>
      <c r="Q473" t="s">
        <v>31</v>
      </c>
      <c r="R473">
        <v>0.333582396490266</v>
      </c>
      <c r="S473">
        <v>2024</v>
      </c>
      <c r="T473" t="s">
        <v>1092</v>
      </c>
      <c r="U473">
        <v>5</v>
      </c>
      <c r="V473" t="s">
        <v>878</v>
      </c>
    </row>
    <row r="474" spans="1:22" x14ac:dyDescent="0.3">
      <c r="A474" t="s">
        <v>1153</v>
      </c>
      <c r="B474" s="1">
        <v>45424</v>
      </c>
      <c r="C474" t="s">
        <v>181</v>
      </c>
      <c r="D474" t="s">
        <v>925</v>
      </c>
      <c r="E474" t="s">
        <v>25</v>
      </c>
      <c r="F474" t="s">
        <v>26</v>
      </c>
      <c r="G474" t="s">
        <v>27</v>
      </c>
      <c r="H474" t="s">
        <v>28</v>
      </c>
      <c r="I474" t="s">
        <v>29</v>
      </c>
      <c r="J474" t="s">
        <v>30</v>
      </c>
      <c r="K474">
        <v>1</v>
      </c>
      <c r="L474">
        <v>61424.92</v>
      </c>
      <c r="M474">
        <v>0.1</v>
      </c>
      <c r="N474">
        <v>55282.43</v>
      </c>
      <c r="O474">
        <v>55169.61</v>
      </c>
      <c r="P474">
        <v>112.82</v>
      </c>
      <c r="Q474" t="s">
        <v>31</v>
      </c>
      <c r="R474">
        <v>2.0407930693350489E-3</v>
      </c>
      <c r="S474">
        <v>2024</v>
      </c>
      <c r="T474" t="s">
        <v>1092</v>
      </c>
      <c r="U474">
        <v>5</v>
      </c>
      <c r="V474" t="s">
        <v>878</v>
      </c>
    </row>
    <row r="475" spans="1:22" x14ac:dyDescent="0.3">
      <c r="A475" t="s">
        <v>1154</v>
      </c>
      <c r="B475" s="1">
        <v>45424</v>
      </c>
      <c r="C475" t="s">
        <v>1155</v>
      </c>
      <c r="D475" t="s">
        <v>331</v>
      </c>
      <c r="E475" t="s">
        <v>61</v>
      </c>
      <c r="F475" t="s">
        <v>78</v>
      </c>
      <c r="G475" t="s">
        <v>79</v>
      </c>
      <c r="H475" t="s">
        <v>84</v>
      </c>
      <c r="I475" t="s">
        <v>138</v>
      </c>
      <c r="J475" t="s">
        <v>220</v>
      </c>
      <c r="K475">
        <v>2</v>
      </c>
      <c r="L475">
        <v>7705.24</v>
      </c>
      <c r="M475">
        <v>0.15</v>
      </c>
      <c r="N475">
        <v>13098.91</v>
      </c>
      <c r="O475">
        <v>10399.9</v>
      </c>
      <c r="P475">
        <v>2699.01</v>
      </c>
      <c r="Q475" t="s">
        <v>46</v>
      </c>
      <c r="R475">
        <v>0.2060484421986257</v>
      </c>
      <c r="S475">
        <v>2024</v>
      </c>
      <c r="T475" t="s">
        <v>1092</v>
      </c>
      <c r="U475">
        <v>5</v>
      </c>
      <c r="V475" t="s">
        <v>878</v>
      </c>
    </row>
    <row r="476" spans="1:22" x14ac:dyDescent="0.3">
      <c r="A476" t="s">
        <v>1156</v>
      </c>
      <c r="B476" s="1">
        <v>45425</v>
      </c>
      <c r="C476" t="s">
        <v>1157</v>
      </c>
      <c r="D476" t="s">
        <v>203</v>
      </c>
      <c r="E476" t="s">
        <v>25</v>
      </c>
      <c r="F476" t="s">
        <v>26</v>
      </c>
      <c r="G476" t="s">
        <v>37</v>
      </c>
      <c r="H476" t="s">
        <v>84</v>
      </c>
      <c r="I476" t="s">
        <v>85</v>
      </c>
      <c r="J476" t="s">
        <v>86</v>
      </c>
      <c r="K476">
        <v>2</v>
      </c>
      <c r="L476">
        <v>1724.89</v>
      </c>
      <c r="M476">
        <v>0</v>
      </c>
      <c r="N476">
        <v>3449.78</v>
      </c>
      <c r="O476">
        <v>1802.65</v>
      </c>
      <c r="P476">
        <v>1647.13</v>
      </c>
      <c r="Q476" t="s">
        <v>46</v>
      </c>
      <c r="R476">
        <v>0.47745943219567633</v>
      </c>
      <c r="S476">
        <v>2024</v>
      </c>
      <c r="T476" t="s">
        <v>1092</v>
      </c>
      <c r="U476">
        <v>5</v>
      </c>
      <c r="V476" t="s">
        <v>878</v>
      </c>
    </row>
    <row r="477" spans="1:22" x14ac:dyDescent="0.3">
      <c r="A477" t="s">
        <v>1158</v>
      </c>
      <c r="B477" s="1">
        <v>45425</v>
      </c>
      <c r="C477" t="s">
        <v>1159</v>
      </c>
      <c r="D477" t="s">
        <v>301</v>
      </c>
      <c r="E477" t="s">
        <v>25</v>
      </c>
      <c r="F477" t="s">
        <v>26</v>
      </c>
      <c r="G477" t="s">
        <v>27</v>
      </c>
      <c r="H477" t="s">
        <v>64</v>
      </c>
      <c r="I477" t="s">
        <v>108</v>
      </c>
      <c r="J477" t="s">
        <v>109</v>
      </c>
      <c r="K477">
        <v>1</v>
      </c>
      <c r="L477">
        <v>6845.72</v>
      </c>
      <c r="M477">
        <v>0.1</v>
      </c>
      <c r="N477">
        <v>6161.15</v>
      </c>
      <c r="O477">
        <v>4503.79</v>
      </c>
      <c r="P477">
        <v>1657.36</v>
      </c>
      <c r="Q477" t="s">
        <v>53</v>
      </c>
      <c r="R477">
        <v>0.26900172857339938</v>
      </c>
      <c r="S477">
        <v>2024</v>
      </c>
      <c r="T477" t="s">
        <v>1092</v>
      </c>
      <c r="U477">
        <v>5</v>
      </c>
      <c r="V477" t="s">
        <v>878</v>
      </c>
    </row>
    <row r="478" spans="1:22" x14ac:dyDescent="0.3">
      <c r="A478" t="s">
        <v>1160</v>
      </c>
      <c r="B478" s="1">
        <v>45425</v>
      </c>
      <c r="C478" t="s">
        <v>1161</v>
      </c>
      <c r="D478" t="s">
        <v>235</v>
      </c>
      <c r="E478" t="s">
        <v>61</v>
      </c>
      <c r="F478" t="s">
        <v>71</v>
      </c>
      <c r="G478" t="s">
        <v>201</v>
      </c>
      <c r="H478" t="s">
        <v>84</v>
      </c>
      <c r="I478" t="s">
        <v>85</v>
      </c>
      <c r="J478" t="s">
        <v>145</v>
      </c>
      <c r="K478">
        <v>2</v>
      </c>
      <c r="L478">
        <v>3444.79</v>
      </c>
      <c r="M478">
        <v>0.2</v>
      </c>
      <c r="N478">
        <v>5511.66</v>
      </c>
      <c r="O478">
        <v>3801.96</v>
      </c>
      <c r="P478">
        <v>1709.7</v>
      </c>
      <c r="Q478" t="s">
        <v>31</v>
      </c>
      <c r="R478">
        <v>0.3101969279672549</v>
      </c>
      <c r="S478">
        <v>2024</v>
      </c>
      <c r="T478" t="s">
        <v>1092</v>
      </c>
      <c r="U478">
        <v>5</v>
      </c>
      <c r="V478" t="s">
        <v>878</v>
      </c>
    </row>
    <row r="479" spans="1:22" x14ac:dyDescent="0.3">
      <c r="A479" t="s">
        <v>1162</v>
      </c>
      <c r="B479" s="1">
        <v>45426</v>
      </c>
      <c r="C479" t="s">
        <v>1163</v>
      </c>
      <c r="D479" t="s">
        <v>1164</v>
      </c>
      <c r="E479" t="s">
        <v>25</v>
      </c>
      <c r="F479" t="s">
        <v>26</v>
      </c>
      <c r="G479" t="s">
        <v>260</v>
      </c>
      <c r="H479" t="s">
        <v>64</v>
      </c>
      <c r="I479" t="s">
        <v>108</v>
      </c>
      <c r="J479" t="s">
        <v>155</v>
      </c>
      <c r="K479">
        <v>4</v>
      </c>
      <c r="L479">
        <v>8400.1200000000008</v>
      </c>
      <c r="M479">
        <v>0.1</v>
      </c>
      <c r="N479">
        <v>30240.43</v>
      </c>
      <c r="O479">
        <v>22391.040000000001</v>
      </c>
      <c r="P479">
        <v>7849.39</v>
      </c>
      <c r="Q479" t="s">
        <v>53</v>
      </c>
      <c r="R479">
        <v>0.25956608421242688</v>
      </c>
      <c r="S479">
        <v>2024</v>
      </c>
      <c r="T479" t="s">
        <v>1092</v>
      </c>
      <c r="U479">
        <v>5</v>
      </c>
      <c r="V479" t="s">
        <v>878</v>
      </c>
    </row>
    <row r="480" spans="1:22" x14ac:dyDescent="0.3">
      <c r="A480" t="s">
        <v>1165</v>
      </c>
      <c r="B480" s="1">
        <v>45426</v>
      </c>
      <c r="C480" t="s">
        <v>633</v>
      </c>
      <c r="D480" t="s">
        <v>894</v>
      </c>
      <c r="E480" t="s">
        <v>41</v>
      </c>
      <c r="F480" t="s">
        <v>42</v>
      </c>
      <c r="G480" t="s">
        <v>50</v>
      </c>
      <c r="H480" t="s">
        <v>84</v>
      </c>
      <c r="I480" t="s">
        <v>85</v>
      </c>
      <c r="J480" t="s">
        <v>86</v>
      </c>
      <c r="K480">
        <v>3</v>
      </c>
      <c r="L480">
        <v>1696.72</v>
      </c>
      <c r="M480">
        <v>0.05</v>
      </c>
      <c r="N480">
        <v>4835.6499999999996</v>
      </c>
      <c r="O480">
        <v>2850.7</v>
      </c>
      <c r="P480">
        <v>1984.95</v>
      </c>
      <c r="Q480" t="s">
        <v>31</v>
      </c>
      <c r="R480">
        <v>0.41048256180658238</v>
      </c>
      <c r="S480">
        <v>2024</v>
      </c>
      <c r="T480" t="s">
        <v>1092</v>
      </c>
      <c r="U480">
        <v>5</v>
      </c>
      <c r="V480" t="s">
        <v>878</v>
      </c>
    </row>
    <row r="481" spans="1:22" x14ac:dyDescent="0.3">
      <c r="A481" t="s">
        <v>1166</v>
      </c>
      <c r="B481" s="1">
        <v>45427</v>
      </c>
      <c r="C481" t="s">
        <v>1167</v>
      </c>
      <c r="D481" t="s">
        <v>944</v>
      </c>
      <c r="E481" t="s">
        <v>61</v>
      </c>
      <c r="F481" t="s">
        <v>78</v>
      </c>
      <c r="G481" t="s">
        <v>83</v>
      </c>
      <c r="H481" t="s">
        <v>28</v>
      </c>
      <c r="I481" t="s">
        <v>73</v>
      </c>
      <c r="J481" t="s">
        <v>80</v>
      </c>
      <c r="K481">
        <v>3</v>
      </c>
      <c r="L481">
        <v>803.77</v>
      </c>
      <c r="M481">
        <v>0</v>
      </c>
      <c r="N481">
        <v>2411.31</v>
      </c>
      <c r="O481">
        <v>1480.99</v>
      </c>
      <c r="P481">
        <v>930.32</v>
      </c>
      <c r="Q481" t="s">
        <v>31</v>
      </c>
      <c r="R481">
        <v>0.385815179300878</v>
      </c>
      <c r="S481">
        <v>2024</v>
      </c>
      <c r="T481" t="s">
        <v>1092</v>
      </c>
      <c r="U481">
        <v>5</v>
      </c>
      <c r="V481" t="s">
        <v>878</v>
      </c>
    </row>
    <row r="482" spans="1:22" x14ac:dyDescent="0.3">
      <c r="A482" t="s">
        <v>1168</v>
      </c>
      <c r="B482" s="1">
        <v>45427</v>
      </c>
      <c r="C482" t="s">
        <v>1169</v>
      </c>
      <c r="D482" t="s">
        <v>680</v>
      </c>
      <c r="E482" t="s">
        <v>25</v>
      </c>
      <c r="F482" t="s">
        <v>26</v>
      </c>
      <c r="G482" t="s">
        <v>37</v>
      </c>
      <c r="H482" t="s">
        <v>28</v>
      </c>
      <c r="I482" t="s">
        <v>73</v>
      </c>
      <c r="J482" t="s">
        <v>80</v>
      </c>
      <c r="K482">
        <v>1</v>
      </c>
      <c r="L482">
        <v>834.03</v>
      </c>
      <c r="M482">
        <v>0.05</v>
      </c>
      <c r="N482">
        <v>792.33</v>
      </c>
      <c r="O482">
        <v>530.37</v>
      </c>
      <c r="P482">
        <v>261.95999999999998</v>
      </c>
      <c r="Q482" t="s">
        <v>113</v>
      </c>
      <c r="R482">
        <v>0.33061981750028391</v>
      </c>
      <c r="S482">
        <v>2024</v>
      </c>
      <c r="T482" t="s">
        <v>1092</v>
      </c>
      <c r="U482">
        <v>5</v>
      </c>
      <c r="V482" t="s">
        <v>878</v>
      </c>
    </row>
    <row r="483" spans="1:22" x14ac:dyDescent="0.3">
      <c r="A483" t="s">
        <v>1170</v>
      </c>
      <c r="B483" s="1">
        <v>45427</v>
      </c>
      <c r="C483" t="s">
        <v>1171</v>
      </c>
      <c r="D483" t="s">
        <v>1172</v>
      </c>
      <c r="E483" t="s">
        <v>120</v>
      </c>
      <c r="F483" t="s">
        <v>121</v>
      </c>
      <c r="G483" t="s">
        <v>130</v>
      </c>
      <c r="H483" t="s">
        <v>64</v>
      </c>
      <c r="I483" t="s">
        <v>65</v>
      </c>
      <c r="J483" t="s">
        <v>232</v>
      </c>
      <c r="K483">
        <v>6</v>
      </c>
      <c r="L483">
        <v>3825.27</v>
      </c>
      <c r="M483">
        <v>0.15</v>
      </c>
      <c r="N483">
        <v>19508.88</v>
      </c>
      <c r="O483">
        <v>14564.86</v>
      </c>
      <c r="P483">
        <v>4944.0200000000004</v>
      </c>
      <c r="Q483" t="s">
        <v>67</v>
      </c>
      <c r="R483">
        <v>0.25342408175148962</v>
      </c>
      <c r="S483">
        <v>2024</v>
      </c>
      <c r="T483" t="s">
        <v>1092</v>
      </c>
      <c r="U483">
        <v>5</v>
      </c>
      <c r="V483" t="s">
        <v>878</v>
      </c>
    </row>
    <row r="484" spans="1:22" x14ac:dyDescent="0.3">
      <c r="A484" t="s">
        <v>1173</v>
      </c>
      <c r="B484" s="1">
        <v>45427</v>
      </c>
      <c r="C484" t="s">
        <v>1174</v>
      </c>
      <c r="D484" t="s">
        <v>339</v>
      </c>
      <c r="E484" t="s">
        <v>61</v>
      </c>
      <c r="F484" t="s">
        <v>62</v>
      </c>
      <c r="G484" t="s">
        <v>134</v>
      </c>
      <c r="H484" t="s">
        <v>64</v>
      </c>
      <c r="I484" t="s">
        <v>65</v>
      </c>
      <c r="J484" t="s">
        <v>66</v>
      </c>
      <c r="K484">
        <v>3</v>
      </c>
      <c r="L484">
        <v>5090.7299999999996</v>
      </c>
      <c r="M484">
        <v>0</v>
      </c>
      <c r="N484">
        <v>15272.19</v>
      </c>
      <c r="O484">
        <v>9655.4</v>
      </c>
      <c r="P484">
        <v>5616.79</v>
      </c>
      <c r="Q484" t="s">
        <v>31</v>
      </c>
      <c r="R484">
        <v>0.36777894984281878</v>
      </c>
      <c r="S484">
        <v>2024</v>
      </c>
      <c r="T484" t="s">
        <v>1092</v>
      </c>
      <c r="U484">
        <v>5</v>
      </c>
      <c r="V484" t="s">
        <v>878</v>
      </c>
    </row>
    <row r="485" spans="1:22" x14ac:dyDescent="0.3">
      <c r="A485" t="s">
        <v>1175</v>
      </c>
      <c r="B485" s="1">
        <v>45428</v>
      </c>
      <c r="C485" t="s">
        <v>1176</v>
      </c>
      <c r="D485" t="s">
        <v>477</v>
      </c>
      <c r="E485" t="s">
        <v>61</v>
      </c>
      <c r="F485" t="s">
        <v>78</v>
      </c>
      <c r="G485" t="s">
        <v>216</v>
      </c>
      <c r="H485" t="s">
        <v>84</v>
      </c>
      <c r="I485" t="s">
        <v>138</v>
      </c>
      <c r="J485" t="s">
        <v>220</v>
      </c>
      <c r="K485">
        <v>4</v>
      </c>
      <c r="L485">
        <v>7565.84</v>
      </c>
      <c r="M485">
        <v>0</v>
      </c>
      <c r="N485">
        <v>30263.360000000001</v>
      </c>
      <c r="O485">
        <v>19178.98</v>
      </c>
      <c r="P485">
        <v>11084.38</v>
      </c>
      <c r="Q485" t="s">
        <v>113</v>
      </c>
      <c r="R485">
        <v>0.36626402355852089</v>
      </c>
      <c r="S485">
        <v>2024</v>
      </c>
      <c r="T485" t="s">
        <v>1092</v>
      </c>
      <c r="U485">
        <v>5</v>
      </c>
      <c r="V485" t="s">
        <v>878</v>
      </c>
    </row>
    <row r="486" spans="1:22" x14ac:dyDescent="0.3">
      <c r="A486" t="s">
        <v>1177</v>
      </c>
      <c r="B486" s="1">
        <v>45429</v>
      </c>
      <c r="C486" t="s">
        <v>1131</v>
      </c>
      <c r="D486" t="s">
        <v>657</v>
      </c>
      <c r="E486" t="s">
        <v>41</v>
      </c>
      <c r="F486" t="s">
        <v>42</v>
      </c>
      <c r="G486" t="s">
        <v>42</v>
      </c>
      <c r="H486" t="s">
        <v>28</v>
      </c>
      <c r="I486" t="s">
        <v>29</v>
      </c>
      <c r="J486" t="s">
        <v>30</v>
      </c>
      <c r="K486">
        <v>1</v>
      </c>
      <c r="L486">
        <v>59887.37</v>
      </c>
      <c r="M486">
        <v>0</v>
      </c>
      <c r="N486">
        <v>59887.37</v>
      </c>
      <c r="O486">
        <v>51051.63</v>
      </c>
      <c r="P486">
        <v>8835.74</v>
      </c>
      <c r="Q486" t="s">
        <v>31</v>
      </c>
      <c r="R486">
        <v>0.14753928916898501</v>
      </c>
      <c r="S486">
        <v>2024</v>
      </c>
      <c r="T486" t="s">
        <v>1092</v>
      </c>
      <c r="U486">
        <v>5</v>
      </c>
      <c r="V486" t="s">
        <v>878</v>
      </c>
    </row>
    <row r="487" spans="1:22" x14ac:dyDescent="0.3">
      <c r="A487" t="s">
        <v>1178</v>
      </c>
      <c r="B487" s="1">
        <v>45429</v>
      </c>
      <c r="C487" t="s">
        <v>1055</v>
      </c>
      <c r="D487" t="s">
        <v>209</v>
      </c>
      <c r="E487" t="s">
        <v>41</v>
      </c>
      <c r="F487" t="s">
        <v>42</v>
      </c>
      <c r="G487" t="s">
        <v>50</v>
      </c>
      <c r="H487" t="s">
        <v>28</v>
      </c>
      <c r="I487" t="s">
        <v>29</v>
      </c>
      <c r="J487" t="s">
        <v>57</v>
      </c>
      <c r="K487">
        <v>2</v>
      </c>
      <c r="L487">
        <v>15524.77</v>
      </c>
      <c r="M487">
        <v>0</v>
      </c>
      <c r="N487">
        <v>31049.54</v>
      </c>
      <c r="O487">
        <v>23052.43</v>
      </c>
      <c r="P487">
        <v>7997.11</v>
      </c>
      <c r="Q487" t="s">
        <v>31</v>
      </c>
      <c r="R487">
        <v>0.25755969331590739</v>
      </c>
      <c r="S487">
        <v>2024</v>
      </c>
      <c r="T487" t="s">
        <v>1092</v>
      </c>
      <c r="U487">
        <v>5</v>
      </c>
      <c r="V487" t="s">
        <v>878</v>
      </c>
    </row>
    <row r="488" spans="1:22" x14ac:dyDescent="0.3">
      <c r="A488" t="s">
        <v>1179</v>
      </c>
      <c r="B488" s="1">
        <v>45429</v>
      </c>
      <c r="C488" t="s">
        <v>1180</v>
      </c>
      <c r="D488" t="s">
        <v>949</v>
      </c>
      <c r="E488" t="s">
        <v>120</v>
      </c>
      <c r="F488" t="s">
        <v>121</v>
      </c>
      <c r="G488" t="s">
        <v>224</v>
      </c>
      <c r="H488" t="s">
        <v>28</v>
      </c>
      <c r="I488" t="s">
        <v>73</v>
      </c>
      <c r="J488" t="s">
        <v>74</v>
      </c>
      <c r="K488">
        <v>3</v>
      </c>
      <c r="L488">
        <v>2531.46</v>
      </c>
      <c r="M488">
        <v>0.05</v>
      </c>
      <c r="N488">
        <v>7214.66</v>
      </c>
      <c r="O488">
        <v>4140.72</v>
      </c>
      <c r="P488">
        <v>3073.94</v>
      </c>
      <c r="Q488" t="s">
        <v>31</v>
      </c>
      <c r="R488">
        <v>0.42606858812473491</v>
      </c>
      <c r="S488">
        <v>2024</v>
      </c>
      <c r="T488" t="s">
        <v>1092</v>
      </c>
      <c r="U488">
        <v>5</v>
      </c>
      <c r="V488" t="s">
        <v>878</v>
      </c>
    </row>
    <row r="489" spans="1:22" x14ac:dyDescent="0.3">
      <c r="A489" t="s">
        <v>1181</v>
      </c>
      <c r="B489" s="1">
        <v>45429</v>
      </c>
      <c r="C489" t="s">
        <v>1182</v>
      </c>
      <c r="D489" t="s">
        <v>360</v>
      </c>
      <c r="E489" t="s">
        <v>61</v>
      </c>
      <c r="F489" t="s">
        <v>78</v>
      </c>
      <c r="G489" t="s">
        <v>216</v>
      </c>
      <c r="H489" t="s">
        <v>84</v>
      </c>
      <c r="I489" t="s">
        <v>138</v>
      </c>
      <c r="J489" t="s">
        <v>220</v>
      </c>
      <c r="K489">
        <v>1</v>
      </c>
      <c r="L489">
        <v>7607.12</v>
      </c>
      <c r="M489">
        <v>0</v>
      </c>
      <c r="N489">
        <v>7607.12</v>
      </c>
      <c r="O489">
        <v>4842.43</v>
      </c>
      <c r="P489">
        <v>2764.69</v>
      </c>
      <c r="Q489" t="s">
        <v>113</v>
      </c>
      <c r="R489">
        <v>0.36343451923987002</v>
      </c>
      <c r="S489">
        <v>2024</v>
      </c>
      <c r="T489" t="s">
        <v>1092</v>
      </c>
      <c r="U489">
        <v>5</v>
      </c>
      <c r="V489" t="s">
        <v>878</v>
      </c>
    </row>
    <row r="490" spans="1:22" x14ac:dyDescent="0.3">
      <c r="A490" t="s">
        <v>1183</v>
      </c>
      <c r="B490" s="1">
        <v>45430</v>
      </c>
      <c r="C490" t="s">
        <v>1184</v>
      </c>
      <c r="D490" t="s">
        <v>925</v>
      </c>
      <c r="E490" t="s">
        <v>61</v>
      </c>
      <c r="F490" t="s">
        <v>78</v>
      </c>
      <c r="G490" t="s">
        <v>83</v>
      </c>
      <c r="H490" t="s">
        <v>84</v>
      </c>
      <c r="I490" t="s">
        <v>85</v>
      </c>
      <c r="J490" t="s">
        <v>145</v>
      </c>
      <c r="K490">
        <v>1</v>
      </c>
      <c r="L490">
        <v>3190.89</v>
      </c>
      <c r="M490">
        <v>0.1</v>
      </c>
      <c r="N490">
        <v>2871.8</v>
      </c>
      <c r="O490">
        <v>1843.52</v>
      </c>
      <c r="P490">
        <v>1028.28</v>
      </c>
      <c r="Q490" t="s">
        <v>46</v>
      </c>
      <c r="R490">
        <v>0.35806114631938152</v>
      </c>
      <c r="S490">
        <v>2024</v>
      </c>
      <c r="T490" t="s">
        <v>1092</v>
      </c>
      <c r="U490">
        <v>5</v>
      </c>
      <c r="V490" t="s">
        <v>878</v>
      </c>
    </row>
    <row r="491" spans="1:22" x14ac:dyDescent="0.3">
      <c r="A491" t="s">
        <v>1185</v>
      </c>
      <c r="B491" s="1">
        <v>45430</v>
      </c>
      <c r="C491" t="s">
        <v>193</v>
      </c>
      <c r="D491" t="s">
        <v>806</v>
      </c>
      <c r="E491" t="s">
        <v>41</v>
      </c>
      <c r="F491" t="s">
        <v>42</v>
      </c>
      <c r="G491" t="s">
        <v>42</v>
      </c>
      <c r="H491" t="s">
        <v>28</v>
      </c>
      <c r="I491" t="s">
        <v>73</v>
      </c>
      <c r="J491" t="s">
        <v>80</v>
      </c>
      <c r="K491">
        <v>6</v>
      </c>
      <c r="L491">
        <v>828.97</v>
      </c>
      <c r="M491">
        <v>0.1</v>
      </c>
      <c r="N491">
        <v>4476.4399999999996</v>
      </c>
      <c r="O491">
        <v>3156.11</v>
      </c>
      <c r="P491">
        <v>1320.33</v>
      </c>
      <c r="Q491" t="s">
        <v>67</v>
      </c>
      <c r="R491">
        <v>0.29495089848182932</v>
      </c>
      <c r="S491">
        <v>2024</v>
      </c>
      <c r="T491" t="s">
        <v>1092</v>
      </c>
      <c r="U491">
        <v>5</v>
      </c>
      <c r="V491" t="s">
        <v>878</v>
      </c>
    </row>
    <row r="492" spans="1:22" x14ac:dyDescent="0.3">
      <c r="A492" t="s">
        <v>1186</v>
      </c>
      <c r="B492" s="1">
        <v>45430</v>
      </c>
      <c r="C492" t="s">
        <v>443</v>
      </c>
      <c r="D492" t="s">
        <v>129</v>
      </c>
      <c r="E492" t="s">
        <v>25</v>
      </c>
      <c r="F492" t="s">
        <v>26</v>
      </c>
      <c r="G492" t="s">
        <v>37</v>
      </c>
      <c r="H492" t="s">
        <v>64</v>
      </c>
      <c r="I492" t="s">
        <v>65</v>
      </c>
      <c r="J492" t="s">
        <v>66</v>
      </c>
      <c r="K492">
        <v>4</v>
      </c>
      <c r="L492">
        <v>4753.13</v>
      </c>
      <c r="M492">
        <v>0.1</v>
      </c>
      <c r="N492">
        <v>17111.27</v>
      </c>
      <c r="O492">
        <v>11798.99</v>
      </c>
      <c r="P492">
        <v>5312.28</v>
      </c>
      <c r="Q492" t="s">
        <v>31</v>
      </c>
      <c r="R492">
        <v>0.31045503928112872</v>
      </c>
      <c r="S492">
        <v>2024</v>
      </c>
      <c r="T492" t="s">
        <v>1092</v>
      </c>
      <c r="U492">
        <v>5</v>
      </c>
      <c r="V492" t="s">
        <v>878</v>
      </c>
    </row>
    <row r="493" spans="1:22" x14ac:dyDescent="0.3">
      <c r="A493" t="s">
        <v>1187</v>
      </c>
      <c r="B493" s="1">
        <v>45430</v>
      </c>
      <c r="C493" t="s">
        <v>230</v>
      </c>
      <c r="D493" t="s">
        <v>137</v>
      </c>
      <c r="E493" t="s">
        <v>61</v>
      </c>
      <c r="F493" t="s">
        <v>62</v>
      </c>
      <c r="G493" t="s">
        <v>63</v>
      </c>
      <c r="H493" t="s">
        <v>28</v>
      </c>
      <c r="I493" t="s">
        <v>73</v>
      </c>
      <c r="J493" t="s">
        <v>74</v>
      </c>
      <c r="K493">
        <v>3</v>
      </c>
      <c r="L493">
        <v>2611.29</v>
      </c>
      <c r="M493">
        <v>0</v>
      </c>
      <c r="N493">
        <v>7833.87</v>
      </c>
      <c r="O493">
        <v>4153.46</v>
      </c>
      <c r="P493">
        <v>3680.41</v>
      </c>
      <c r="Q493" t="s">
        <v>46</v>
      </c>
      <c r="R493">
        <v>0.46980738766407909</v>
      </c>
      <c r="S493">
        <v>2024</v>
      </c>
      <c r="T493" t="s">
        <v>1092</v>
      </c>
      <c r="U493">
        <v>5</v>
      </c>
      <c r="V493" t="s">
        <v>878</v>
      </c>
    </row>
    <row r="494" spans="1:22" x14ac:dyDescent="0.3">
      <c r="A494" t="s">
        <v>1188</v>
      </c>
      <c r="B494" s="1">
        <v>45431</v>
      </c>
      <c r="C494" t="s">
        <v>1189</v>
      </c>
      <c r="D494" t="s">
        <v>1136</v>
      </c>
      <c r="E494" t="s">
        <v>61</v>
      </c>
      <c r="F494" t="s">
        <v>62</v>
      </c>
      <c r="G494" t="s">
        <v>134</v>
      </c>
      <c r="H494" t="s">
        <v>64</v>
      </c>
      <c r="I494" t="s">
        <v>65</v>
      </c>
      <c r="J494" t="s">
        <v>232</v>
      </c>
      <c r="K494">
        <v>2</v>
      </c>
      <c r="L494">
        <v>4046.11</v>
      </c>
      <c r="M494">
        <v>0.2</v>
      </c>
      <c r="N494">
        <v>6473.78</v>
      </c>
      <c r="O494">
        <v>5113.91</v>
      </c>
      <c r="P494">
        <v>1359.87</v>
      </c>
      <c r="Q494" t="s">
        <v>46</v>
      </c>
      <c r="R494">
        <v>0.2100581113352632</v>
      </c>
      <c r="S494">
        <v>2024</v>
      </c>
      <c r="T494" t="s">
        <v>1092</v>
      </c>
      <c r="U494">
        <v>5</v>
      </c>
      <c r="V494" t="s">
        <v>878</v>
      </c>
    </row>
    <row r="495" spans="1:22" x14ac:dyDescent="0.3">
      <c r="A495" t="s">
        <v>1190</v>
      </c>
      <c r="B495" s="1">
        <v>45432</v>
      </c>
      <c r="C495" t="s">
        <v>1191</v>
      </c>
      <c r="D495" t="s">
        <v>238</v>
      </c>
      <c r="E495" t="s">
        <v>61</v>
      </c>
      <c r="F495" t="s">
        <v>62</v>
      </c>
      <c r="G495" t="s">
        <v>134</v>
      </c>
      <c r="H495" t="s">
        <v>84</v>
      </c>
      <c r="I495" t="s">
        <v>85</v>
      </c>
      <c r="J495" t="s">
        <v>145</v>
      </c>
      <c r="K495">
        <v>2</v>
      </c>
      <c r="L495">
        <v>3367.84</v>
      </c>
      <c r="M495">
        <v>0.1</v>
      </c>
      <c r="N495">
        <v>6062.11</v>
      </c>
      <c r="O495">
        <v>3938.32</v>
      </c>
      <c r="P495">
        <v>2123.79</v>
      </c>
      <c r="Q495" t="s">
        <v>67</v>
      </c>
      <c r="R495">
        <v>0.35033841352268441</v>
      </c>
      <c r="S495">
        <v>2024</v>
      </c>
      <c r="T495" t="s">
        <v>1092</v>
      </c>
      <c r="U495">
        <v>5</v>
      </c>
      <c r="V495" t="s">
        <v>878</v>
      </c>
    </row>
    <row r="496" spans="1:22" x14ac:dyDescent="0.3">
      <c r="A496" t="s">
        <v>1192</v>
      </c>
      <c r="B496" s="1">
        <v>45432</v>
      </c>
      <c r="C496" t="s">
        <v>55</v>
      </c>
      <c r="D496" t="s">
        <v>265</v>
      </c>
      <c r="E496" t="s">
        <v>61</v>
      </c>
      <c r="F496" t="s">
        <v>78</v>
      </c>
      <c r="G496" t="s">
        <v>79</v>
      </c>
      <c r="H496" t="s">
        <v>64</v>
      </c>
      <c r="I496" t="s">
        <v>108</v>
      </c>
      <c r="J496" t="s">
        <v>109</v>
      </c>
      <c r="K496">
        <v>1</v>
      </c>
      <c r="L496">
        <v>6672.03</v>
      </c>
      <c r="M496">
        <v>0.1</v>
      </c>
      <c r="N496">
        <v>6004.83</v>
      </c>
      <c r="O496">
        <v>4135.58</v>
      </c>
      <c r="P496">
        <v>1869.25</v>
      </c>
      <c r="Q496" t="s">
        <v>46</v>
      </c>
      <c r="R496">
        <v>0.31129107734940042</v>
      </c>
      <c r="S496">
        <v>2024</v>
      </c>
      <c r="T496" t="s">
        <v>1092</v>
      </c>
      <c r="U496">
        <v>5</v>
      </c>
      <c r="V496" t="s">
        <v>878</v>
      </c>
    </row>
    <row r="497" spans="1:22" x14ac:dyDescent="0.3">
      <c r="A497" t="s">
        <v>1193</v>
      </c>
      <c r="B497" s="1">
        <v>45432</v>
      </c>
      <c r="C497" t="s">
        <v>1194</v>
      </c>
      <c r="D497" t="s">
        <v>259</v>
      </c>
      <c r="E497" t="s">
        <v>25</v>
      </c>
      <c r="F497" t="s">
        <v>26</v>
      </c>
      <c r="G497" t="s">
        <v>260</v>
      </c>
      <c r="H497" t="s">
        <v>84</v>
      </c>
      <c r="I497" t="s">
        <v>85</v>
      </c>
      <c r="J497" t="s">
        <v>145</v>
      </c>
      <c r="K497">
        <v>4</v>
      </c>
      <c r="L497">
        <v>3353.05</v>
      </c>
      <c r="M497">
        <v>0.15</v>
      </c>
      <c r="N497">
        <v>11400.37</v>
      </c>
      <c r="O497">
        <v>7947.65</v>
      </c>
      <c r="P497">
        <v>3452.72</v>
      </c>
      <c r="Q497" t="s">
        <v>113</v>
      </c>
      <c r="R497">
        <v>0.30286034576070769</v>
      </c>
      <c r="S497">
        <v>2024</v>
      </c>
      <c r="T497" t="s">
        <v>1092</v>
      </c>
      <c r="U497">
        <v>5</v>
      </c>
      <c r="V497" t="s">
        <v>878</v>
      </c>
    </row>
    <row r="498" spans="1:22" x14ac:dyDescent="0.3">
      <c r="A498" t="s">
        <v>1195</v>
      </c>
      <c r="B498" s="1">
        <v>45433</v>
      </c>
      <c r="C498" t="s">
        <v>1196</v>
      </c>
      <c r="D498" t="s">
        <v>244</v>
      </c>
      <c r="E498" t="s">
        <v>120</v>
      </c>
      <c r="F498" t="s">
        <v>121</v>
      </c>
      <c r="G498" t="s">
        <v>122</v>
      </c>
      <c r="H498" t="s">
        <v>64</v>
      </c>
      <c r="I498" t="s">
        <v>108</v>
      </c>
      <c r="J498" t="s">
        <v>109</v>
      </c>
      <c r="K498">
        <v>6</v>
      </c>
      <c r="L498">
        <v>7076.5</v>
      </c>
      <c r="M498">
        <v>0.1</v>
      </c>
      <c r="N498">
        <v>38213.1</v>
      </c>
      <c r="O498">
        <v>27259.95</v>
      </c>
      <c r="P498">
        <v>10953.15</v>
      </c>
      <c r="Q498" t="s">
        <v>46</v>
      </c>
      <c r="R498">
        <v>0.28663337965252761</v>
      </c>
      <c r="S498">
        <v>2024</v>
      </c>
      <c r="T498" t="s">
        <v>1092</v>
      </c>
      <c r="U498">
        <v>5</v>
      </c>
      <c r="V498" t="s">
        <v>878</v>
      </c>
    </row>
    <row r="499" spans="1:22" x14ac:dyDescent="0.3">
      <c r="A499" t="s">
        <v>1197</v>
      </c>
      <c r="B499" s="1">
        <v>45433</v>
      </c>
      <c r="C499" t="s">
        <v>258</v>
      </c>
      <c r="D499" t="s">
        <v>494</v>
      </c>
      <c r="E499" t="s">
        <v>25</v>
      </c>
      <c r="F499" t="s">
        <v>26</v>
      </c>
      <c r="G499" t="s">
        <v>27</v>
      </c>
      <c r="H499" t="s">
        <v>28</v>
      </c>
      <c r="I499" t="s">
        <v>91</v>
      </c>
      <c r="J499" t="s">
        <v>92</v>
      </c>
      <c r="K499">
        <v>1</v>
      </c>
      <c r="L499">
        <v>3031.15</v>
      </c>
      <c r="M499">
        <v>0.15</v>
      </c>
      <c r="N499">
        <v>2576.48</v>
      </c>
      <c r="O499">
        <v>1558.38</v>
      </c>
      <c r="P499">
        <v>1018.1</v>
      </c>
      <c r="Q499" t="s">
        <v>46</v>
      </c>
      <c r="R499">
        <v>0.3951515245606409</v>
      </c>
      <c r="S499">
        <v>2024</v>
      </c>
      <c r="T499" t="s">
        <v>1092</v>
      </c>
      <c r="U499">
        <v>5</v>
      </c>
      <c r="V499" t="s">
        <v>878</v>
      </c>
    </row>
    <row r="500" spans="1:22" x14ac:dyDescent="0.3">
      <c r="A500" t="s">
        <v>1198</v>
      </c>
      <c r="B500" s="1">
        <v>45433</v>
      </c>
      <c r="C500" t="s">
        <v>1199</v>
      </c>
      <c r="D500" t="s">
        <v>1200</v>
      </c>
      <c r="E500" t="s">
        <v>41</v>
      </c>
      <c r="F500" t="s">
        <v>42</v>
      </c>
      <c r="G500" t="s">
        <v>42</v>
      </c>
      <c r="H500" t="s">
        <v>28</v>
      </c>
      <c r="I500" t="s">
        <v>73</v>
      </c>
      <c r="J500" t="s">
        <v>80</v>
      </c>
      <c r="K500">
        <v>1</v>
      </c>
      <c r="L500">
        <v>845.04</v>
      </c>
      <c r="M500">
        <v>0.1</v>
      </c>
      <c r="N500">
        <v>760.54</v>
      </c>
      <c r="O500">
        <v>528.6</v>
      </c>
      <c r="P500">
        <v>231.94</v>
      </c>
      <c r="Q500" t="s">
        <v>31</v>
      </c>
      <c r="R500">
        <v>0.3049675230757094</v>
      </c>
      <c r="S500">
        <v>2024</v>
      </c>
      <c r="T500" t="s">
        <v>1092</v>
      </c>
      <c r="U500">
        <v>5</v>
      </c>
      <c r="V500" t="s">
        <v>878</v>
      </c>
    </row>
    <row r="501" spans="1:22" x14ac:dyDescent="0.3">
      <c r="A501" t="s">
        <v>1201</v>
      </c>
      <c r="B501" s="1">
        <v>45433</v>
      </c>
      <c r="C501" t="s">
        <v>1202</v>
      </c>
      <c r="D501" t="s">
        <v>1203</v>
      </c>
      <c r="E501" t="s">
        <v>120</v>
      </c>
      <c r="F501" t="s">
        <v>121</v>
      </c>
      <c r="G501" t="s">
        <v>224</v>
      </c>
      <c r="H501" t="s">
        <v>64</v>
      </c>
      <c r="I501" t="s">
        <v>65</v>
      </c>
      <c r="J501" t="s">
        <v>66</v>
      </c>
      <c r="K501">
        <v>1</v>
      </c>
      <c r="L501">
        <v>4968.58</v>
      </c>
      <c r="M501">
        <v>0.1</v>
      </c>
      <c r="N501">
        <v>4471.72</v>
      </c>
      <c r="O501">
        <v>3047.98</v>
      </c>
      <c r="P501">
        <v>1423.74</v>
      </c>
      <c r="Q501" t="s">
        <v>53</v>
      </c>
      <c r="R501">
        <v>0.31838755557145793</v>
      </c>
      <c r="S501">
        <v>2024</v>
      </c>
      <c r="T501" t="s">
        <v>1092</v>
      </c>
      <c r="U501">
        <v>5</v>
      </c>
      <c r="V501" t="s">
        <v>878</v>
      </c>
    </row>
    <row r="502" spans="1:22" x14ac:dyDescent="0.3">
      <c r="A502" t="s">
        <v>1204</v>
      </c>
      <c r="B502" s="1">
        <v>45433</v>
      </c>
      <c r="C502" t="s">
        <v>1072</v>
      </c>
      <c r="D502" t="s">
        <v>731</v>
      </c>
      <c r="E502" t="s">
        <v>120</v>
      </c>
      <c r="F502" t="s">
        <v>121</v>
      </c>
      <c r="G502" t="s">
        <v>122</v>
      </c>
      <c r="H502" t="s">
        <v>64</v>
      </c>
      <c r="I502" t="s">
        <v>65</v>
      </c>
      <c r="J502" t="s">
        <v>232</v>
      </c>
      <c r="K502">
        <v>4</v>
      </c>
      <c r="L502">
        <v>3807.72</v>
      </c>
      <c r="M502">
        <v>0</v>
      </c>
      <c r="N502">
        <v>15230.88</v>
      </c>
      <c r="O502">
        <v>9695.75</v>
      </c>
      <c r="P502">
        <v>5535.13</v>
      </c>
      <c r="Q502" t="s">
        <v>31</v>
      </c>
      <c r="R502">
        <v>0.36341498324456628</v>
      </c>
      <c r="S502">
        <v>2024</v>
      </c>
      <c r="T502" t="s">
        <v>1092</v>
      </c>
      <c r="U502">
        <v>5</v>
      </c>
      <c r="V502" t="s">
        <v>878</v>
      </c>
    </row>
    <row r="503" spans="1:22" x14ac:dyDescent="0.3">
      <c r="A503" t="s">
        <v>1205</v>
      </c>
      <c r="B503" s="1">
        <v>45434</v>
      </c>
      <c r="C503" t="s">
        <v>1206</v>
      </c>
      <c r="D503" t="s">
        <v>1207</v>
      </c>
      <c r="E503" t="s">
        <v>61</v>
      </c>
      <c r="F503" t="s">
        <v>71</v>
      </c>
      <c r="G503" t="s">
        <v>201</v>
      </c>
      <c r="H503" t="s">
        <v>64</v>
      </c>
      <c r="I503" t="s">
        <v>65</v>
      </c>
      <c r="J503" t="s">
        <v>66</v>
      </c>
      <c r="K503">
        <v>1</v>
      </c>
      <c r="L503">
        <v>4764.07</v>
      </c>
      <c r="M503">
        <v>0.1</v>
      </c>
      <c r="N503">
        <v>4287.66</v>
      </c>
      <c r="O503">
        <v>2945.1</v>
      </c>
      <c r="P503">
        <v>1342.56</v>
      </c>
      <c r="Q503" t="s">
        <v>53</v>
      </c>
      <c r="R503">
        <v>0.31312184268342169</v>
      </c>
      <c r="S503">
        <v>2024</v>
      </c>
      <c r="T503" t="s">
        <v>1092</v>
      </c>
      <c r="U503">
        <v>5</v>
      </c>
      <c r="V503" t="s">
        <v>878</v>
      </c>
    </row>
    <row r="504" spans="1:22" x14ac:dyDescent="0.3">
      <c r="A504" t="s">
        <v>1208</v>
      </c>
      <c r="B504" s="1">
        <v>45434</v>
      </c>
      <c r="C504" t="s">
        <v>1209</v>
      </c>
      <c r="D504" t="s">
        <v>782</v>
      </c>
      <c r="E504" t="s">
        <v>120</v>
      </c>
      <c r="F504" t="s">
        <v>121</v>
      </c>
      <c r="G504" t="s">
        <v>130</v>
      </c>
      <c r="H504" t="s">
        <v>43</v>
      </c>
      <c r="I504" t="s">
        <v>51</v>
      </c>
      <c r="J504" t="s">
        <v>96</v>
      </c>
      <c r="K504">
        <v>2</v>
      </c>
      <c r="L504">
        <v>492.19</v>
      </c>
      <c r="M504">
        <v>0.1</v>
      </c>
      <c r="N504">
        <v>885.94</v>
      </c>
      <c r="O504">
        <v>438.07</v>
      </c>
      <c r="P504">
        <v>447.87</v>
      </c>
      <c r="Q504" t="s">
        <v>31</v>
      </c>
      <c r="R504">
        <v>0.50553084859019792</v>
      </c>
      <c r="S504">
        <v>2024</v>
      </c>
      <c r="T504" t="s">
        <v>1092</v>
      </c>
      <c r="U504">
        <v>5</v>
      </c>
      <c r="V504" t="s">
        <v>878</v>
      </c>
    </row>
    <row r="505" spans="1:22" x14ac:dyDescent="0.3">
      <c r="A505" t="s">
        <v>1210</v>
      </c>
      <c r="B505" s="1">
        <v>45435</v>
      </c>
      <c r="C505" t="s">
        <v>485</v>
      </c>
      <c r="D505" t="s">
        <v>164</v>
      </c>
      <c r="E505" t="s">
        <v>61</v>
      </c>
      <c r="F505" t="s">
        <v>62</v>
      </c>
      <c r="G505" t="s">
        <v>228</v>
      </c>
      <c r="H505" t="s">
        <v>64</v>
      </c>
      <c r="I505" t="s">
        <v>65</v>
      </c>
      <c r="J505" t="s">
        <v>232</v>
      </c>
      <c r="K505">
        <v>1</v>
      </c>
      <c r="L505">
        <v>4075.77</v>
      </c>
      <c r="M505">
        <v>0.05</v>
      </c>
      <c r="N505">
        <v>3871.98</v>
      </c>
      <c r="O505">
        <v>2613.92</v>
      </c>
      <c r="P505">
        <v>1258.06</v>
      </c>
      <c r="Q505" t="s">
        <v>53</v>
      </c>
      <c r="R505">
        <v>0.32491386835675801</v>
      </c>
      <c r="S505">
        <v>2024</v>
      </c>
      <c r="T505" t="s">
        <v>1092</v>
      </c>
      <c r="U505">
        <v>5</v>
      </c>
      <c r="V505" t="s">
        <v>878</v>
      </c>
    </row>
    <row r="506" spans="1:22" x14ac:dyDescent="0.3">
      <c r="A506" t="s">
        <v>1211</v>
      </c>
      <c r="B506" s="1">
        <v>45435</v>
      </c>
      <c r="C506" t="s">
        <v>591</v>
      </c>
      <c r="D506" t="s">
        <v>89</v>
      </c>
      <c r="E506" t="s">
        <v>120</v>
      </c>
      <c r="F506" t="s">
        <v>121</v>
      </c>
      <c r="G506" t="s">
        <v>224</v>
      </c>
      <c r="H506" t="s">
        <v>28</v>
      </c>
      <c r="I506" t="s">
        <v>91</v>
      </c>
      <c r="J506" t="s">
        <v>126</v>
      </c>
      <c r="K506">
        <v>4</v>
      </c>
      <c r="L506">
        <v>2098.16</v>
      </c>
      <c r="M506">
        <v>0</v>
      </c>
      <c r="N506">
        <v>8392.64</v>
      </c>
      <c r="O506">
        <v>4874.6899999999996</v>
      </c>
      <c r="P506">
        <v>3517.95</v>
      </c>
      <c r="Q506" t="s">
        <v>31</v>
      </c>
      <c r="R506">
        <v>0.41917084493079648</v>
      </c>
      <c r="S506">
        <v>2024</v>
      </c>
      <c r="T506" t="s">
        <v>1092</v>
      </c>
      <c r="U506">
        <v>5</v>
      </c>
      <c r="V506" t="s">
        <v>878</v>
      </c>
    </row>
    <row r="507" spans="1:22" x14ac:dyDescent="0.3">
      <c r="A507" t="s">
        <v>1212</v>
      </c>
      <c r="B507" s="1">
        <v>45435</v>
      </c>
      <c r="C507" t="s">
        <v>157</v>
      </c>
      <c r="D507" t="s">
        <v>339</v>
      </c>
      <c r="E507" t="s">
        <v>25</v>
      </c>
      <c r="F507" t="s">
        <v>26</v>
      </c>
      <c r="G507" t="s">
        <v>27</v>
      </c>
      <c r="H507" t="s">
        <v>28</v>
      </c>
      <c r="I507" t="s">
        <v>91</v>
      </c>
      <c r="J507" t="s">
        <v>92</v>
      </c>
      <c r="K507">
        <v>1</v>
      </c>
      <c r="L507">
        <v>2958.75</v>
      </c>
      <c r="M507">
        <v>0.1</v>
      </c>
      <c r="N507">
        <v>2662.88</v>
      </c>
      <c r="O507">
        <v>1519.52</v>
      </c>
      <c r="P507">
        <v>1143.3599999999999</v>
      </c>
      <c r="Q507" t="s">
        <v>31</v>
      </c>
      <c r="R507">
        <v>0.42936970498107307</v>
      </c>
      <c r="S507">
        <v>2024</v>
      </c>
      <c r="T507" t="s">
        <v>1092</v>
      </c>
      <c r="U507">
        <v>5</v>
      </c>
      <c r="V507" t="s">
        <v>878</v>
      </c>
    </row>
    <row r="508" spans="1:22" x14ac:dyDescent="0.3">
      <c r="A508" t="s">
        <v>1213</v>
      </c>
      <c r="B508" s="1">
        <v>45436</v>
      </c>
      <c r="C508" t="s">
        <v>459</v>
      </c>
      <c r="D508" t="s">
        <v>161</v>
      </c>
      <c r="E508" t="s">
        <v>120</v>
      </c>
      <c r="F508" t="s">
        <v>121</v>
      </c>
      <c r="G508" t="s">
        <v>224</v>
      </c>
      <c r="H508" t="s">
        <v>43</v>
      </c>
      <c r="I508" t="s">
        <v>44</v>
      </c>
      <c r="J508" t="s">
        <v>45</v>
      </c>
      <c r="K508">
        <v>4</v>
      </c>
      <c r="L508">
        <v>248.87</v>
      </c>
      <c r="M508">
        <v>0.1</v>
      </c>
      <c r="N508">
        <v>895.93</v>
      </c>
      <c r="O508">
        <v>381.83</v>
      </c>
      <c r="P508">
        <v>514.1</v>
      </c>
      <c r="Q508" t="s">
        <v>31</v>
      </c>
      <c r="R508">
        <v>0.57381715089348506</v>
      </c>
      <c r="S508">
        <v>2024</v>
      </c>
      <c r="T508" t="s">
        <v>1092</v>
      </c>
      <c r="U508">
        <v>5</v>
      </c>
      <c r="V508" t="s">
        <v>878</v>
      </c>
    </row>
    <row r="509" spans="1:22" x14ac:dyDescent="0.3">
      <c r="A509" t="s">
        <v>1214</v>
      </c>
      <c r="B509" s="1">
        <v>45436</v>
      </c>
      <c r="C509" t="s">
        <v>459</v>
      </c>
      <c r="D509" t="s">
        <v>174</v>
      </c>
      <c r="E509" t="s">
        <v>61</v>
      </c>
      <c r="F509" t="s">
        <v>62</v>
      </c>
      <c r="G509" t="s">
        <v>134</v>
      </c>
      <c r="H509" t="s">
        <v>28</v>
      </c>
      <c r="I509" t="s">
        <v>73</v>
      </c>
      <c r="J509" t="s">
        <v>80</v>
      </c>
      <c r="K509">
        <v>3</v>
      </c>
      <c r="L509">
        <v>833.87</v>
      </c>
      <c r="M509">
        <v>0.05</v>
      </c>
      <c r="N509">
        <v>2376.5300000000002</v>
      </c>
      <c r="O509">
        <v>1524.14</v>
      </c>
      <c r="P509">
        <v>852.39</v>
      </c>
      <c r="Q509" t="s">
        <v>67</v>
      </c>
      <c r="R509">
        <v>0.35866999364619839</v>
      </c>
      <c r="S509">
        <v>2024</v>
      </c>
      <c r="T509" t="s">
        <v>1092</v>
      </c>
      <c r="U509">
        <v>5</v>
      </c>
      <c r="V509" t="s">
        <v>878</v>
      </c>
    </row>
    <row r="510" spans="1:22" x14ac:dyDescent="0.3">
      <c r="A510" t="s">
        <v>1215</v>
      </c>
      <c r="B510" s="1">
        <v>45436</v>
      </c>
      <c r="C510" t="s">
        <v>426</v>
      </c>
      <c r="D510" t="s">
        <v>695</v>
      </c>
      <c r="E510" t="s">
        <v>120</v>
      </c>
      <c r="F510" t="s">
        <v>121</v>
      </c>
      <c r="G510" t="s">
        <v>122</v>
      </c>
      <c r="H510" t="s">
        <v>64</v>
      </c>
      <c r="I510" t="s">
        <v>65</v>
      </c>
      <c r="J510" t="s">
        <v>232</v>
      </c>
      <c r="K510">
        <v>3</v>
      </c>
      <c r="L510">
        <v>3966.91</v>
      </c>
      <c r="M510">
        <v>0.1</v>
      </c>
      <c r="N510">
        <v>10710.66</v>
      </c>
      <c r="O510">
        <v>7572.29</v>
      </c>
      <c r="P510">
        <v>3138.37</v>
      </c>
      <c r="Q510" t="s">
        <v>67</v>
      </c>
      <c r="R510">
        <v>0.29301368916574699</v>
      </c>
      <c r="S510">
        <v>2024</v>
      </c>
      <c r="T510" t="s">
        <v>1092</v>
      </c>
      <c r="U510">
        <v>5</v>
      </c>
      <c r="V510" t="s">
        <v>878</v>
      </c>
    </row>
    <row r="511" spans="1:22" x14ac:dyDescent="0.3">
      <c r="A511" t="s">
        <v>1216</v>
      </c>
      <c r="B511" s="1">
        <v>45437</v>
      </c>
      <c r="C511" t="s">
        <v>1217</v>
      </c>
      <c r="D511" t="s">
        <v>1218</v>
      </c>
      <c r="E511" t="s">
        <v>41</v>
      </c>
      <c r="F511" t="s">
        <v>42</v>
      </c>
      <c r="G511" t="s">
        <v>42</v>
      </c>
      <c r="H511" t="s">
        <v>84</v>
      </c>
      <c r="I511" t="s">
        <v>138</v>
      </c>
      <c r="J511" t="s">
        <v>139</v>
      </c>
      <c r="K511">
        <v>3</v>
      </c>
      <c r="L511">
        <v>13096.55</v>
      </c>
      <c r="M511">
        <v>0.1</v>
      </c>
      <c r="N511">
        <v>35360.68</v>
      </c>
      <c r="O511">
        <v>27438.37</v>
      </c>
      <c r="P511">
        <v>7922.31</v>
      </c>
      <c r="Q511" t="s">
        <v>31</v>
      </c>
      <c r="R511">
        <v>0.2240429199890952</v>
      </c>
      <c r="S511">
        <v>2024</v>
      </c>
      <c r="T511" t="s">
        <v>1092</v>
      </c>
      <c r="U511">
        <v>5</v>
      </c>
      <c r="V511" t="s">
        <v>878</v>
      </c>
    </row>
    <row r="512" spans="1:22" x14ac:dyDescent="0.3">
      <c r="A512" t="s">
        <v>1219</v>
      </c>
      <c r="B512" s="1">
        <v>45437</v>
      </c>
      <c r="C512" t="s">
        <v>853</v>
      </c>
      <c r="D512" t="s">
        <v>418</v>
      </c>
      <c r="E512" t="s">
        <v>61</v>
      </c>
      <c r="F512" t="s">
        <v>71</v>
      </c>
      <c r="G512" t="s">
        <v>100</v>
      </c>
      <c r="H512" t="s">
        <v>28</v>
      </c>
      <c r="I512" t="s">
        <v>91</v>
      </c>
      <c r="J512" t="s">
        <v>92</v>
      </c>
      <c r="K512">
        <v>1</v>
      </c>
      <c r="L512">
        <v>3011.29</v>
      </c>
      <c r="M512">
        <v>0.05</v>
      </c>
      <c r="N512">
        <v>2860.73</v>
      </c>
      <c r="O512">
        <v>1550.44</v>
      </c>
      <c r="P512">
        <v>1310.29</v>
      </c>
      <c r="Q512" t="s">
        <v>67</v>
      </c>
      <c r="R512">
        <v>0.45802644779479362</v>
      </c>
      <c r="S512">
        <v>2024</v>
      </c>
      <c r="T512" t="s">
        <v>1092</v>
      </c>
      <c r="U512">
        <v>5</v>
      </c>
      <c r="V512" t="s">
        <v>878</v>
      </c>
    </row>
    <row r="513" spans="1:22" x14ac:dyDescent="0.3">
      <c r="A513" t="s">
        <v>1220</v>
      </c>
      <c r="B513" s="1">
        <v>45437</v>
      </c>
      <c r="C513" t="s">
        <v>1221</v>
      </c>
      <c r="D513" t="s">
        <v>142</v>
      </c>
      <c r="E513" t="s">
        <v>25</v>
      </c>
      <c r="F513" t="s">
        <v>26</v>
      </c>
      <c r="G513" t="s">
        <v>260</v>
      </c>
      <c r="H513" t="s">
        <v>28</v>
      </c>
      <c r="I513" t="s">
        <v>29</v>
      </c>
      <c r="J513" t="s">
        <v>57</v>
      </c>
      <c r="K513">
        <v>5</v>
      </c>
      <c r="L513">
        <v>16611.27</v>
      </c>
      <c r="M513">
        <v>0.2</v>
      </c>
      <c r="N513">
        <v>66445.08</v>
      </c>
      <c r="O513">
        <v>61294.15</v>
      </c>
      <c r="P513">
        <v>5150.93</v>
      </c>
      <c r="Q513" t="s">
        <v>113</v>
      </c>
      <c r="R513">
        <v>7.7521616348418879E-2</v>
      </c>
      <c r="S513">
        <v>2024</v>
      </c>
      <c r="T513" t="s">
        <v>1092</v>
      </c>
      <c r="U513">
        <v>5</v>
      </c>
      <c r="V513" t="s">
        <v>878</v>
      </c>
    </row>
    <row r="514" spans="1:22" x14ac:dyDescent="0.3">
      <c r="A514" t="s">
        <v>1222</v>
      </c>
      <c r="B514" s="1">
        <v>45437</v>
      </c>
      <c r="C514" t="s">
        <v>489</v>
      </c>
      <c r="D514" t="s">
        <v>273</v>
      </c>
      <c r="E514" t="s">
        <v>120</v>
      </c>
      <c r="F514" t="s">
        <v>121</v>
      </c>
      <c r="G514" t="s">
        <v>224</v>
      </c>
      <c r="H514" t="s">
        <v>28</v>
      </c>
      <c r="I514" t="s">
        <v>73</v>
      </c>
      <c r="J514" t="s">
        <v>74</v>
      </c>
      <c r="K514">
        <v>1</v>
      </c>
      <c r="L514">
        <v>2534.86</v>
      </c>
      <c r="M514">
        <v>0</v>
      </c>
      <c r="N514">
        <v>2534.86</v>
      </c>
      <c r="O514">
        <v>1352.01</v>
      </c>
      <c r="P514">
        <v>1182.8499999999999</v>
      </c>
      <c r="Q514" t="s">
        <v>113</v>
      </c>
      <c r="R514">
        <v>0.4666332657424867</v>
      </c>
      <c r="S514">
        <v>2024</v>
      </c>
      <c r="T514" t="s">
        <v>1092</v>
      </c>
      <c r="U514">
        <v>5</v>
      </c>
      <c r="V514" t="s">
        <v>878</v>
      </c>
    </row>
    <row r="515" spans="1:22" x14ac:dyDescent="0.3">
      <c r="A515" t="s">
        <v>1223</v>
      </c>
      <c r="B515" s="1">
        <v>45437</v>
      </c>
      <c r="C515" t="s">
        <v>59</v>
      </c>
      <c r="D515" t="s">
        <v>987</v>
      </c>
      <c r="E515" t="s">
        <v>61</v>
      </c>
      <c r="F515" t="s">
        <v>62</v>
      </c>
      <c r="G515" t="s">
        <v>90</v>
      </c>
      <c r="H515" t="s">
        <v>43</v>
      </c>
      <c r="I515" t="s">
        <v>51</v>
      </c>
      <c r="J515" t="s">
        <v>96</v>
      </c>
      <c r="K515">
        <v>4</v>
      </c>
      <c r="L515">
        <v>481.76</v>
      </c>
      <c r="M515">
        <v>0.15</v>
      </c>
      <c r="N515">
        <v>1637.98</v>
      </c>
      <c r="O515">
        <v>865.07</v>
      </c>
      <c r="P515">
        <v>772.91</v>
      </c>
      <c r="Q515" t="s">
        <v>31</v>
      </c>
      <c r="R515">
        <v>0.47186778837348442</v>
      </c>
      <c r="S515">
        <v>2024</v>
      </c>
      <c r="T515" t="s">
        <v>1092</v>
      </c>
      <c r="U515">
        <v>5</v>
      </c>
      <c r="V515" t="s">
        <v>878</v>
      </c>
    </row>
    <row r="516" spans="1:22" x14ac:dyDescent="0.3">
      <c r="A516" t="s">
        <v>1224</v>
      </c>
      <c r="B516" s="1">
        <v>45438</v>
      </c>
      <c r="C516" t="s">
        <v>1225</v>
      </c>
      <c r="D516" t="s">
        <v>354</v>
      </c>
      <c r="E516" t="s">
        <v>41</v>
      </c>
      <c r="F516" t="s">
        <v>42</v>
      </c>
      <c r="G516" t="s">
        <v>42</v>
      </c>
      <c r="H516" t="s">
        <v>84</v>
      </c>
      <c r="I516" t="s">
        <v>138</v>
      </c>
      <c r="J516" t="s">
        <v>139</v>
      </c>
      <c r="K516">
        <v>1</v>
      </c>
      <c r="L516">
        <v>12467.04</v>
      </c>
      <c r="M516">
        <v>0.1</v>
      </c>
      <c r="N516">
        <v>11220.34</v>
      </c>
      <c r="O516">
        <v>8725.07</v>
      </c>
      <c r="P516">
        <v>2495.27</v>
      </c>
      <c r="Q516" t="s">
        <v>31</v>
      </c>
      <c r="R516">
        <v>0.22238809162645701</v>
      </c>
      <c r="S516">
        <v>2024</v>
      </c>
      <c r="T516" t="s">
        <v>1092</v>
      </c>
      <c r="U516">
        <v>5</v>
      </c>
      <c r="V516" t="s">
        <v>878</v>
      </c>
    </row>
    <row r="517" spans="1:22" x14ac:dyDescent="0.3">
      <c r="A517" t="s">
        <v>1226</v>
      </c>
      <c r="B517" s="1">
        <v>45438</v>
      </c>
      <c r="C517" t="s">
        <v>160</v>
      </c>
      <c r="D517" t="s">
        <v>1227</v>
      </c>
      <c r="E517" t="s">
        <v>61</v>
      </c>
      <c r="F517" t="s">
        <v>71</v>
      </c>
      <c r="G517" t="s">
        <v>72</v>
      </c>
      <c r="H517" t="s">
        <v>43</v>
      </c>
      <c r="I517" t="s">
        <v>51</v>
      </c>
      <c r="J517" t="s">
        <v>96</v>
      </c>
      <c r="K517">
        <v>4</v>
      </c>
      <c r="L517">
        <v>482.37</v>
      </c>
      <c r="M517">
        <v>0.05</v>
      </c>
      <c r="N517">
        <v>1833.01</v>
      </c>
      <c r="O517">
        <v>880.23</v>
      </c>
      <c r="P517">
        <v>952.78</v>
      </c>
      <c r="Q517" t="s">
        <v>46</v>
      </c>
      <c r="R517">
        <v>0.5197898538469512</v>
      </c>
      <c r="S517">
        <v>2024</v>
      </c>
      <c r="T517" t="s">
        <v>1092</v>
      </c>
      <c r="U517">
        <v>5</v>
      </c>
      <c r="V517" t="s">
        <v>878</v>
      </c>
    </row>
    <row r="518" spans="1:22" x14ac:dyDescent="0.3">
      <c r="A518" t="s">
        <v>1228</v>
      </c>
      <c r="B518" s="1">
        <v>45438</v>
      </c>
      <c r="C518" t="s">
        <v>666</v>
      </c>
      <c r="D518" t="s">
        <v>112</v>
      </c>
      <c r="E518" t="s">
        <v>61</v>
      </c>
      <c r="F518" t="s">
        <v>78</v>
      </c>
      <c r="G518" t="s">
        <v>216</v>
      </c>
      <c r="H518" t="s">
        <v>28</v>
      </c>
      <c r="I518" t="s">
        <v>91</v>
      </c>
      <c r="J518" t="s">
        <v>126</v>
      </c>
      <c r="K518">
        <v>4</v>
      </c>
      <c r="L518">
        <v>2034.31</v>
      </c>
      <c r="M518">
        <v>0.1</v>
      </c>
      <c r="N518">
        <v>7323.52</v>
      </c>
      <c r="O518">
        <v>4631.62</v>
      </c>
      <c r="P518">
        <v>2691.9</v>
      </c>
      <c r="Q518" t="s">
        <v>31</v>
      </c>
      <c r="R518">
        <v>0.36756914707681548</v>
      </c>
      <c r="S518">
        <v>2024</v>
      </c>
      <c r="T518" t="s">
        <v>1092</v>
      </c>
      <c r="U518">
        <v>5</v>
      </c>
      <c r="V518" t="s">
        <v>878</v>
      </c>
    </row>
    <row r="519" spans="1:22" x14ac:dyDescent="0.3">
      <c r="A519" t="s">
        <v>1229</v>
      </c>
      <c r="B519" s="1">
        <v>45439</v>
      </c>
      <c r="C519" t="s">
        <v>946</v>
      </c>
      <c r="D519" t="s">
        <v>1230</v>
      </c>
      <c r="E519" t="s">
        <v>120</v>
      </c>
      <c r="F519" t="s">
        <v>121</v>
      </c>
      <c r="G519" t="s">
        <v>224</v>
      </c>
      <c r="H519" t="s">
        <v>28</v>
      </c>
      <c r="I519" t="s">
        <v>73</v>
      </c>
      <c r="J519" t="s">
        <v>74</v>
      </c>
      <c r="K519">
        <v>2</v>
      </c>
      <c r="L519">
        <v>2609.9699999999998</v>
      </c>
      <c r="M519">
        <v>0.05</v>
      </c>
      <c r="N519">
        <v>4958.9399999999996</v>
      </c>
      <c r="O519">
        <v>2862.66</v>
      </c>
      <c r="P519">
        <v>2096.2800000000002</v>
      </c>
      <c r="Q519" t="s">
        <v>31</v>
      </c>
      <c r="R519">
        <v>0.42272743771854482</v>
      </c>
      <c r="S519">
        <v>2024</v>
      </c>
      <c r="T519" t="s">
        <v>1092</v>
      </c>
      <c r="U519">
        <v>5</v>
      </c>
      <c r="V519" t="s">
        <v>878</v>
      </c>
    </row>
    <row r="520" spans="1:22" x14ac:dyDescent="0.3">
      <c r="A520" t="s">
        <v>1231</v>
      </c>
      <c r="B520" s="1">
        <v>45439</v>
      </c>
      <c r="C520" t="s">
        <v>1163</v>
      </c>
      <c r="D520" t="s">
        <v>1232</v>
      </c>
      <c r="E520" t="s">
        <v>61</v>
      </c>
      <c r="F520" t="s">
        <v>78</v>
      </c>
      <c r="G520" t="s">
        <v>216</v>
      </c>
      <c r="H520" t="s">
        <v>64</v>
      </c>
      <c r="I520" t="s">
        <v>108</v>
      </c>
      <c r="J520" t="s">
        <v>155</v>
      </c>
      <c r="K520">
        <v>1</v>
      </c>
      <c r="L520">
        <v>8636.2099999999991</v>
      </c>
      <c r="M520">
        <v>0.1</v>
      </c>
      <c r="N520">
        <v>7772.59</v>
      </c>
      <c r="O520">
        <v>5799</v>
      </c>
      <c r="P520">
        <v>1973.59</v>
      </c>
      <c r="Q520" t="s">
        <v>46</v>
      </c>
      <c r="R520">
        <v>0.25391664811858078</v>
      </c>
      <c r="S520">
        <v>2024</v>
      </c>
      <c r="T520" t="s">
        <v>1092</v>
      </c>
      <c r="U520">
        <v>5</v>
      </c>
      <c r="V520" t="s">
        <v>878</v>
      </c>
    </row>
    <row r="521" spans="1:22" x14ac:dyDescent="0.3">
      <c r="A521" t="s">
        <v>1233</v>
      </c>
      <c r="B521" s="1">
        <v>45440</v>
      </c>
      <c r="C521" t="s">
        <v>1234</v>
      </c>
      <c r="D521" t="s">
        <v>1235</v>
      </c>
      <c r="E521" t="s">
        <v>25</v>
      </c>
      <c r="F521" t="s">
        <v>26</v>
      </c>
      <c r="G521" t="s">
        <v>260</v>
      </c>
      <c r="H521" t="s">
        <v>64</v>
      </c>
      <c r="I521" t="s">
        <v>65</v>
      </c>
      <c r="J521" t="s">
        <v>232</v>
      </c>
      <c r="K521">
        <v>3</v>
      </c>
      <c r="L521">
        <v>4212.32</v>
      </c>
      <c r="M521">
        <v>0.1</v>
      </c>
      <c r="N521">
        <v>11373.26</v>
      </c>
      <c r="O521">
        <v>7922.61</v>
      </c>
      <c r="P521">
        <v>3450.65</v>
      </c>
      <c r="Q521" t="s">
        <v>46</v>
      </c>
      <c r="R521">
        <v>0.30340025639086771</v>
      </c>
      <c r="S521">
        <v>2024</v>
      </c>
      <c r="T521" t="s">
        <v>1092</v>
      </c>
      <c r="U521">
        <v>5</v>
      </c>
      <c r="V521" t="s">
        <v>878</v>
      </c>
    </row>
    <row r="522" spans="1:22" x14ac:dyDescent="0.3">
      <c r="A522" t="s">
        <v>1236</v>
      </c>
      <c r="B522" s="1">
        <v>45441</v>
      </c>
      <c r="C522" t="s">
        <v>656</v>
      </c>
      <c r="D522" t="s">
        <v>957</v>
      </c>
      <c r="E522" t="s">
        <v>120</v>
      </c>
      <c r="F522" t="s">
        <v>121</v>
      </c>
      <c r="G522" t="s">
        <v>122</v>
      </c>
      <c r="H522" t="s">
        <v>43</v>
      </c>
      <c r="I522" t="s">
        <v>51</v>
      </c>
      <c r="J522" t="s">
        <v>96</v>
      </c>
      <c r="K522">
        <v>4</v>
      </c>
      <c r="L522">
        <v>505.85</v>
      </c>
      <c r="M522">
        <v>0</v>
      </c>
      <c r="N522">
        <v>2023.4</v>
      </c>
      <c r="O522">
        <v>928.46</v>
      </c>
      <c r="P522">
        <v>1094.94</v>
      </c>
      <c r="Q522" t="s">
        <v>31</v>
      </c>
      <c r="R522">
        <v>0.54113867747355937</v>
      </c>
      <c r="S522">
        <v>2024</v>
      </c>
      <c r="T522" t="s">
        <v>1092</v>
      </c>
      <c r="U522">
        <v>5</v>
      </c>
      <c r="V522" t="s">
        <v>878</v>
      </c>
    </row>
    <row r="523" spans="1:22" x14ac:dyDescent="0.3">
      <c r="A523" t="s">
        <v>1237</v>
      </c>
      <c r="B523" s="1">
        <v>45441</v>
      </c>
      <c r="C523" t="s">
        <v>69</v>
      </c>
      <c r="D523" t="s">
        <v>688</v>
      </c>
      <c r="E523" t="s">
        <v>120</v>
      </c>
      <c r="F523" t="s">
        <v>121</v>
      </c>
      <c r="G523" t="s">
        <v>224</v>
      </c>
      <c r="H523" t="s">
        <v>28</v>
      </c>
      <c r="I523" t="s">
        <v>91</v>
      </c>
      <c r="J523" t="s">
        <v>126</v>
      </c>
      <c r="K523">
        <v>4</v>
      </c>
      <c r="L523">
        <v>2005.71</v>
      </c>
      <c r="M523">
        <v>0.15</v>
      </c>
      <c r="N523">
        <v>6819.41</v>
      </c>
      <c r="O523">
        <v>4782.47</v>
      </c>
      <c r="P523">
        <v>2036.94</v>
      </c>
      <c r="Q523" t="s">
        <v>46</v>
      </c>
      <c r="R523">
        <v>0.29869739464264511</v>
      </c>
      <c r="S523">
        <v>2024</v>
      </c>
      <c r="T523" t="s">
        <v>1092</v>
      </c>
      <c r="U523">
        <v>5</v>
      </c>
      <c r="V523" t="s">
        <v>878</v>
      </c>
    </row>
    <row r="524" spans="1:22" x14ac:dyDescent="0.3">
      <c r="A524" t="s">
        <v>1238</v>
      </c>
      <c r="B524" s="1">
        <v>45441</v>
      </c>
      <c r="C524" t="s">
        <v>1006</v>
      </c>
      <c r="D524" t="s">
        <v>604</v>
      </c>
      <c r="E524" t="s">
        <v>61</v>
      </c>
      <c r="F524" t="s">
        <v>62</v>
      </c>
      <c r="G524" t="s">
        <v>228</v>
      </c>
      <c r="H524" t="s">
        <v>84</v>
      </c>
      <c r="I524" t="s">
        <v>138</v>
      </c>
      <c r="J524" t="s">
        <v>139</v>
      </c>
      <c r="K524">
        <v>2</v>
      </c>
      <c r="L524">
        <v>13576.68</v>
      </c>
      <c r="M524">
        <v>0.15</v>
      </c>
      <c r="N524">
        <v>23080.36</v>
      </c>
      <c r="O524">
        <v>19246.73</v>
      </c>
      <c r="P524">
        <v>3833.63</v>
      </c>
      <c r="Q524" t="s">
        <v>53</v>
      </c>
      <c r="R524">
        <v>0.16609922895483431</v>
      </c>
      <c r="S524">
        <v>2024</v>
      </c>
      <c r="T524" t="s">
        <v>1092</v>
      </c>
      <c r="U524">
        <v>5</v>
      </c>
      <c r="V524" t="s">
        <v>878</v>
      </c>
    </row>
    <row r="525" spans="1:22" x14ac:dyDescent="0.3">
      <c r="A525" t="s">
        <v>1239</v>
      </c>
      <c r="B525" s="1">
        <v>45441</v>
      </c>
      <c r="C525" t="s">
        <v>392</v>
      </c>
      <c r="D525" t="s">
        <v>516</v>
      </c>
      <c r="E525" t="s">
        <v>61</v>
      </c>
      <c r="F525" t="s">
        <v>71</v>
      </c>
      <c r="G525" t="s">
        <v>100</v>
      </c>
      <c r="H525" t="s">
        <v>28</v>
      </c>
      <c r="I525" t="s">
        <v>91</v>
      </c>
      <c r="J525" t="s">
        <v>92</v>
      </c>
      <c r="K525">
        <v>1</v>
      </c>
      <c r="L525">
        <v>3048.33</v>
      </c>
      <c r="M525">
        <v>0.05</v>
      </c>
      <c r="N525">
        <v>2895.91</v>
      </c>
      <c r="O525">
        <v>1583.35</v>
      </c>
      <c r="P525">
        <v>1312.56</v>
      </c>
      <c r="Q525" t="s">
        <v>46</v>
      </c>
      <c r="R525">
        <v>0.45324612988663321</v>
      </c>
      <c r="S525">
        <v>2024</v>
      </c>
      <c r="T525" t="s">
        <v>1092</v>
      </c>
      <c r="U525">
        <v>5</v>
      </c>
      <c r="V525" t="s">
        <v>878</v>
      </c>
    </row>
    <row r="526" spans="1:22" x14ac:dyDescent="0.3">
      <c r="A526" t="s">
        <v>1240</v>
      </c>
      <c r="B526" s="1">
        <v>45442</v>
      </c>
      <c r="C526" t="s">
        <v>1241</v>
      </c>
      <c r="D526" t="s">
        <v>735</v>
      </c>
      <c r="E526" t="s">
        <v>61</v>
      </c>
      <c r="F526" t="s">
        <v>78</v>
      </c>
      <c r="G526" t="s">
        <v>216</v>
      </c>
      <c r="H526" t="s">
        <v>28</v>
      </c>
      <c r="I526" t="s">
        <v>73</v>
      </c>
      <c r="J526" t="s">
        <v>74</v>
      </c>
      <c r="K526">
        <v>1</v>
      </c>
      <c r="L526">
        <v>2513.66</v>
      </c>
      <c r="M526">
        <v>0</v>
      </c>
      <c r="N526">
        <v>2513.66</v>
      </c>
      <c r="O526">
        <v>1344.95</v>
      </c>
      <c r="P526">
        <v>1168.71</v>
      </c>
      <c r="Q526" t="s">
        <v>113</v>
      </c>
      <c r="R526">
        <v>0.46494354845126229</v>
      </c>
      <c r="S526">
        <v>2024</v>
      </c>
      <c r="T526" t="s">
        <v>1092</v>
      </c>
      <c r="U526">
        <v>5</v>
      </c>
      <c r="V526" t="s">
        <v>878</v>
      </c>
    </row>
    <row r="527" spans="1:22" x14ac:dyDescent="0.3">
      <c r="A527" t="s">
        <v>1242</v>
      </c>
      <c r="B527" s="1">
        <v>45444</v>
      </c>
      <c r="C527" t="s">
        <v>1243</v>
      </c>
      <c r="D527" t="s">
        <v>1044</v>
      </c>
      <c r="E527" t="s">
        <v>25</v>
      </c>
      <c r="F527" t="s">
        <v>26</v>
      </c>
      <c r="G527" t="s">
        <v>27</v>
      </c>
      <c r="H527" t="s">
        <v>28</v>
      </c>
      <c r="I527" t="s">
        <v>91</v>
      </c>
      <c r="J527" t="s">
        <v>126</v>
      </c>
      <c r="K527">
        <v>3</v>
      </c>
      <c r="L527">
        <v>2118.15</v>
      </c>
      <c r="M527">
        <v>0.2</v>
      </c>
      <c r="N527">
        <v>5083.5600000000004</v>
      </c>
      <c r="O527">
        <v>3541.13</v>
      </c>
      <c r="P527">
        <v>1542.43</v>
      </c>
      <c r="Q527" t="s">
        <v>53</v>
      </c>
      <c r="R527">
        <v>0.30341532312001818</v>
      </c>
      <c r="S527">
        <v>2024</v>
      </c>
      <c r="T527" t="s">
        <v>1244</v>
      </c>
      <c r="U527">
        <v>6</v>
      </c>
      <c r="V527" t="s">
        <v>878</v>
      </c>
    </row>
    <row r="528" spans="1:22" x14ac:dyDescent="0.3">
      <c r="A528" t="s">
        <v>1245</v>
      </c>
      <c r="B528" s="1">
        <v>45444</v>
      </c>
      <c r="C528" t="s">
        <v>1246</v>
      </c>
      <c r="D528" t="s">
        <v>125</v>
      </c>
      <c r="E528" t="s">
        <v>25</v>
      </c>
      <c r="F528" t="s">
        <v>26</v>
      </c>
      <c r="G528" t="s">
        <v>37</v>
      </c>
      <c r="H528" t="s">
        <v>84</v>
      </c>
      <c r="I528" t="s">
        <v>138</v>
      </c>
      <c r="J528" t="s">
        <v>139</v>
      </c>
      <c r="K528">
        <v>3</v>
      </c>
      <c r="L528">
        <v>12628.02</v>
      </c>
      <c r="M528">
        <v>0</v>
      </c>
      <c r="N528">
        <v>37884.06</v>
      </c>
      <c r="O528">
        <v>26521.46</v>
      </c>
      <c r="P528">
        <v>11362.6</v>
      </c>
      <c r="Q528" t="s">
        <v>31</v>
      </c>
      <c r="R528">
        <v>0.29993089441839133</v>
      </c>
      <c r="S528">
        <v>2024</v>
      </c>
      <c r="T528" t="s">
        <v>1244</v>
      </c>
      <c r="U528">
        <v>6</v>
      </c>
      <c r="V528" t="s">
        <v>878</v>
      </c>
    </row>
    <row r="529" spans="1:22" x14ac:dyDescent="0.3">
      <c r="A529" t="s">
        <v>1247</v>
      </c>
      <c r="B529" s="1">
        <v>45444</v>
      </c>
      <c r="C529" t="s">
        <v>734</v>
      </c>
      <c r="D529" t="s">
        <v>451</v>
      </c>
      <c r="E529" t="s">
        <v>61</v>
      </c>
      <c r="F529" t="s">
        <v>78</v>
      </c>
      <c r="G529" t="s">
        <v>216</v>
      </c>
      <c r="H529" t="s">
        <v>84</v>
      </c>
      <c r="I529" t="s">
        <v>85</v>
      </c>
      <c r="J529" t="s">
        <v>86</v>
      </c>
      <c r="K529">
        <v>6</v>
      </c>
      <c r="L529">
        <v>1765.43</v>
      </c>
      <c r="M529">
        <v>0.05</v>
      </c>
      <c r="N529">
        <v>10062.950000000001</v>
      </c>
      <c r="O529">
        <v>5835.91</v>
      </c>
      <c r="P529">
        <v>4227.04</v>
      </c>
      <c r="Q529" t="s">
        <v>31</v>
      </c>
      <c r="R529">
        <v>0.42005972403718589</v>
      </c>
      <c r="S529">
        <v>2024</v>
      </c>
      <c r="T529" t="s">
        <v>1244</v>
      </c>
      <c r="U529">
        <v>6</v>
      </c>
      <c r="V529" t="s">
        <v>878</v>
      </c>
    </row>
    <row r="530" spans="1:22" x14ac:dyDescent="0.3">
      <c r="A530" t="s">
        <v>1248</v>
      </c>
      <c r="B530" s="1">
        <v>45445</v>
      </c>
      <c r="C530" t="s">
        <v>35</v>
      </c>
      <c r="D530" t="s">
        <v>77</v>
      </c>
      <c r="E530" t="s">
        <v>61</v>
      </c>
      <c r="F530" t="s">
        <v>78</v>
      </c>
      <c r="G530" t="s">
        <v>79</v>
      </c>
      <c r="H530" t="s">
        <v>43</v>
      </c>
      <c r="I530" t="s">
        <v>51</v>
      </c>
      <c r="J530" t="s">
        <v>96</v>
      </c>
      <c r="K530">
        <v>1</v>
      </c>
      <c r="L530">
        <v>511.41</v>
      </c>
      <c r="M530">
        <v>0.1</v>
      </c>
      <c r="N530">
        <v>460.27</v>
      </c>
      <c r="O530">
        <v>239.26</v>
      </c>
      <c r="P530">
        <v>221.01</v>
      </c>
      <c r="Q530" t="s">
        <v>67</v>
      </c>
      <c r="R530">
        <v>0.48017468007908398</v>
      </c>
      <c r="S530">
        <v>2024</v>
      </c>
      <c r="T530" t="s">
        <v>1244</v>
      </c>
      <c r="U530">
        <v>6</v>
      </c>
      <c r="V530" t="s">
        <v>878</v>
      </c>
    </row>
    <row r="531" spans="1:22" x14ac:dyDescent="0.3">
      <c r="A531" t="s">
        <v>1249</v>
      </c>
      <c r="B531" s="1">
        <v>45445</v>
      </c>
      <c r="C531" t="s">
        <v>971</v>
      </c>
      <c r="D531" t="s">
        <v>529</v>
      </c>
      <c r="E531" t="s">
        <v>120</v>
      </c>
      <c r="F531" t="s">
        <v>121</v>
      </c>
      <c r="G531" t="s">
        <v>130</v>
      </c>
      <c r="H531" t="s">
        <v>64</v>
      </c>
      <c r="I531" t="s">
        <v>65</v>
      </c>
      <c r="J531" t="s">
        <v>232</v>
      </c>
      <c r="K531">
        <v>2</v>
      </c>
      <c r="L531">
        <v>3946.13</v>
      </c>
      <c r="M531">
        <v>0.15</v>
      </c>
      <c r="N531">
        <v>6708.42</v>
      </c>
      <c r="O531">
        <v>4923.78</v>
      </c>
      <c r="P531">
        <v>1784.64</v>
      </c>
      <c r="Q531" t="s">
        <v>46</v>
      </c>
      <c r="R531">
        <v>0.26602985501802212</v>
      </c>
      <c r="S531">
        <v>2024</v>
      </c>
      <c r="T531" t="s">
        <v>1244</v>
      </c>
      <c r="U531">
        <v>6</v>
      </c>
      <c r="V531" t="s">
        <v>878</v>
      </c>
    </row>
    <row r="532" spans="1:22" x14ac:dyDescent="0.3">
      <c r="A532" t="s">
        <v>1250</v>
      </c>
      <c r="B532" s="1">
        <v>45445</v>
      </c>
      <c r="C532" t="s">
        <v>1251</v>
      </c>
      <c r="D532" t="s">
        <v>209</v>
      </c>
      <c r="E532" t="s">
        <v>61</v>
      </c>
      <c r="F532" t="s">
        <v>62</v>
      </c>
      <c r="G532" t="s">
        <v>90</v>
      </c>
      <c r="H532" t="s">
        <v>43</v>
      </c>
      <c r="I532" t="s">
        <v>51</v>
      </c>
      <c r="J532" t="s">
        <v>96</v>
      </c>
      <c r="K532">
        <v>5</v>
      </c>
      <c r="L532">
        <v>489.78</v>
      </c>
      <c r="M532">
        <v>0.15</v>
      </c>
      <c r="N532">
        <v>2081.56</v>
      </c>
      <c r="O532">
        <v>1089.45</v>
      </c>
      <c r="P532">
        <v>992.11</v>
      </c>
      <c r="Q532" t="s">
        <v>53</v>
      </c>
      <c r="R532">
        <v>0.47661849766521258</v>
      </c>
      <c r="S532">
        <v>2024</v>
      </c>
      <c r="T532" t="s">
        <v>1244</v>
      </c>
      <c r="U532">
        <v>6</v>
      </c>
      <c r="V532" t="s">
        <v>878</v>
      </c>
    </row>
    <row r="533" spans="1:22" x14ac:dyDescent="0.3">
      <c r="A533" t="s">
        <v>1252</v>
      </c>
      <c r="B533" s="1">
        <v>45445</v>
      </c>
      <c r="C533" t="s">
        <v>1253</v>
      </c>
      <c r="D533" t="s">
        <v>403</v>
      </c>
      <c r="E533" t="s">
        <v>61</v>
      </c>
      <c r="F533" t="s">
        <v>71</v>
      </c>
      <c r="G533" t="s">
        <v>317</v>
      </c>
      <c r="H533" t="s">
        <v>28</v>
      </c>
      <c r="I533" t="s">
        <v>29</v>
      </c>
      <c r="J533" t="s">
        <v>30</v>
      </c>
      <c r="K533">
        <v>2</v>
      </c>
      <c r="L533">
        <v>58032.98</v>
      </c>
      <c r="M533">
        <v>0.2</v>
      </c>
      <c r="N533">
        <v>92852.77</v>
      </c>
      <c r="O533">
        <v>104235.69</v>
      </c>
      <c r="P533">
        <v>-11382.92</v>
      </c>
      <c r="Q533" t="s">
        <v>67</v>
      </c>
      <c r="R533">
        <v>-0.12259106540386459</v>
      </c>
      <c r="S533">
        <v>2024</v>
      </c>
      <c r="T533" t="s">
        <v>1244</v>
      </c>
      <c r="U533">
        <v>6</v>
      </c>
      <c r="V533" t="s">
        <v>878</v>
      </c>
    </row>
    <row r="534" spans="1:22" x14ac:dyDescent="0.3">
      <c r="A534" t="s">
        <v>1254</v>
      </c>
      <c r="B534" s="1">
        <v>45446</v>
      </c>
      <c r="C534" t="s">
        <v>1225</v>
      </c>
      <c r="D534" t="s">
        <v>704</v>
      </c>
      <c r="E534" t="s">
        <v>41</v>
      </c>
      <c r="F534" t="s">
        <v>42</v>
      </c>
      <c r="G534" t="s">
        <v>42</v>
      </c>
      <c r="H534" t="s">
        <v>64</v>
      </c>
      <c r="I534" t="s">
        <v>108</v>
      </c>
      <c r="J534" t="s">
        <v>109</v>
      </c>
      <c r="K534">
        <v>1</v>
      </c>
      <c r="L534">
        <v>7050</v>
      </c>
      <c r="M534">
        <v>0.15</v>
      </c>
      <c r="N534">
        <v>5992.5</v>
      </c>
      <c r="O534">
        <v>4513.68</v>
      </c>
      <c r="P534">
        <v>1478.82</v>
      </c>
      <c r="Q534" t="s">
        <v>113</v>
      </c>
      <c r="R534">
        <v>0.24677847309136419</v>
      </c>
      <c r="S534">
        <v>2024</v>
      </c>
      <c r="T534" t="s">
        <v>1244</v>
      </c>
      <c r="U534">
        <v>6</v>
      </c>
      <c r="V534" t="s">
        <v>878</v>
      </c>
    </row>
    <row r="535" spans="1:22" x14ac:dyDescent="0.3">
      <c r="A535" t="s">
        <v>1255</v>
      </c>
      <c r="B535" s="1">
        <v>45446</v>
      </c>
      <c r="C535" t="s">
        <v>173</v>
      </c>
      <c r="D535" t="s">
        <v>298</v>
      </c>
      <c r="E535" t="s">
        <v>61</v>
      </c>
      <c r="F535" t="s">
        <v>71</v>
      </c>
      <c r="G535" t="s">
        <v>201</v>
      </c>
      <c r="H535" t="s">
        <v>28</v>
      </c>
      <c r="I535" t="s">
        <v>29</v>
      </c>
      <c r="J535" t="s">
        <v>57</v>
      </c>
      <c r="K535">
        <v>1</v>
      </c>
      <c r="L535">
        <v>15326.93</v>
      </c>
      <c r="M535">
        <v>0.05</v>
      </c>
      <c r="N535">
        <v>14560.58</v>
      </c>
      <c r="O535">
        <v>11837.39</v>
      </c>
      <c r="P535">
        <v>2723.19</v>
      </c>
      <c r="Q535" t="s">
        <v>46</v>
      </c>
      <c r="R535">
        <v>0.18702483005484671</v>
      </c>
      <c r="S535">
        <v>2024</v>
      </c>
      <c r="T535" t="s">
        <v>1244</v>
      </c>
      <c r="U535">
        <v>6</v>
      </c>
      <c r="V535" t="s">
        <v>878</v>
      </c>
    </row>
    <row r="536" spans="1:22" x14ac:dyDescent="0.3">
      <c r="A536" t="s">
        <v>1256</v>
      </c>
      <c r="B536" s="1">
        <v>45446</v>
      </c>
      <c r="C536" t="s">
        <v>1257</v>
      </c>
      <c r="D536" t="s">
        <v>630</v>
      </c>
      <c r="E536" t="s">
        <v>120</v>
      </c>
      <c r="F536" t="s">
        <v>121</v>
      </c>
      <c r="G536" t="s">
        <v>224</v>
      </c>
      <c r="H536" t="s">
        <v>64</v>
      </c>
      <c r="I536" t="s">
        <v>108</v>
      </c>
      <c r="J536" t="s">
        <v>109</v>
      </c>
      <c r="K536">
        <v>3</v>
      </c>
      <c r="L536">
        <v>7091.2</v>
      </c>
      <c r="M536">
        <v>0.05</v>
      </c>
      <c r="N536">
        <v>20209.919999999998</v>
      </c>
      <c r="O536">
        <v>13361.77</v>
      </c>
      <c r="P536">
        <v>6848.15</v>
      </c>
      <c r="Q536" t="s">
        <v>31</v>
      </c>
      <c r="R536">
        <v>0.33885092073595541</v>
      </c>
      <c r="S536">
        <v>2024</v>
      </c>
      <c r="T536" t="s">
        <v>1244</v>
      </c>
      <c r="U536">
        <v>6</v>
      </c>
      <c r="V536" t="s">
        <v>878</v>
      </c>
    </row>
    <row r="537" spans="1:22" x14ac:dyDescent="0.3">
      <c r="A537" t="s">
        <v>1258</v>
      </c>
      <c r="B537" s="1">
        <v>45447</v>
      </c>
      <c r="C537" t="s">
        <v>1259</v>
      </c>
      <c r="D537" t="s">
        <v>1218</v>
      </c>
      <c r="E537" t="s">
        <v>41</v>
      </c>
      <c r="F537" t="s">
        <v>42</v>
      </c>
      <c r="G537" t="s">
        <v>42</v>
      </c>
      <c r="H537" t="s">
        <v>28</v>
      </c>
      <c r="I537" t="s">
        <v>29</v>
      </c>
      <c r="J537" t="s">
        <v>57</v>
      </c>
      <c r="K537">
        <v>1</v>
      </c>
      <c r="L537">
        <v>15927.3</v>
      </c>
      <c r="M537">
        <v>0.05</v>
      </c>
      <c r="N537">
        <v>15130.93</v>
      </c>
      <c r="O537">
        <v>11958.58</v>
      </c>
      <c r="P537">
        <v>3172.35</v>
      </c>
      <c r="Q537" t="s">
        <v>53</v>
      </c>
      <c r="R537">
        <v>0.20965994819882189</v>
      </c>
      <c r="S537">
        <v>2024</v>
      </c>
      <c r="T537" t="s">
        <v>1244</v>
      </c>
      <c r="U537">
        <v>6</v>
      </c>
      <c r="V537" t="s">
        <v>878</v>
      </c>
    </row>
    <row r="538" spans="1:22" x14ac:dyDescent="0.3">
      <c r="A538" t="s">
        <v>1260</v>
      </c>
      <c r="B538" s="1">
        <v>45447</v>
      </c>
      <c r="C538" t="s">
        <v>868</v>
      </c>
      <c r="D538" t="s">
        <v>604</v>
      </c>
      <c r="E538" t="s">
        <v>61</v>
      </c>
      <c r="F538" t="s">
        <v>62</v>
      </c>
      <c r="G538" t="s">
        <v>134</v>
      </c>
      <c r="H538" t="s">
        <v>64</v>
      </c>
      <c r="I538" t="s">
        <v>108</v>
      </c>
      <c r="J538" t="s">
        <v>155</v>
      </c>
      <c r="K538">
        <v>1</v>
      </c>
      <c r="L538">
        <v>8147.85</v>
      </c>
      <c r="M538">
        <v>0.2</v>
      </c>
      <c r="N538">
        <v>6518.28</v>
      </c>
      <c r="O538">
        <v>5663.36</v>
      </c>
      <c r="P538">
        <v>854.92</v>
      </c>
      <c r="Q538" t="s">
        <v>31</v>
      </c>
      <c r="R538">
        <v>0.13115729916481031</v>
      </c>
      <c r="S538">
        <v>2024</v>
      </c>
      <c r="T538" t="s">
        <v>1244</v>
      </c>
      <c r="U538">
        <v>6</v>
      </c>
      <c r="V538" t="s">
        <v>878</v>
      </c>
    </row>
    <row r="539" spans="1:22" x14ac:dyDescent="0.3">
      <c r="A539" t="s">
        <v>1261</v>
      </c>
      <c r="B539" s="1">
        <v>45447</v>
      </c>
      <c r="C539" t="s">
        <v>1262</v>
      </c>
      <c r="D539" t="s">
        <v>1263</v>
      </c>
      <c r="E539" t="s">
        <v>61</v>
      </c>
      <c r="F539" t="s">
        <v>71</v>
      </c>
      <c r="G539" t="s">
        <v>100</v>
      </c>
      <c r="H539" t="s">
        <v>28</v>
      </c>
      <c r="I539" t="s">
        <v>29</v>
      </c>
      <c r="J539" t="s">
        <v>30</v>
      </c>
      <c r="K539">
        <v>1</v>
      </c>
      <c r="L539">
        <v>57708.84</v>
      </c>
      <c r="M539">
        <v>0.1</v>
      </c>
      <c r="N539">
        <v>51937.96</v>
      </c>
      <c r="O539">
        <v>52125.49</v>
      </c>
      <c r="P539">
        <v>-187.53</v>
      </c>
      <c r="Q539" t="s">
        <v>31</v>
      </c>
      <c r="R539">
        <v>-3.6106539417412619E-3</v>
      </c>
      <c r="S539">
        <v>2024</v>
      </c>
      <c r="T539" t="s">
        <v>1244</v>
      </c>
      <c r="U539">
        <v>6</v>
      </c>
      <c r="V539" t="s">
        <v>878</v>
      </c>
    </row>
    <row r="540" spans="1:22" x14ac:dyDescent="0.3">
      <c r="A540" t="s">
        <v>1264</v>
      </c>
      <c r="B540" s="1">
        <v>45448</v>
      </c>
      <c r="C540" t="s">
        <v>1265</v>
      </c>
      <c r="D540" t="s">
        <v>273</v>
      </c>
      <c r="E540" t="s">
        <v>41</v>
      </c>
      <c r="F540" t="s">
        <v>42</v>
      </c>
      <c r="G540" t="s">
        <v>42</v>
      </c>
      <c r="H540" t="s">
        <v>84</v>
      </c>
      <c r="I540" t="s">
        <v>138</v>
      </c>
      <c r="J540" t="s">
        <v>220</v>
      </c>
      <c r="K540">
        <v>1</v>
      </c>
      <c r="L540">
        <v>7297.05</v>
      </c>
      <c r="M540">
        <v>0.1</v>
      </c>
      <c r="N540">
        <v>6567.35</v>
      </c>
      <c r="O540">
        <v>4731.91</v>
      </c>
      <c r="P540">
        <v>1835.44</v>
      </c>
      <c r="Q540" t="s">
        <v>53</v>
      </c>
      <c r="R540">
        <v>0.2794795465446489</v>
      </c>
      <c r="S540">
        <v>2024</v>
      </c>
      <c r="T540" t="s">
        <v>1244</v>
      </c>
      <c r="U540">
        <v>6</v>
      </c>
      <c r="V540" t="s">
        <v>878</v>
      </c>
    </row>
    <row r="541" spans="1:22" x14ac:dyDescent="0.3">
      <c r="A541" t="s">
        <v>1266</v>
      </c>
      <c r="B541" s="1">
        <v>45448</v>
      </c>
      <c r="C541" t="s">
        <v>567</v>
      </c>
      <c r="D541" t="s">
        <v>398</v>
      </c>
      <c r="E541" t="s">
        <v>120</v>
      </c>
      <c r="F541" t="s">
        <v>121</v>
      </c>
      <c r="G541" t="s">
        <v>224</v>
      </c>
      <c r="H541" t="s">
        <v>64</v>
      </c>
      <c r="I541" t="s">
        <v>108</v>
      </c>
      <c r="J541" t="s">
        <v>155</v>
      </c>
      <c r="K541">
        <v>4</v>
      </c>
      <c r="L541">
        <v>8289.02</v>
      </c>
      <c r="M541">
        <v>0.1</v>
      </c>
      <c r="N541">
        <v>29840.47</v>
      </c>
      <c r="O541">
        <v>22093.63</v>
      </c>
      <c r="P541">
        <v>7746.84</v>
      </c>
      <c r="Q541" t="s">
        <v>46</v>
      </c>
      <c r="R541">
        <v>0.25960851152813608</v>
      </c>
      <c r="S541">
        <v>2024</v>
      </c>
      <c r="T541" t="s">
        <v>1244</v>
      </c>
      <c r="U541">
        <v>6</v>
      </c>
      <c r="V541" t="s">
        <v>878</v>
      </c>
    </row>
    <row r="542" spans="1:22" x14ac:dyDescent="0.3">
      <c r="A542" t="s">
        <v>1267</v>
      </c>
      <c r="B542" s="1">
        <v>45449</v>
      </c>
      <c r="C542" t="s">
        <v>661</v>
      </c>
      <c r="D542" t="s">
        <v>876</v>
      </c>
      <c r="E542" t="s">
        <v>61</v>
      </c>
      <c r="F542" t="s">
        <v>71</v>
      </c>
      <c r="G542" t="s">
        <v>100</v>
      </c>
      <c r="H542" t="s">
        <v>64</v>
      </c>
      <c r="I542" t="s">
        <v>65</v>
      </c>
      <c r="J542" t="s">
        <v>66</v>
      </c>
      <c r="K542">
        <v>1</v>
      </c>
      <c r="L542">
        <v>5211.8999999999996</v>
      </c>
      <c r="M542">
        <v>0.05</v>
      </c>
      <c r="N542">
        <v>4951.3</v>
      </c>
      <c r="O542">
        <v>3088</v>
      </c>
      <c r="P542">
        <v>1863.3</v>
      </c>
      <c r="Q542" t="s">
        <v>53</v>
      </c>
      <c r="R542">
        <v>0.37632540948841708</v>
      </c>
      <c r="S542">
        <v>2024</v>
      </c>
      <c r="T542" t="s">
        <v>1244</v>
      </c>
      <c r="U542">
        <v>6</v>
      </c>
      <c r="V542" t="s">
        <v>878</v>
      </c>
    </row>
    <row r="543" spans="1:22" x14ac:dyDescent="0.3">
      <c r="A543" t="s">
        <v>1268</v>
      </c>
      <c r="B543" s="1">
        <v>45449</v>
      </c>
      <c r="C543" t="s">
        <v>1117</v>
      </c>
      <c r="D543" t="s">
        <v>268</v>
      </c>
      <c r="E543" t="s">
        <v>120</v>
      </c>
      <c r="F543" t="s">
        <v>121</v>
      </c>
      <c r="G543" t="s">
        <v>130</v>
      </c>
      <c r="H543" t="s">
        <v>28</v>
      </c>
      <c r="I543" t="s">
        <v>91</v>
      </c>
      <c r="J543" t="s">
        <v>92</v>
      </c>
      <c r="K543">
        <v>1</v>
      </c>
      <c r="L543">
        <v>2978.73</v>
      </c>
      <c r="M543">
        <v>0.1</v>
      </c>
      <c r="N543">
        <v>2680.86</v>
      </c>
      <c r="O543">
        <v>1517.91</v>
      </c>
      <c r="P543">
        <v>1162.95</v>
      </c>
      <c r="Q543" t="s">
        <v>31</v>
      </c>
      <c r="R543">
        <v>0.43379736353259768</v>
      </c>
      <c r="S543">
        <v>2024</v>
      </c>
      <c r="T543" t="s">
        <v>1244</v>
      </c>
      <c r="U543">
        <v>6</v>
      </c>
      <c r="V543" t="s">
        <v>878</v>
      </c>
    </row>
    <row r="544" spans="1:22" x14ac:dyDescent="0.3">
      <c r="A544" t="s">
        <v>1269</v>
      </c>
      <c r="B544" s="1">
        <v>45449</v>
      </c>
      <c r="C544" t="s">
        <v>410</v>
      </c>
      <c r="D544" t="s">
        <v>307</v>
      </c>
      <c r="E544" t="s">
        <v>61</v>
      </c>
      <c r="F544" t="s">
        <v>71</v>
      </c>
      <c r="G544" t="s">
        <v>201</v>
      </c>
      <c r="H544" t="s">
        <v>84</v>
      </c>
      <c r="I544" t="s">
        <v>138</v>
      </c>
      <c r="J544" t="s">
        <v>220</v>
      </c>
      <c r="K544">
        <v>3</v>
      </c>
      <c r="L544">
        <v>7089.02</v>
      </c>
      <c r="M544">
        <v>0.05</v>
      </c>
      <c r="N544">
        <v>20203.71</v>
      </c>
      <c r="O544">
        <v>13393.32</v>
      </c>
      <c r="P544">
        <v>6810.39</v>
      </c>
      <c r="Q544" t="s">
        <v>53</v>
      </c>
      <c r="R544">
        <v>0.33708610943237649</v>
      </c>
      <c r="S544">
        <v>2024</v>
      </c>
      <c r="T544" t="s">
        <v>1244</v>
      </c>
      <c r="U544">
        <v>6</v>
      </c>
      <c r="V544" t="s">
        <v>878</v>
      </c>
    </row>
    <row r="545" spans="1:22" x14ac:dyDescent="0.3">
      <c r="A545" t="s">
        <v>1270</v>
      </c>
      <c r="B545" s="1">
        <v>45449</v>
      </c>
      <c r="C545" t="s">
        <v>190</v>
      </c>
      <c r="D545" t="s">
        <v>301</v>
      </c>
      <c r="E545" t="s">
        <v>61</v>
      </c>
      <c r="F545" t="s">
        <v>78</v>
      </c>
      <c r="G545" t="s">
        <v>216</v>
      </c>
      <c r="H545" t="s">
        <v>64</v>
      </c>
      <c r="I545" t="s">
        <v>65</v>
      </c>
      <c r="J545" t="s">
        <v>232</v>
      </c>
      <c r="K545">
        <v>2</v>
      </c>
      <c r="L545">
        <v>3986.88</v>
      </c>
      <c r="M545">
        <v>0.2</v>
      </c>
      <c r="N545">
        <v>6379.01</v>
      </c>
      <c r="O545">
        <v>4972.09</v>
      </c>
      <c r="P545">
        <v>1406.92</v>
      </c>
      <c r="Q545" t="s">
        <v>31</v>
      </c>
      <c r="R545">
        <v>0.2205546001652294</v>
      </c>
      <c r="S545">
        <v>2024</v>
      </c>
      <c r="T545" t="s">
        <v>1244</v>
      </c>
      <c r="U545">
        <v>6</v>
      </c>
      <c r="V545" t="s">
        <v>878</v>
      </c>
    </row>
    <row r="546" spans="1:22" x14ac:dyDescent="0.3">
      <c r="A546" t="s">
        <v>1271</v>
      </c>
      <c r="B546" s="1">
        <v>45450</v>
      </c>
      <c r="C546" t="s">
        <v>1272</v>
      </c>
      <c r="D546" t="s">
        <v>363</v>
      </c>
      <c r="E546" t="s">
        <v>41</v>
      </c>
      <c r="F546" t="s">
        <v>42</v>
      </c>
      <c r="G546" t="s">
        <v>42</v>
      </c>
      <c r="H546" t="s">
        <v>64</v>
      </c>
      <c r="I546" t="s">
        <v>108</v>
      </c>
      <c r="J546" t="s">
        <v>155</v>
      </c>
      <c r="K546">
        <v>3</v>
      </c>
      <c r="L546">
        <v>8344.32</v>
      </c>
      <c r="M546">
        <v>0</v>
      </c>
      <c r="N546">
        <v>25032.959999999999</v>
      </c>
      <c r="O546">
        <v>17281.03</v>
      </c>
      <c r="P546">
        <v>7751.93</v>
      </c>
      <c r="Q546" t="s">
        <v>67</v>
      </c>
      <c r="R546">
        <v>0.30966893247941918</v>
      </c>
      <c r="S546">
        <v>2024</v>
      </c>
      <c r="T546" t="s">
        <v>1244</v>
      </c>
      <c r="U546">
        <v>6</v>
      </c>
      <c r="V546" t="s">
        <v>878</v>
      </c>
    </row>
    <row r="547" spans="1:22" x14ac:dyDescent="0.3">
      <c r="A547" t="s">
        <v>1273</v>
      </c>
      <c r="B547" s="1">
        <v>45450</v>
      </c>
      <c r="C547" t="s">
        <v>579</v>
      </c>
      <c r="D547" t="s">
        <v>334</v>
      </c>
      <c r="E547" t="s">
        <v>25</v>
      </c>
      <c r="F547" t="s">
        <v>26</v>
      </c>
      <c r="G547" t="s">
        <v>260</v>
      </c>
      <c r="H547" t="s">
        <v>28</v>
      </c>
      <c r="I547" t="s">
        <v>91</v>
      </c>
      <c r="J547" t="s">
        <v>92</v>
      </c>
      <c r="K547">
        <v>2</v>
      </c>
      <c r="L547">
        <v>2905.33</v>
      </c>
      <c r="M547">
        <v>0.05</v>
      </c>
      <c r="N547">
        <v>5520.13</v>
      </c>
      <c r="O547">
        <v>3086.74</v>
      </c>
      <c r="P547">
        <v>2433.39</v>
      </c>
      <c r="Q547" t="s">
        <v>53</v>
      </c>
      <c r="R547">
        <v>0.44082114008184592</v>
      </c>
      <c r="S547">
        <v>2024</v>
      </c>
      <c r="T547" t="s">
        <v>1244</v>
      </c>
      <c r="U547">
        <v>6</v>
      </c>
      <c r="V547" t="s">
        <v>878</v>
      </c>
    </row>
    <row r="548" spans="1:22" x14ac:dyDescent="0.3">
      <c r="A548" t="s">
        <v>1274</v>
      </c>
      <c r="B548" s="1">
        <v>45450</v>
      </c>
      <c r="C548" t="s">
        <v>1155</v>
      </c>
      <c r="D548" t="s">
        <v>366</v>
      </c>
      <c r="E548" t="s">
        <v>41</v>
      </c>
      <c r="F548" t="s">
        <v>42</v>
      </c>
      <c r="G548" t="s">
        <v>42</v>
      </c>
      <c r="H548" t="s">
        <v>84</v>
      </c>
      <c r="I548" t="s">
        <v>138</v>
      </c>
      <c r="J548" t="s">
        <v>220</v>
      </c>
      <c r="K548">
        <v>1</v>
      </c>
      <c r="L548">
        <v>7337.12</v>
      </c>
      <c r="M548">
        <v>0.1</v>
      </c>
      <c r="N548">
        <v>6603.41</v>
      </c>
      <c r="O548">
        <v>4664.24</v>
      </c>
      <c r="P548">
        <v>1939.17</v>
      </c>
      <c r="Q548" t="s">
        <v>67</v>
      </c>
      <c r="R548">
        <v>0.29366191104293088</v>
      </c>
      <c r="S548">
        <v>2024</v>
      </c>
      <c r="T548" t="s">
        <v>1244</v>
      </c>
      <c r="U548">
        <v>6</v>
      </c>
      <c r="V548" t="s">
        <v>878</v>
      </c>
    </row>
    <row r="549" spans="1:22" x14ac:dyDescent="0.3">
      <c r="A549" t="s">
        <v>1275</v>
      </c>
      <c r="B549" s="1">
        <v>45450</v>
      </c>
      <c r="C549" t="s">
        <v>1276</v>
      </c>
      <c r="D549" t="s">
        <v>1232</v>
      </c>
      <c r="E549" t="s">
        <v>41</v>
      </c>
      <c r="F549" t="s">
        <v>42</v>
      </c>
      <c r="G549" t="s">
        <v>42</v>
      </c>
      <c r="H549" t="s">
        <v>64</v>
      </c>
      <c r="I549" t="s">
        <v>108</v>
      </c>
      <c r="J549" t="s">
        <v>109</v>
      </c>
      <c r="K549">
        <v>1</v>
      </c>
      <c r="L549">
        <v>7217.6</v>
      </c>
      <c r="M549">
        <v>0</v>
      </c>
      <c r="N549">
        <v>7217.6</v>
      </c>
      <c r="O549">
        <v>4443.6099999999997</v>
      </c>
      <c r="P549">
        <v>2773.99</v>
      </c>
      <c r="Q549" t="s">
        <v>46</v>
      </c>
      <c r="R549">
        <v>0.38433689869208598</v>
      </c>
      <c r="S549">
        <v>2024</v>
      </c>
      <c r="T549" t="s">
        <v>1244</v>
      </c>
      <c r="U549">
        <v>6</v>
      </c>
      <c r="V549" t="s">
        <v>878</v>
      </c>
    </row>
    <row r="550" spans="1:22" x14ac:dyDescent="0.3">
      <c r="A550" t="s">
        <v>1277</v>
      </c>
      <c r="B550" s="1">
        <v>45450</v>
      </c>
      <c r="C550" t="s">
        <v>881</v>
      </c>
      <c r="D550" t="s">
        <v>966</v>
      </c>
      <c r="E550" t="s">
        <v>61</v>
      </c>
      <c r="F550" t="s">
        <v>78</v>
      </c>
      <c r="G550" t="s">
        <v>79</v>
      </c>
      <c r="H550" t="s">
        <v>28</v>
      </c>
      <c r="I550" t="s">
        <v>73</v>
      </c>
      <c r="J550" t="s">
        <v>80</v>
      </c>
      <c r="K550">
        <v>2</v>
      </c>
      <c r="L550">
        <v>779.95</v>
      </c>
      <c r="M550">
        <v>0.1</v>
      </c>
      <c r="N550">
        <v>1403.91</v>
      </c>
      <c r="O550">
        <v>948.53</v>
      </c>
      <c r="P550">
        <v>455.38</v>
      </c>
      <c r="Q550" t="s">
        <v>53</v>
      </c>
      <c r="R550">
        <v>0.3243655220063964</v>
      </c>
      <c r="S550">
        <v>2024</v>
      </c>
      <c r="T550" t="s">
        <v>1244</v>
      </c>
      <c r="U550">
        <v>6</v>
      </c>
      <c r="V550" t="s">
        <v>878</v>
      </c>
    </row>
    <row r="551" spans="1:22" x14ac:dyDescent="0.3">
      <c r="A551" t="s">
        <v>1278</v>
      </c>
      <c r="B551" s="1">
        <v>45451</v>
      </c>
      <c r="C551" t="s">
        <v>1279</v>
      </c>
      <c r="D551" t="s">
        <v>1280</v>
      </c>
      <c r="E551" t="s">
        <v>61</v>
      </c>
      <c r="F551" t="s">
        <v>62</v>
      </c>
      <c r="G551" t="s">
        <v>63</v>
      </c>
      <c r="H551" t="s">
        <v>84</v>
      </c>
      <c r="I551" t="s">
        <v>138</v>
      </c>
      <c r="J551" t="s">
        <v>220</v>
      </c>
      <c r="K551">
        <v>1</v>
      </c>
      <c r="L551">
        <v>7617.35</v>
      </c>
      <c r="M551">
        <v>0.15</v>
      </c>
      <c r="N551">
        <v>6474.75</v>
      </c>
      <c r="O551">
        <v>5075.24</v>
      </c>
      <c r="P551">
        <v>1399.51</v>
      </c>
      <c r="Q551" t="s">
        <v>31</v>
      </c>
      <c r="R551">
        <v>0.2161488860573767</v>
      </c>
      <c r="S551">
        <v>2024</v>
      </c>
      <c r="T551" t="s">
        <v>1244</v>
      </c>
      <c r="U551">
        <v>6</v>
      </c>
      <c r="V551" t="s">
        <v>878</v>
      </c>
    </row>
    <row r="552" spans="1:22" x14ac:dyDescent="0.3">
      <c r="A552" t="s">
        <v>1281</v>
      </c>
      <c r="B552" s="1">
        <v>45451</v>
      </c>
      <c r="C552" t="s">
        <v>1091</v>
      </c>
      <c r="D552" t="s">
        <v>963</v>
      </c>
      <c r="E552" t="s">
        <v>61</v>
      </c>
      <c r="F552" t="s">
        <v>62</v>
      </c>
      <c r="G552" t="s">
        <v>63</v>
      </c>
      <c r="H552" t="s">
        <v>43</v>
      </c>
      <c r="I552" t="s">
        <v>51</v>
      </c>
      <c r="J552" t="s">
        <v>52</v>
      </c>
      <c r="K552">
        <v>2</v>
      </c>
      <c r="L552">
        <v>689.77</v>
      </c>
      <c r="M552">
        <v>0.05</v>
      </c>
      <c r="N552">
        <v>1310.56</v>
      </c>
      <c r="O552">
        <v>632.32000000000005</v>
      </c>
      <c r="P552">
        <v>678.24</v>
      </c>
      <c r="Q552" t="s">
        <v>113</v>
      </c>
      <c r="R552">
        <v>0.51751922842143816</v>
      </c>
      <c r="S552">
        <v>2024</v>
      </c>
      <c r="T552" t="s">
        <v>1244</v>
      </c>
      <c r="U552">
        <v>6</v>
      </c>
      <c r="V552" t="s">
        <v>878</v>
      </c>
    </row>
    <row r="553" spans="1:22" x14ac:dyDescent="0.3">
      <c r="A553" t="s">
        <v>1282</v>
      </c>
      <c r="B553" s="1">
        <v>45451</v>
      </c>
      <c r="C553" t="s">
        <v>1283</v>
      </c>
      <c r="D553" t="s">
        <v>406</v>
      </c>
      <c r="E553" t="s">
        <v>61</v>
      </c>
      <c r="F553" t="s">
        <v>71</v>
      </c>
      <c r="G553" t="s">
        <v>201</v>
      </c>
      <c r="H553" t="s">
        <v>28</v>
      </c>
      <c r="I553" t="s">
        <v>29</v>
      </c>
      <c r="J553" t="s">
        <v>57</v>
      </c>
      <c r="K553">
        <v>2</v>
      </c>
      <c r="L553">
        <v>16385.86</v>
      </c>
      <c r="M553">
        <v>0.15</v>
      </c>
      <c r="N553">
        <v>27855.96</v>
      </c>
      <c r="O553">
        <v>24086.98</v>
      </c>
      <c r="P553">
        <v>3768.98</v>
      </c>
      <c r="Q553" t="s">
        <v>53</v>
      </c>
      <c r="R553">
        <v>0.13530246309945879</v>
      </c>
      <c r="S553">
        <v>2024</v>
      </c>
      <c r="T553" t="s">
        <v>1244</v>
      </c>
      <c r="U553">
        <v>6</v>
      </c>
      <c r="V553" t="s">
        <v>878</v>
      </c>
    </row>
    <row r="554" spans="1:22" x14ac:dyDescent="0.3">
      <c r="A554" t="s">
        <v>1284</v>
      </c>
      <c r="B554" s="1">
        <v>45452</v>
      </c>
      <c r="C554" t="s">
        <v>392</v>
      </c>
      <c r="D554" t="s">
        <v>1285</v>
      </c>
      <c r="E554" t="s">
        <v>61</v>
      </c>
      <c r="F554" t="s">
        <v>78</v>
      </c>
      <c r="G554" t="s">
        <v>216</v>
      </c>
      <c r="H554" t="s">
        <v>84</v>
      </c>
      <c r="I554" t="s">
        <v>138</v>
      </c>
      <c r="J554" t="s">
        <v>139</v>
      </c>
      <c r="K554">
        <v>3</v>
      </c>
      <c r="L554">
        <v>12831.11</v>
      </c>
      <c r="M554">
        <v>0.1</v>
      </c>
      <c r="N554">
        <v>34644</v>
      </c>
      <c r="O554">
        <v>28636</v>
      </c>
      <c r="P554">
        <v>6008</v>
      </c>
      <c r="Q554" t="s">
        <v>31</v>
      </c>
      <c r="R554">
        <v>0.17342108301581799</v>
      </c>
      <c r="S554">
        <v>2024</v>
      </c>
      <c r="T554" t="s">
        <v>1244</v>
      </c>
      <c r="U554">
        <v>6</v>
      </c>
      <c r="V554" t="s">
        <v>878</v>
      </c>
    </row>
    <row r="555" spans="1:22" x14ac:dyDescent="0.3">
      <c r="A555" t="s">
        <v>1286</v>
      </c>
      <c r="B555" s="1">
        <v>45452</v>
      </c>
      <c r="C555" t="s">
        <v>791</v>
      </c>
      <c r="D555" t="s">
        <v>704</v>
      </c>
      <c r="E555" t="s">
        <v>61</v>
      </c>
      <c r="F555" t="s">
        <v>78</v>
      </c>
      <c r="G555" t="s">
        <v>83</v>
      </c>
      <c r="H555" t="s">
        <v>28</v>
      </c>
      <c r="I555" t="s">
        <v>73</v>
      </c>
      <c r="J555" t="s">
        <v>80</v>
      </c>
      <c r="K555">
        <v>2</v>
      </c>
      <c r="L555">
        <v>816.76</v>
      </c>
      <c r="M555">
        <v>0</v>
      </c>
      <c r="N555">
        <v>1633.52</v>
      </c>
      <c r="O555">
        <v>1013.78</v>
      </c>
      <c r="P555">
        <v>619.74</v>
      </c>
      <c r="Q555" t="s">
        <v>31</v>
      </c>
      <c r="R555">
        <v>0.37938929428473478</v>
      </c>
      <c r="S555">
        <v>2024</v>
      </c>
      <c r="T555" t="s">
        <v>1244</v>
      </c>
      <c r="U555">
        <v>6</v>
      </c>
      <c r="V555" t="s">
        <v>878</v>
      </c>
    </row>
    <row r="556" spans="1:22" x14ac:dyDescent="0.3">
      <c r="A556" t="s">
        <v>1287</v>
      </c>
      <c r="B556" s="1">
        <v>45453</v>
      </c>
      <c r="C556" t="s">
        <v>1288</v>
      </c>
      <c r="D556" t="s">
        <v>1289</v>
      </c>
      <c r="E556" t="s">
        <v>61</v>
      </c>
      <c r="F556" t="s">
        <v>71</v>
      </c>
      <c r="G556" t="s">
        <v>100</v>
      </c>
      <c r="H556" t="s">
        <v>84</v>
      </c>
      <c r="I556" t="s">
        <v>85</v>
      </c>
      <c r="J556" t="s">
        <v>145</v>
      </c>
      <c r="K556">
        <v>2</v>
      </c>
      <c r="L556">
        <v>3454.55</v>
      </c>
      <c r="M556">
        <v>0.1</v>
      </c>
      <c r="N556">
        <v>6218.19</v>
      </c>
      <c r="O556">
        <v>3850.45</v>
      </c>
      <c r="P556">
        <v>2367.7399999999998</v>
      </c>
      <c r="Q556" t="s">
        <v>53</v>
      </c>
      <c r="R556">
        <v>0.38077639956321702</v>
      </c>
      <c r="S556">
        <v>2024</v>
      </c>
      <c r="T556" t="s">
        <v>1244</v>
      </c>
      <c r="U556">
        <v>6</v>
      </c>
      <c r="V556" t="s">
        <v>878</v>
      </c>
    </row>
    <row r="557" spans="1:22" x14ac:dyDescent="0.3">
      <c r="A557" t="s">
        <v>1290</v>
      </c>
      <c r="B557" s="1">
        <v>45453</v>
      </c>
      <c r="C557" t="s">
        <v>432</v>
      </c>
      <c r="D557" t="s">
        <v>575</v>
      </c>
      <c r="E557" t="s">
        <v>61</v>
      </c>
      <c r="F557" t="s">
        <v>78</v>
      </c>
      <c r="G557" t="s">
        <v>79</v>
      </c>
      <c r="H557" t="s">
        <v>64</v>
      </c>
      <c r="I557" t="s">
        <v>65</v>
      </c>
      <c r="J557" t="s">
        <v>232</v>
      </c>
      <c r="K557">
        <v>3</v>
      </c>
      <c r="L557">
        <v>4125.72</v>
      </c>
      <c r="M557">
        <v>0.1</v>
      </c>
      <c r="N557">
        <v>11139.44</v>
      </c>
      <c r="O557">
        <v>8109.48</v>
      </c>
      <c r="P557">
        <v>3029.96</v>
      </c>
      <c r="Q557" t="s">
        <v>31</v>
      </c>
      <c r="R557">
        <v>0.27200290140258399</v>
      </c>
      <c r="S557">
        <v>2024</v>
      </c>
      <c r="T557" t="s">
        <v>1244</v>
      </c>
      <c r="U557">
        <v>6</v>
      </c>
      <c r="V557" t="s">
        <v>878</v>
      </c>
    </row>
    <row r="558" spans="1:22" x14ac:dyDescent="0.3">
      <c r="A558" t="s">
        <v>1291</v>
      </c>
      <c r="B558" s="1">
        <v>45453</v>
      </c>
      <c r="C558" t="s">
        <v>640</v>
      </c>
      <c r="D558" t="s">
        <v>680</v>
      </c>
      <c r="E558" t="s">
        <v>41</v>
      </c>
      <c r="F558" t="s">
        <v>42</v>
      </c>
      <c r="G558" t="s">
        <v>50</v>
      </c>
      <c r="H558" t="s">
        <v>84</v>
      </c>
      <c r="I558" t="s">
        <v>138</v>
      </c>
      <c r="J558" t="s">
        <v>220</v>
      </c>
      <c r="K558">
        <v>1</v>
      </c>
      <c r="L558">
        <v>7395.06</v>
      </c>
      <c r="M558">
        <v>0.1</v>
      </c>
      <c r="N558">
        <v>6655.55</v>
      </c>
      <c r="O558">
        <v>4871.18</v>
      </c>
      <c r="P558">
        <v>1784.37</v>
      </c>
      <c r="Q558" t="s">
        <v>67</v>
      </c>
      <c r="R558">
        <v>0.26810256102050167</v>
      </c>
      <c r="S558">
        <v>2024</v>
      </c>
      <c r="T558" t="s">
        <v>1244</v>
      </c>
      <c r="U558">
        <v>6</v>
      </c>
      <c r="V558" t="s">
        <v>878</v>
      </c>
    </row>
    <row r="559" spans="1:22" x14ac:dyDescent="0.3">
      <c r="A559" t="s">
        <v>1292</v>
      </c>
      <c r="B559" s="1">
        <v>45454</v>
      </c>
      <c r="C559" t="s">
        <v>853</v>
      </c>
      <c r="D559" t="s">
        <v>529</v>
      </c>
      <c r="E559" t="s">
        <v>41</v>
      </c>
      <c r="F559" t="s">
        <v>42</v>
      </c>
      <c r="G559" t="s">
        <v>50</v>
      </c>
      <c r="H559" t="s">
        <v>28</v>
      </c>
      <c r="I559" t="s">
        <v>73</v>
      </c>
      <c r="J559" t="s">
        <v>74</v>
      </c>
      <c r="K559">
        <v>3</v>
      </c>
      <c r="L559">
        <v>2450.85</v>
      </c>
      <c r="M559">
        <v>0.15</v>
      </c>
      <c r="N559">
        <v>6249.67</v>
      </c>
      <c r="O559">
        <v>4187.8900000000003</v>
      </c>
      <c r="P559">
        <v>2061.7800000000002</v>
      </c>
      <c r="Q559" t="s">
        <v>53</v>
      </c>
      <c r="R559">
        <v>0.32990221883715459</v>
      </c>
      <c r="S559">
        <v>2024</v>
      </c>
      <c r="T559" t="s">
        <v>1244</v>
      </c>
      <c r="U559">
        <v>6</v>
      </c>
      <c r="V559" t="s">
        <v>878</v>
      </c>
    </row>
    <row r="560" spans="1:22" x14ac:dyDescent="0.3">
      <c r="A560" t="s">
        <v>1293</v>
      </c>
      <c r="B560" s="1">
        <v>45454</v>
      </c>
      <c r="C560" t="s">
        <v>965</v>
      </c>
      <c r="D560" t="s">
        <v>849</v>
      </c>
      <c r="E560" t="s">
        <v>61</v>
      </c>
      <c r="F560" t="s">
        <v>71</v>
      </c>
      <c r="G560" t="s">
        <v>201</v>
      </c>
      <c r="H560" t="s">
        <v>64</v>
      </c>
      <c r="I560" t="s">
        <v>65</v>
      </c>
      <c r="J560" t="s">
        <v>232</v>
      </c>
      <c r="K560">
        <v>2</v>
      </c>
      <c r="L560">
        <v>4171.88</v>
      </c>
      <c r="M560">
        <v>0.15</v>
      </c>
      <c r="N560">
        <v>7092.2</v>
      </c>
      <c r="O560">
        <v>5282.4</v>
      </c>
      <c r="P560">
        <v>1809.8</v>
      </c>
      <c r="Q560" t="s">
        <v>53</v>
      </c>
      <c r="R560">
        <v>0.2551817489636502</v>
      </c>
      <c r="S560">
        <v>2024</v>
      </c>
      <c r="T560" t="s">
        <v>1244</v>
      </c>
      <c r="U560">
        <v>6</v>
      </c>
      <c r="V560" t="s">
        <v>878</v>
      </c>
    </row>
    <row r="561" spans="1:22" x14ac:dyDescent="0.3">
      <c r="A561" t="s">
        <v>1294</v>
      </c>
      <c r="B561" s="1">
        <v>45454</v>
      </c>
      <c r="C561" t="s">
        <v>1295</v>
      </c>
      <c r="D561" t="s">
        <v>1230</v>
      </c>
      <c r="E561" t="s">
        <v>41</v>
      </c>
      <c r="F561" t="s">
        <v>42</v>
      </c>
      <c r="G561" t="s">
        <v>42</v>
      </c>
      <c r="H561" t="s">
        <v>84</v>
      </c>
      <c r="I561" t="s">
        <v>85</v>
      </c>
      <c r="J561" t="s">
        <v>86</v>
      </c>
      <c r="K561">
        <v>2</v>
      </c>
      <c r="L561">
        <v>1737.31</v>
      </c>
      <c r="M561">
        <v>0</v>
      </c>
      <c r="N561">
        <v>3474.62</v>
      </c>
      <c r="O561">
        <v>1915.59</v>
      </c>
      <c r="P561">
        <v>1559.03</v>
      </c>
      <c r="Q561" t="s">
        <v>31</v>
      </c>
      <c r="R561">
        <v>0.44869079208661672</v>
      </c>
      <c r="S561">
        <v>2024</v>
      </c>
      <c r="T561" t="s">
        <v>1244</v>
      </c>
      <c r="U561">
        <v>6</v>
      </c>
      <c r="V561" t="s">
        <v>878</v>
      </c>
    </row>
    <row r="562" spans="1:22" x14ac:dyDescent="0.3">
      <c r="A562" t="s">
        <v>1296</v>
      </c>
      <c r="B562" s="1">
        <v>45455</v>
      </c>
      <c r="C562" t="s">
        <v>1297</v>
      </c>
      <c r="D562" t="s">
        <v>465</v>
      </c>
      <c r="E562" t="s">
        <v>25</v>
      </c>
      <c r="F562" t="s">
        <v>26</v>
      </c>
      <c r="G562" t="s">
        <v>171</v>
      </c>
      <c r="H562" t="s">
        <v>43</v>
      </c>
      <c r="I562" t="s">
        <v>44</v>
      </c>
      <c r="J562" t="s">
        <v>248</v>
      </c>
      <c r="K562">
        <v>3</v>
      </c>
      <c r="L562">
        <v>302.72000000000003</v>
      </c>
      <c r="M562">
        <v>0.15</v>
      </c>
      <c r="N562">
        <v>771.94</v>
      </c>
      <c r="O562">
        <v>376.98</v>
      </c>
      <c r="P562">
        <v>394.96</v>
      </c>
      <c r="Q562" t="s">
        <v>46</v>
      </c>
      <c r="R562">
        <v>0.5116459828484079</v>
      </c>
      <c r="S562">
        <v>2024</v>
      </c>
      <c r="T562" t="s">
        <v>1244</v>
      </c>
      <c r="U562">
        <v>6</v>
      </c>
      <c r="V562" t="s">
        <v>878</v>
      </c>
    </row>
    <row r="563" spans="1:22" x14ac:dyDescent="0.3">
      <c r="A563" t="s">
        <v>1298</v>
      </c>
      <c r="B563" s="1">
        <v>45455</v>
      </c>
      <c r="C563" t="s">
        <v>473</v>
      </c>
      <c r="D563" t="s">
        <v>1096</v>
      </c>
      <c r="E563" t="s">
        <v>41</v>
      </c>
      <c r="F563" t="s">
        <v>42</v>
      </c>
      <c r="G563" t="s">
        <v>42</v>
      </c>
      <c r="H563" t="s">
        <v>28</v>
      </c>
      <c r="I563" t="s">
        <v>73</v>
      </c>
      <c r="J563" t="s">
        <v>80</v>
      </c>
      <c r="K563">
        <v>1</v>
      </c>
      <c r="L563">
        <v>762.94</v>
      </c>
      <c r="M563">
        <v>0.1</v>
      </c>
      <c r="N563">
        <v>686.65</v>
      </c>
      <c r="O563">
        <v>471.88</v>
      </c>
      <c r="P563">
        <v>214.77</v>
      </c>
      <c r="Q563" t="s">
        <v>53</v>
      </c>
      <c r="R563">
        <v>0.31277943639408728</v>
      </c>
      <c r="S563">
        <v>2024</v>
      </c>
      <c r="T563" t="s">
        <v>1244</v>
      </c>
      <c r="U563">
        <v>6</v>
      </c>
      <c r="V563" t="s">
        <v>878</v>
      </c>
    </row>
    <row r="564" spans="1:22" x14ac:dyDescent="0.3">
      <c r="A564" t="s">
        <v>1299</v>
      </c>
      <c r="B564" s="1">
        <v>45455</v>
      </c>
      <c r="C564" t="s">
        <v>1300</v>
      </c>
      <c r="D564" t="s">
        <v>49</v>
      </c>
      <c r="E564" t="s">
        <v>61</v>
      </c>
      <c r="F564" t="s">
        <v>71</v>
      </c>
      <c r="G564" t="s">
        <v>317</v>
      </c>
      <c r="H564" t="s">
        <v>84</v>
      </c>
      <c r="I564" t="s">
        <v>85</v>
      </c>
      <c r="J564" t="s">
        <v>86</v>
      </c>
      <c r="K564">
        <v>2</v>
      </c>
      <c r="L564">
        <v>1762.19</v>
      </c>
      <c r="M564">
        <v>0.05</v>
      </c>
      <c r="N564">
        <v>3348.16</v>
      </c>
      <c r="O564">
        <v>1854.13</v>
      </c>
      <c r="P564">
        <v>1494.03</v>
      </c>
      <c r="Q564" t="s">
        <v>31</v>
      </c>
      <c r="R564">
        <v>0.44622419478161141</v>
      </c>
      <c r="S564">
        <v>2024</v>
      </c>
      <c r="T564" t="s">
        <v>1244</v>
      </c>
      <c r="U564">
        <v>6</v>
      </c>
      <c r="V564" t="s">
        <v>878</v>
      </c>
    </row>
    <row r="565" spans="1:22" x14ac:dyDescent="0.3">
      <c r="A565" t="s">
        <v>1301</v>
      </c>
      <c r="B565" s="1">
        <v>45455</v>
      </c>
      <c r="C565" t="s">
        <v>1302</v>
      </c>
      <c r="D565" t="s">
        <v>944</v>
      </c>
      <c r="E565" t="s">
        <v>41</v>
      </c>
      <c r="F565" t="s">
        <v>42</v>
      </c>
      <c r="G565" t="s">
        <v>50</v>
      </c>
      <c r="H565" t="s">
        <v>28</v>
      </c>
      <c r="I565" t="s">
        <v>91</v>
      </c>
      <c r="J565" t="s">
        <v>126</v>
      </c>
      <c r="K565">
        <v>2</v>
      </c>
      <c r="L565">
        <v>1906.14</v>
      </c>
      <c r="M565">
        <v>0</v>
      </c>
      <c r="N565">
        <v>3812.28</v>
      </c>
      <c r="O565">
        <v>2171.5500000000002</v>
      </c>
      <c r="P565">
        <v>1640.73</v>
      </c>
      <c r="Q565" t="s">
        <v>31</v>
      </c>
      <c r="R565">
        <v>0.43038024489282001</v>
      </c>
      <c r="S565">
        <v>2024</v>
      </c>
      <c r="T565" t="s">
        <v>1244</v>
      </c>
      <c r="U565">
        <v>6</v>
      </c>
      <c r="V565" t="s">
        <v>878</v>
      </c>
    </row>
    <row r="566" spans="1:22" x14ac:dyDescent="0.3">
      <c r="A566" t="s">
        <v>1303</v>
      </c>
      <c r="B566" s="1">
        <v>45455</v>
      </c>
      <c r="C566" t="s">
        <v>803</v>
      </c>
      <c r="D566" t="s">
        <v>1304</v>
      </c>
      <c r="E566" t="s">
        <v>120</v>
      </c>
      <c r="F566" t="s">
        <v>121</v>
      </c>
      <c r="G566" t="s">
        <v>122</v>
      </c>
      <c r="H566" t="s">
        <v>28</v>
      </c>
      <c r="I566" t="s">
        <v>29</v>
      </c>
      <c r="J566" t="s">
        <v>57</v>
      </c>
      <c r="K566">
        <v>1</v>
      </c>
      <c r="L566">
        <v>16116.53</v>
      </c>
      <c r="M566">
        <v>0</v>
      </c>
      <c r="N566">
        <v>16116.53</v>
      </c>
      <c r="O566">
        <v>12265.04</v>
      </c>
      <c r="P566">
        <v>3851.49</v>
      </c>
      <c r="Q566" t="s">
        <v>31</v>
      </c>
      <c r="R566">
        <v>0.2389776211132297</v>
      </c>
      <c r="S566">
        <v>2024</v>
      </c>
      <c r="T566" t="s">
        <v>1244</v>
      </c>
      <c r="U566">
        <v>6</v>
      </c>
      <c r="V566" t="s">
        <v>878</v>
      </c>
    </row>
    <row r="567" spans="1:22" x14ac:dyDescent="0.3">
      <c r="A567" t="s">
        <v>1305</v>
      </c>
      <c r="B567" s="1">
        <v>45456</v>
      </c>
      <c r="C567" t="s">
        <v>1306</v>
      </c>
      <c r="D567" t="s">
        <v>1307</v>
      </c>
      <c r="E567" t="s">
        <v>61</v>
      </c>
      <c r="F567" t="s">
        <v>78</v>
      </c>
      <c r="G567" t="s">
        <v>104</v>
      </c>
      <c r="H567" t="s">
        <v>43</v>
      </c>
      <c r="I567" t="s">
        <v>51</v>
      </c>
      <c r="J567" t="s">
        <v>52</v>
      </c>
      <c r="K567">
        <v>1</v>
      </c>
      <c r="L567">
        <v>668.31</v>
      </c>
      <c r="M567">
        <v>0</v>
      </c>
      <c r="N567">
        <v>668.31</v>
      </c>
      <c r="O567">
        <v>315.88</v>
      </c>
      <c r="P567">
        <v>352.43</v>
      </c>
      <c r="Q567" t="s">
        <v>46</v>
      </c>
      <c r="R567">
        <v>0.52734509434244592</v>
      </c>
      <c r="S567">
        <v>2024</v>
      </c>
      <c r="T567" t="s">
        <v>1244</v>
      </c>
      <c r="U567">
        <v>6</v>
      </c>
      <c r="V567" t="s">
        <v>878</v>
      </c>
    </row>
    <row r="568" spans="1:22" x14ac:dyDescent="0.3">
      <c r="A568" t="s">
        <v>1308</v>
      </c>
      <c r="B568" s="1">
        <v>45456</v>
      </c>
      <c r="C568" t="s">
        <v>1309</v>
      </c>
      <c r="D568" t="s">
        <v>1096</v>
      </c>
      <c r="E568" t="s">
        <v>25</v>
      </c>
      <c r="F568" t="s">
        <v>26</v>
      </c>
      <c r="G568" t="s">
        <v>171</v>
      </c>
      <c r="H568" t="s">
        <v>84</v>
      </c>
      <c r="I568" t="s">
        <v>85</v>
      </c>
      <c r="J568" t="s">
        <v>145</v>
      </c>
      <c r="K568">
        <v>2</v>
      </c>
      <c r="L568">
        <v>3148.68</v>
      </c>
      <c r="M568">
        <v>0.1</v>
      </c>
      <c r="N568">
        <v>5667.62</v>
      </c>
      <c r="O568">
        <v>3680.47</v>
      </c>
      <c r="P568">
        <v>1987.15</v>
      </c>
      <c r="Q568" t="s">
        <v>53</v>
      </c>
      <c r="R568">
        <v>0.35061454367088829</v>
      </c>
      <c r="S568">
        <v>2024</v>
      </c>
      <c r="T568" t="s">
        <v>1244</v>
      </c>
      <c r="U568">
        <v>6</v>
      </c>
      <c r="V568" t="s">
        <v>878</v>
      </c>
    </row>
    <row r="569" spans="1:22" x14ac:dyDescent="0.3">
      <c r="A569" t="s">
        <v>1310</v>
      </c>
      <c r="B569" s="1">
        <v>45456</v>
      </c>
      <c r="C569" t="s">
        <v>1004</v>
      </c>
      <c r="D569" t="s">
        <v>580</v>
      </c>
      <c r="E569" t="s">
        <v>41</v>
      </c>
      <c r="F569" t="s">
        <v>42</v>
      </c>
      <c r="G569" t="s">
        <v>42</v>
      </c>
      <c r="H569" t="s">
        <v>84</v>
      </c>
      <c r="I569" t="s">
        <v>85</v>
      </c>
      <c r="J569" t="s">
        <v>86</v>
      </c>
      <c r="K569">
        <v>1</v>
      </c>
      <c r="L569">
        <v>1792.23</v>
      </c>
      <c r="M569">
        <v>0.1</v>
      </c>
      <c r="N569">
        <v>1613.01</v>
      </c>
      <c r="O569">
        <v>982.03</v>
      </c>
      <c r="P569">
        <v>630.98</v>
      </c>
      <c r="Q569" t="s">
        <v>31</v>
      </c>
      <c r="R569">
        <v>0.39118170377121042</v>
      </c>
      <c r="S569">
        <v>2024</v>
      </c>
      <c r="T569" t="s">
        <v>1244</v>
      </c>
      <c r="U569">
        <v>6</v>
      </c>
      <c r="V569" t="s">
        <v>878</v>
      </c>
    </row>
    <row r="570" spans="1:22" x14ac:dyDescent="0.3">
      <c r="A570" t="s">
        <v>1311</v>
      </c>
      <c r="B570" s="1">
        <v>45456</v>
      </c>
      <c r="C570" t="s">
        <v>866</v>
      </c>
      <c r="D570" t="s">
        <v>782</v>
      </c>
      <c r="E570" t="s">
        <v>41</v>
      </c>
      <c r="F570" t="s">
        <v>42</v>
      </c>
      <c r="G570" t="s">
        <v>42</v>
      </c>
      <c r="H570" t="s">
        <v>43</v>
      </c>
      <c r="I570" t="s">
        <v>51</v>
      </c>
      <c r="J570" t="s">
        <v>52</v>
      </c>
      <c r="K570">
        <v>1</v>
      </c>
      <c r="L570">
        <v>661.93</v>
      </c>
      <c r="M570">
        <v>0.15</v>
      </c>
      <c r="N570">
        <v>562.64</v>
      </c>
      <c r="O570">
        <v>320.58999999999997</v>
      </c>
      <c r="P570">
        <v>242.05</v>
      </c>
      <c r="Q570" t="s">
        <v>31</v>
      </c>
      <c r="R570">
        <v>0.43020403810607138</v>
      </c>
      <c r="S570">
        <v>2024</v>
      </c>
      <c r="T570" t="s">
        <v>1244</v>
      </c>
      <c r="U570">
        <v>6</v>
      </c>
      <c r="V570" t="s">
        <v>878</v>
      </c>
    </row>
    <row r="571" spans="1:22" x14ac:dyDescent="0.3">
      <c r="A571" t="s">
        <v>1312</v>
      </c>
      <c r="B571" s="1">
        <v>45457</v>
      </c>
      <c r="C571" t="s">
        <v>537</v>
      </c>
      <c r="D571" t="s">
        <v>185</v>
      </c>
      <c r="E571" t="s">
        <v>61</v>
      </c>
      <c r="F571" t="s">
        <v>71</v>
      </c>
      <c r="G571" t="s">
        <v>72</v>
      </c>
      <c r="H571" t="s">
        <v>28</v>
      </c>
      <c r="I571" t="s">
        <v>73</v>
      </c>
      <c r="J571" t="s">
        <v>80</v>
      </c>
      <c r="K571">
        <v>2</v>
      </c>
      <c r="L571">
        <v>766.71</v>
      </c>
      <c r="M571">
        <v>0.05</v>
      </c>
      <c r="N571">
        <v>1456.75</v>
      </c>
      <c r="O571">
        <v>955.54</v>
      </c>
      <c r="P571">
        <v>501.21</v>
      </c>
      <c r="Q571" t="s">
        <v>67</v>
      </c>
      <c r="R571">
        <v>0.34406040844345293</v>
      </c>
      <c r="S571">
        <v>2024</v>
      </c>
      <c r="T571" t="s">
        <v>1244</v>
      </c>
      <c r="U571">
        <v>6</v>
      </c>
      <c r="V571" t="s">
        <v>878</v>
      </c>
    </row>
    <row r="572" spans="1:22" x14ac:dyDescent="0.3">
      <c r="A572" t="s">
        <v>1313</v>
      </c>
      <c r="B572" s="1">
        <v>45458</v>
      </c>
      <c r="C572" t="s">
        <v>1314</v>
      </c>
      <c r="D572" t="s">
        <v>194</v>
      </c>
      <c r="E572" t="s">
        <v>61</v>
      </c>
      <c r="F572" t="s">
        <v>62</v>
      </c>
      <c r="G572" t="s">
        <v>63</v>
      </c>
      <c r="H572" t="s">
        <v>84</v>
      </c>
      <c r="I572" t="s">
        <v>85</v>
      </c>
      <c r="J572" t="s">
        <v>145</v>
      </c>
      <c r="K572">
        <v>3</v>
      </c>
      <c r="L572">
        <v>3273.11</v>
      </c>
      <c r="M572">
        <v>0</v>
      </c>
      <c r="N572">
        <v>9819.33</v>
      </c>
      <c r="O572">
        <v>5454.96</v>
      </c>
      <c r="P572">
        <v>4364.37</v>
      </c>
      <c r="Q572" t="s">
        <v>53</v>
      </c>
      <c r="R572">
        <v>0.44446718869821061</v>
      </c>
      <c r="S572">
        <v>2024</v>
      </c>
      <c r="T572" t="s">
        <v>1244</v>
      </c>
      <c r="U572">
        <v>6</v>
      </c>
      <c r="V572" t="s">
        <v>878</v>
      </c>
    </row>
    <row r="573" spans="1:22" x14ac:dyDescent="0.3">
      <c r="A573" t="s">
        <v>1315</v>
      </c>
      <c r="B573" s="1">
        <v>45458</v>
      </c>
      <c r="C573" t="s">
        <v>1316</v>
      </c>
      <c r="D573" t="s">
        <v>806</v>
      </c>
      <c r="E573" t="s">
        <v>25</v>
      </c>
      <c r="F573" t="s">
        <v>26</v>
      </c>
      <c r="G573" t="s">
        <v>171</v>
      </c>
      <c r="H573" t="s">
        <v>43</v>
      </c>
      <c r="I573" t="s">
        <v>44</v>
      </c>
      <c r="J573" t="s">
        <v>248</v>
      </c>
      <c r="K573">
        <v>5</v>
      </c>
      <c r="L573">
        <v>299.45</v>
      </c>
      <c r="M573">
        <v>0.05</v>
      </c>
      <c r="N573">
        <v>1422.39</v>
      </c>
      <c r="O573">
        <v>644.28</v>
      </c>
      <c r="P573">
        <v>778.11</v>
      </c>
      <c r="Q573" t="s">
        <v>46</v>
      </c>
      <c r="R573">
        <v>0.5470440596460886</v>
      </c>
      <c r="S573">
        <v>2024</v>
      </c>
      <c r="T573" t="s">
        <v>1244</v>
      </c>
      <c r="U573">
        <v>6</v>
      </c>
      <c r="V573" t="s">
        <v>878</v>
      </c>
    </row>
    <row r="574" spans="1:22" x14ac:dyDescent="0.3">
      <c r="A574" t="s">
        <v>1317</v>
      </c>
      <c r="B574" s="1">
        <v>45458</v>
      </c>
      <c r="C574" t="s">
        <v>428</v>
      </c>
      <c r="D574" t="s">
        <v>301</v>
      </c>
      <c r="E574" t="s">
        <v>61</v>
      </c>
      <c r="F574" t="s">
        <v>62</v>
      </c>
      <c r="G574" t="s">
        <v>134</v>
      </c>
      <c r="H574" t="s">
        <v>28</v>
      </c>
      <c r="I574" t="s">
        <v>73</v>
      </c>
      <c r="J574" t="s">
        <v>74</v>
      </c>
      <c r="K574">
        <v>1</v>
      </c>
      <c r="L574">
        <v>2440.7600000000002</v>
      </c>
      <c r="M574">
        <v>0.15</v>
      </c>
      <c r="N574">
        <v>2074.65</v>
      </c>
      <c r="O574">
        <v>1355.19</v>
      </c>
      <c r="P574">
        <v>719.46</v>
      </c>
      <c r="Q574" t="s">
        <v>46</v>
      </c>
      <c r="R574">
        <v>0.34678620490203171</v>
      </c>
      <c r="S574">
        <v>2024</v>
      </c>
      <c r="T574" t="s">
        <v>1244</v>
      </c>
      <c r="U574">
        <v>6</v>
      </c>
      <c r="V574" t="s">
        <v>878</v>
      </c>
    </row>
    <row r="575" spans="1:22" x14ac:dyDescent="0.3">
      <c r="A575" t="s">
        <v>1318</v>
      </c>
      <c r="B575" s="1">
        <v>45458</v>
      </c>
      <c r="C575" t="s">
        <v>315</v>
      </c>
      <c r="D575" t="s">
        <v>954</v>
      </c>
      <c r="E575" t="s">
        <v>120</v>
      </c>
      <c r="F575" t="s">
        <v>121</v>
      </c>
      <c r="G575" t="s">
        <v>130</v>
      </c>
      <c r="H575" t="s">
        <v>28</v>
      </c>
      <c r="I575" t="s">
        <v>73</v>
      </c>
      <c r="J575" t="s">
        <v>74</v>
      </c>
      <c r="K575">
        <v>1</v>
      </c>
      <c r="L575">
        <v>2634.41</v>
      </c>
      <c r="M575">
        <v>0.15</v>
      </c>
      <c r="N575">
        <v>2239.25</v>
      </c>
      <c r="O575">
        <v>1407.22</v>
      </c>
      <c r="P575">
        <v>832.03</v>
      </c>
      <c r="Q575" t="s">
        <v>46</v>
      </c>
      <c r="R575">
        <v>0.37156637266942061</v>
      </c>
      <c r="S575">
        <v>2024</v>
      </c>
      <c r="T575" t="s">
        <v>1244</v>
      </c>
      <c r="U575">
        <v>6</v>
      </c>
      <c r="V575" t="s">
        <v>878</v>
      </c>
    </row>
    <row r="576" spans="1:22" x14ac:dyDescent="0.3">
      <c r="A576" t="s">
        <v>1319</v>
      </c>
      <c r="B576" s="1">
        <v>45459</v>
      </c>
      <c r="C576" t="s">
        <v>989</v>
      </c>
      <c r="D576" t="s">
        <v>209</v>
      </c>
      <c r="E576" t="s">
        <v>120</v>
      </c>
      <c r="F576" t="s">
        <v>121</v>
      </c>
      <c r="G576" t="s">
        <v>130</v>
      </c>
      <c r="H576" t="s">
        <v>28</v>
      </c>
      <c r="I576" t="s">
        <v>91</v>
      </c>
      <c r="J576" t="s">
        <v>126</v>
      </c>
      <c r="K576">
        <v>4</v>
      </c>
      <c r="L576">
        <v>1918.29</v>
      </c>
      <c r="M576">
        <v>0.05</v>
      </c>
      <c r="N576">
        <v>7289.5</v>
      </c>
      <c r="O576">
        <v>4468.8100000000004</v>
      </c>
      <c r="P576">
        <v>2820.69</v>
      </c>
      <c r="Q576" t="s">
        <v>46</v>
      </c>
      <c r="R576">
        <v>0.38695246587557453</v>
      </c>
      <c r="S576">
        <v>2024</v>
      </c>
      <c r="T576" t="s">
        <v>1244</v>
      </c>
      <c r="U576">
        <v>6</v>
      </c>
      <c r="V576" t="s">
        <v>878</v>
      </c>
    </row>
    <row r="577" spans="1:22" x14ac:dyDescent="0.3">
      <c r="A577" t="s">
        <v>1320</v>
      </c>
      <c r="B577" s="1">
        <v>45459</v>
      </c>
      <c r="C577" t="s">
        <v>432</v>
      </c>
      <c r="D577" t="s">
        <v>215</v>
      </c>
      <c r="E577" t="s">
        <v>120</v>
      </c>
      <c r="F577" t="s">
        <v>121</v>
      </c>
      <c r="G577" t="s">
        <v>122</v>
      </c>
      <c r="H577" t="s">
        <v>28</v>
      </c>
      <c r="I577" t="s">
        <v>91</v>
      </c>
      <c r="J577" t="s">
        <v>92</v>
      </c>
      <c r="K577">
        <v>1</v>
      </c>
      <c r="L577">
        <v>2862.91</v>
      </c>
      <c r="M577">
        <v>0.1</v>
      </c>
      <c r="N577">
        <v>2576.62</v>
      </c>
      <c r="O577">
        <v>1489.47</v>
      </c>
      <c r="P577">
        <v>1087.1500000000001</v>
      </c>
      <c r="Q577" t="s">
        <v>31</v>
      </c>
      <c r="R577">
        <v>0.42192872833401912</v>
      </c>
      <c r="S577">
        <v>2024</v>
      </c>
      <c r="T577" t="s">
        <v>1244</v>
      </c>
      <c r="U577">
        <v>6</v>
      </c>
      <c r="V577" t="s">
        <v>878</v>
      </c>
    </row>
    <row r="578" spans="1:22" x14ac:dyDescent="0.3">
      <c r="A578" t="s">
        <v>1321</v>
      </c>
      <c r="B578" s="1">
        <v>45460</v>
      </c>
      <c r="C578" t="s">
        <v>767</v>
      </c>
      <c r="D578" t="s">
        <v>238</v>
      </c>
      <c r="E578" t="s">
        <v>41</v>
      </c>
      <c r="F578" t="s">
        <v>42</v>
      </c>
      <c r="G578" t="s">
        <v>42</v>
      </c>
      <c r="H578" t="s">
        <v>43</v>
      </c>
      <c r="I578" t="s">
        <v>51</v>
      </c>
      <c r="J578" t="s">
        <v>96</v>
      </c>
      <c r="K578">
        <v>1</v>
      </c>
      <c r="L578">
        <v>498.62</v>
      </c>
      <c r="M578">
        <v>0.15</v>
      </c>
      <c r="N578">
        <v>423.83</v>
      </c>
      <c r="O578">
        <v>232.22</v>
      </c>
      <c r="P578">
        <v>191.61</v>
      </c>
      <c r="Q578" t="s">
        <v>67</v>
      </c>
      <c r="R578">
        <v>0.45209164051624479</v>
      </c>
      <c r="S578">
        <v>2024</v>
      </c>
      <c r="T578" t="s">
        <v>1244</v>
      </c>
      <c r="U578">
        <v>6</v>
      </c>
      <c r="V578" t="s">
        <v>878</v>
      </c>
    </row>
    <row r="579" spans="1:22" x14ac:dyDescent="0.3">
      <c r="A579" t="s">
        <v>1322</v>
      </c>
      <c r="B579" s="1">
        <v>45460</v>
      </c>
      <c r="C579" t="s">
        <v>448</v>
      </c>
      <c r="D579" t="s">
        <v>535</v>
      </c>
      <c r="E579" t="s">
        <v>61</v>
      </c>
      <c r="F579" t="s">
        <v>62</v>
      </c>
      <c r="G579" t="s">
        <v>63</v>
      </c>
      <c r="H579" t="s">
        <v>28</v>
      </c>
      <c r="I579" t="s">
        <v>91</v>
      </c>
      <c r="J579" t="s">
        <v>92</v>
      </c>
      <c r="K579">
        <v>4</v>
      </c>
      <c r="L579">
        <v>2871.18</v>
      </c>
      <c r="M579">
        <v>0.15</v>
      </c>
      <c r="N579">
        <v>9762.01</v>
      </c>
      <c r="O579">
        <v>5894.19</v>
      </c>
      <c r="P579">
        <v>3867.82</v>
      </c>
      <c r="Q579" t="s">
        <v>31</v>
      </c>
      <c r="R579">
        <v>0.39621143596451958</v>
      </c>
      <c r="S579">
        <v>2024</v>
      </c>
      <c r="T579" t="s">
        <v>1244</v>
      </c>
      <c r="U579">
        <v>6</v>
      </c>
      <c r="V579" t="s">
        <v>878</v>
      </c>
    </row>
    <row r="580" spans="1:22" x14ac:dyDescent="0.3">
      <c r="A580" t="s">
        <v>1323</v>
      </c>
      <c r="B580" s="1">
        <v>45460</v>
      </c>
      <c r="C580" t="s">
        <v>1324</v>
      </c>
      <c r="D580" t="s">
        <v>1148</v>
      </c>
      <c r="E580" t="s">
        <v>61</v>
      </c>
      <c r="F580" t="s">
        <v>78</v>
      </c>
      <c r="G580" t="s">
        <v>79</v>
      </c>
      <c r="H580" t="s">
        <v>43</v>
      </c>
      <c r="I580" t="s">
        <v>44</v>
      </c>
      <c r="J580" t="s">
        <v>45</v>
      </c>
      <c r="K580">
        <v>1</v>
      </c>
      <c r="L580">
        <v>237.41</v>
      </c>
      <c r="M580">
        <v>0.2</v>
      </c>
      <c r="N580">
        <v>189.93</v>
      </c>
      <c r="O580">
        <v>88.46</v>
      </c>
      <c r="P580">
        <v>101.47</v>
      </c>
      <c r="Q580" t="s">
        <v>31</v>
      </c>
      <c r="R580">
        <v>0.5342494603274891</v>
      </c>
      <c r="S580">
        <v>2024</v>
      </c>
      <c r="T580" t="s">
        <v>1244</v>
      </c>
      <c r="U580">
        <v>6</v>
      </c>
      <c r="V580" t="s">
        <v>878</v>
      </c>
    </row>
    <row r="581" spans="1:22" x14ac:dyDescent="0.3">
      <c r="A581" t="s">
        <v>1325</v>
      </c>
      <c r="B581" s="1">
        <v>45460</v>
      </c>
      <c r="C581" t="s">
        <v>956</v>
      </c>
      <c r="D581" t="s">
        <v>411</v>
      </c>
      <c r="E581" t="s">
        <v>120</v>
      </c>
      <c r="F581" t="s">
        <v>121</v>
      </c>
      <c r="G581" t="s">
        <v>130</v>
      </c>
      <c r="H581" t="s">
        <v>43</v>
      </c>
      <c r="I581" t="s">
        <v>44</v>
      </c>
      <c r="J581" t="s">
        <v>45</v>
      </c>
      <c r="K581">
        <v>2</v>
      </c>
      <c r="L581">
        <v>254.01</v>
      </c>
      <c r="M581">
        <v>0.1</v>
      </c>
      <c r="N581">
        <v>457.22</v>
      </c>
      <c r="O581">
        <v>195.44</v>
      </c>
      <c r="P581">
        <v>261.77999999999997</v>
      </c>
      <c r="Q581" t="s">
        <v>31</v>
      </c>
      <c r="R581">
        <v>0.57254713267136159</v>
      </c>
      <c r="S581">
        <v>2024</v>
      </c>
      <c r="T581" t="s">
        <v>1244</v>
      </c>
      <c r="U581">
        <v>6</v>
      </c>
      <c r="V581" t="s">
        <v>878</v>
      </c>
    </row>
    <row r="582" spans="1:22" x14ac:dyDescent="0.3">
      <c r="A582" t="s">
        <v>1326</v>
      </c>
      <c r="B582" s="1">
        <v>45461</v>
      </c>
      <c r="C582" t="s">
        <v>598</v>
      </c>
      <c r="D582" t="s">
        <v>524</v>
      </c>
      <c r="E582" t="s">
        <v>61</v>
      </c>
      <c r="F582" t="s">
        <v>71</v>
      </c>
      <c r="G582" t="s">
        <v>100</v>
      </c>
      <c r="H582" t="s">
        <v>28</v>
      </c>
      <c r="I582" t="s">
        <v>91</v>
      </c>
      <c r="J582" t="s">
        <v>92</v>
      </c>
      <c r="K582">
        <v>6</v>
      </c>
      <c r="L582">
        <v>2925.81</v>
      </c>
      <c r="M582">
        <v>0.05</v>
      </c>
      <c r="N582">
        <v>16677.12</v>
      </c>
      <c r="O582">
        <v>8808.7099999999991</v>
      </c>
      <c r="P582">
        <v>7868.41</v>
      </c>
      <c r="Q582" t="s">
        <v>31</v>
      </c>
      <c r="R582">
        <v>0.47180868159490369</v>
      </c>
      <c r="S582">
        <v>2024</v>
      </c>
      <c r="T582" t="s">
        <v>1244</v>
      </c>
      <c r="U582">
        <v>6</v>
      </c>
      <c r="V582" t="s">
        <v>878</v>
      </c>
    </row>
    <row r="583" spans="1:22" x14ac:dyDescent="0.3">
      <c r="A583" t="s">
        <v>1327</v>
      </c>
      <c r="B583" s="1">
        <v>45461</v>
      </c>
      <c r="C583" t="s">
        <v>1040</v>
      </c>
      <c r="D583" t="s">
        <v>497</v>
      </c>
      <c r="E583" t="s">
        <v>61</v>
      </c>
      <c r="F583" t="s">
        <v>71</v>
      </c>
      <c r="G583" t="s">
        <v>72</v>
      </c>
      <c r="H583" t="s">
        <v>84</v>
      </c>
      <c r="I583" t="s">
        <v>138</v>
      </c>
      <c r="J583" t="s">
        <v>220</v>
      </c>
      <c r="K583">
        <v>3</v>
      </c>
      <c r="L583">
        <v>7064.87</v>
      </c>
      <c r="M583">
        <v>0.05</v>
      </c>
      <c r="N583">
        <v>20134.88</v>
      </c>
      <c r="O583">
        <v>13907.77</v>
      </c>
      <c r="P583">
        <v>6227.11</v>
      </c>
      <c r="Q583" t="s">
        <v>53</v>
      </c>
      <c r="R583">
        <v>0.30926978457284071</v>
      </c>
      <c r="S583">
        <v>2024</v>
      </c>
      <c r="T583" t="s">
        <v>1244</v>
      </c>
      <c r="U583">
        <v>6</v>
      </c>
      <c r="V583" t="s">
        <v>878</v>
      </c>
    </row>
    <row r="584" spans="1:22" x14ac:dyDescent="0.3">
      <c r="A584" t="s">
        <v>1328</v>
      </c>
      <c r="B584" s="1">
        <v>45461</v>
      </c>
      <c r="C584" t="s">
        <v>1329</v>
      </c>
      <c r="D584" t="s">
        <v>1330</v>
      </c>
      <c r="E584" t="s">
        <v>61</v>
      </c>
      <c r="F584" t="s">
        <v>71</v>
      </c>
      <c r="G584" t="s">
        <v>100</v>
      </c>
      <c r="H584" t="s">
        <v>64</v>
      </c>
      <c r="I584" t="s">
        <v>108</v>
      </c>
      <c r="J584" t="s">
        <v>155</v>
      </c>
      <c r="K584">
        <v>3</v>
      </c>
      <c r="L584">
        <v>8528.89</v>
      </c>
      <c r="M584">
        <v>0.1</v>
      </c>
      <c r="N584">
        <v>23028</v>
      </c>
      <c r="O584">
        <v>16974.740000000002</v>
      </c>
      <c r="P584">
        <v>6053.26</v>
      </c>
      <c r="Q584" t="s">
        <v>31</v>
      </c>
      <c r="R584">
        <v>0.26286520757338888</v>
      </c>
      <c r="S584">
        <v>2024</v>
      </c>
      <c r="T584" t="s">
        <v>1244</v>
      </c>
      <c r="U584">
        <v>6</v>
      </c>
      <c r="V584" t="s">
        <v>878</v>
      </c>
    </row>
    <row r="585" spans="1:22" x14ac:dyDescent="0.3">
      <c r="A585" t="s">
        <v>1331</v>
      </c>
      <c r="B585" s="1">
        <v>45461</v>
      </c>
      <c r="C585" t="s">
        <v>1332</v>
      </c>
      <c r="D585" t="s">
        <v>1118</v>
      </c>
      <c r="E585" t="s">
        <v>41</v>
      </c>
      <c r="F585" t="s">
        <v>42</v>
      </c>
      <c r="G585" t="s">
        <v>50</v>
      </c>
      <c r="H585" t="s">
        <v>64</v>
      </c>
      <c r="I585" t="s">
        <v>65</v>
      </c>
      <c r="J585" t="s">
        <v>66</v>
      </c>
      <c r="K585">
        <v>4</v>
      </c>
      <c r="L585">
        <v>4915.5</v>
      </c>
      <c r="M585">
        <v>0.05</v>
      </c>
      <c r="N585">
        <v>18678.900000000001</v>
      </c>
      <c r="O585">
        <v>11683.28</v>
      </c>
      <c r="P585">
        <v>6995.62</v>
      </c>
      <c r="Q585" t="s">
        <v>31</v>
      </c>
      <c r="R585">
        <v>0.37451991284283331</v>
      </c>
      <c r="S585">
        <v>2024</v>
      </c>
      <c r="T585" t="s">
        <v>1244</v>
      </c>
      <c r="U585">
        <v>6</v>
      </c>
      <c r="V585" t="s">
        <v>878</v>
      </c>
    </row>
    <row r="586" spans="1:22" x14ac:dyDescent="0.3">
      <c r="A586" t="s">
        <v>1333</v>
      </c>
      <c r="B586" s="1">
        <v>45462</v>
      </c>
      <c r="C586" t="s">
        <v>384</v>
      </c>
      <c r="D586" t="s">
        <v>698</v>
      </c>
      <c r="E586" t="s">
        <v>120</v>
      </c>
      <c r="F586" t="s">
        <v>121</v>
      </c>
      <c r="G586" t="s">
        <v>122</v>
      </c>
      <c r="H586" t="s">
        <v>64</v>
      </c>
      <c r="I586" t="s">
        <v>108</v>
      </c>
      <c r="J586" t="s">
        <v>109</v>
      </c>
      <c r="K586">
        <v>6</v>
      </c>
      <c r="L586">
        <v>7365.67</v>
      </c>
      <c r="M586">
        <v>0.15</v>
      </c>
      <c r="N586">
        <v>37564.92</v>
      </c>
      <c r="O586">
        <v>28977.97</v>
      </c>
      <c r="P586">
        <v>8586.9500000000007</v>
      </c>
      <c r="Q586" t="s">
        <v>31</v>
      </c>
      <c r="R586">
        <v>0.22858959901951079</v>
      </c>
      <c r="S586">
        <v>2024</v>
      </c>
      <c r="T586" t="s">
        <v>1244</v>
      </c>
      <c r="U586">
        <v>6</v>
      </c>
      <c r="V586" t="s">
        <v>878</v>
      </c>
    </row>
    <row r="587" spans="1:22" x14ac:dyDescent="0.3">
      <c r="A587" t="s">
        <v>1334</v>
      </c>
      <c r="B587" s="1">
        <v>45462</v>
      </c>
      <c r="C587" t="s">
        <v>1019</v>
      </c>
      <c r="D587" t="s">
        <v>227</v>
      </c>
      <c r="E587" t="s">
        <v>120</v>
      </c>
      <c r="F587" t="s">
        <v>121</v>
      </c>
      <c r="G587" t="s">
        <v>130</v>
      </c>
      <c r="H587" t="s">
        <v>84</v>
      </c>
      <c r="I587" t="s">
        <v>138</v>
      </c>
      <c r="J587" t="s">
        <v>220</v>
      </c>
      <c r="K587">
        <v>3</v>
      </c>
      <c r="L587">
        <v>7505.34</v>
      </c>
      <c r="M587">
        <v>0.15</v>
      </c>
      <c r="N587">
        <v>19138.62</v>
      </c>
      <c r="O587">
        <v>14195.37</v>
      </c>
      <c r="P587">
        <v>4943.25</v>
      </c>
      <c r="Q587" t="s">
        <v>53</v>
      </c>
      <c r="R587">
        <v>0.25828664762663139</v>
      </c>
      <c r="S587">
        <v>2024</v>
      </c>
      <c r="T587" t="s">
        <v>1244</v>
      </c>
      <c r="U587">
        <v>6</v>
      </c>
      <c r="V587" t="s">
        <v>878</v>
      </c>
    </row>
    <row r="588" spans="1:22" x14ac:dyDescent="0.3">
      <c r="A588" t="s">
        <v>1335</v>
      </c>
      <c r="B588" s="1">
        <v>45463</v>
      </c>
      <c r="C588" t="s">
        <v>1336</v>
      </c>
      <c r="D588" t="s">
        <v>148</v>
      </c>
      <c r="E588" t="s">
        <v>120</v>
      </c>
      <c r="F588" t="s">
        <v>121</v>
      </c>
      <c r="G588" t="s">
        <v>122</v>
      </c>
      <c r="H588" t="s">
        <v>43</v>
      </c>
      <c r="I588" t="s">
        <v>44</v>
      </c>
      <c r="J588" t="s">
        <v>45</v>
      </c>
      <c r="K588">
        <v>2</v>
      </c>
      <c r="L588">
        <v>245.93</v>
      </c>
      <c r="M588">
        <v>0.15</v>
      </c>
      <c r="N588">
        <v>418.08</v>
      </c>
      <c r="O588">
        <v>183.08</v>
      </c>
      <c r="P588">
        <v>235</v>
      </c>
      <c r="Q588" t="s">
        <v>46</v>
      </c>
      <c r="R588">
        <v>0.56209337925755842</v>
      </c>
      <c r="S588">
        <v>2024</v>
      </c>
      <c r="T588" t="s">
        <v>1244</v>
      </c>
      <c r="U588">
        <v>6</v>
      </c>
      <c r="V588" t="s">
        <v>878</v>
      </c>
    </row>
    <row r="589" spans="1:22" x14ac:dyDescent="0.3">
      <c r="A589" t="s">
        <v>1337</v>
      </c>
      <c r="B589" s="1">
        <v>45463</v>
      </c>
      <c r="C589" t="s">
        <v>436</v>
      </c>
      <c r="D589" t="s">
        <v>1338</v>
      </c>
      <c r="E589" t="s">
        <v>61</v>
      </c>
      <c r="F589" t="s">
        <v>78</v>
      </c>
      <c r="G589" t="s">
        <v>104</v>
      </c>
      <c r="H589" t="s">
        <v>28</v>
      </c>
      <c r="I589" t="s">
        <v>91</v>
      </c>
      <c r="J589" t="s">
        <v>126</v>
      </c>
      <c r="K589">
        <v>4</v>
      </c>
      <c r="L589">
        <v>1920.56</v>
      </c>
      <c r="M589">
        <v>0.2</v>
      </c>
      <c r="N589">
        <v>6145.79</v>
      </c>
      <c r="O589">
        <v>4442.41</v>
      </c>
      <c r="P589">
        <v>1703.38</v>
      </c>
      <c r="Q589" t="s">
        <v>31</v>
      </c>
      <c r="R589">
        <v>0.27716208982083668</v>
      </c>
      <c r="S589">
        <v>2024</v>
      </c>
      <c r="T589" t="s">
        <v>1244</v>
      </c>
      <c r="U589">
        <v>6</v>
      </c>
      <c r="V589" t="s">
        <v>878</v>
      </c>
    </row>
    <row r="590" spans="1:22" x14ac:dyDescent="0.3">
      <c r="A590" t="s">
        <v>1339</v>
      </c>
      <c r="B590" s="1">
        <v>45463</v>
      </c>
      <c r="C590" t="s">
        <v>187</v>
      </c>
      <c r="D590" t="s">
        <v>604</v>
      </c>
      <c r="E590" t="s">
        <v>120</v>
      </c>
      <c r="F590" t="s">
        <v>121</v>
      </c>
      <c r="G590" t="s">
        <v>130</v>
      </c>
      <c r="H590" t="s">
        <v>43</v>
      </c>
      <c r="I590" t="s">
        <v>51</v>
      </c>
      <c r="J590" t="s">
        <v>96</v>
      </c>
      <c r="K590">
        <v>2</v>
      </c>
      <c r="L590">
        <v>506.22</v>
      </c>
      <c r="M590">
        <v>0.1</v>
      </c>
      <c r="N590">
        <v>911.2</v>
      </c>
      <c r="O590">
        <v>452.16</v>
      </c>
      <c r="P590">
        <v>459.04</v>
      </c>
      <c r="Q590" t="s">
        <v>53</v>
      </c>
      <c r="R590">
        <v>0.50377524143985952</v>
      </c>
      <c r="S590">
        <v>2024</v>
      </c>
      <c r="T590" t="s">
        <v>1244</v>
      </c>
      <c r="U590">
        <v>6</v>
      </c>
      <c r="V590" t="s">
        <v>878</v>
      </c>
    </row>
    <row r="591" spans="1:22" x14ac:dyDescent="0.3">
      <c r="A591" t="s">
        <v>1340</v>
      </c>
      <c r="B591" s="1">
        <v>45463</v>
      </c>
      <c r="C591" t="s">
        <v>937</v>
      </c>
      <c r="D591" t="s">
        <v>227</v>
      </c>
      <c r="E591" t="s">
        <v>61</v>
      </c>
      <c r="F591" t="s">
        <v>62</v>
      </c>
      <c r="G591" t="s">
        <v>228</v>
      </c>
      <c r="H591" t="s">
        <v>28</v>
      </c>
      <c r="I591" t="s">
        <v>91</v>
      </c>
      <c r="J591" t="s">
        <v>126</v>
      </c>
      <c r="K591">
        <v>6</v>
      </c>
      <c r="L591">
        <v>2053.37</v>
      </c>
      <c r="M591">
        <v>0.05</v>
      </c>
      <c r="N591">
        <v>11704.21</v>
      </c>
      <c r="O591">
        <v>6992.02</v>
      </c>
      <c r="P591">
        <v>4712.1899999999996</v>
      </c>
      <c r="Q591" t="s">
        <v>31</v>
      </c>
      <c r="R591">
        <v>0.40260641256436791</v>
      </c>
      <c r="S591">
        <v>2024</v>
      </c>
      <c r="T591" t="s">
        <v>1244</v>
      </c>
      <c r="U591">
        <v>6</v>
      </c>
      <c r="V591" t="s">
        <v>878</v>
      </c>
    </row>
    <row r="592" spans="1:22" x14ac:dyDescent="0.3">
      <c r="A592" t="s">
        <v>1341</v>
      </c>
      <c r="B592" s="1">
        <v>45464</v>
      </c>
      <c r="C592" t="s">
        <v>1342</v>
      </c>
      <c r="D592" t="s">
        <v>494</v>
      </c>
      <c r="E592" t="s">
        <v>61</v>
      </c>
      <c r="F592" t="s">
        <v>78</v>
      </c>
      <c r="G592" t="s">
        <v>79</v>
      </c>
      <c r="H592" t="s">
        <v>28</v>
      </c>
      <c r="I592" t="s">
        <v>29</v>
      </c>
      <c r="J592" t="s">
        <v>30</v>
      </c>
      <c r="K592">
        <v>2</v>
      </c>
      <c r="L592">
        <v>60169.46</v>
      </c>
      <c r="M592">
        <v>0.05</v>
      </c>
      <c r="N592">
        <v>114321.97</v>
      </c>
      <c r="O592">
        <v>103326.9</v>
      </c>
      <c r="P592">
        <v>10995.07</v>
      </c>
      <c r="Q592" t="s">
        <v>53</v>
      </c>
      <c r="R592">
        <v>9.6176351754610243E-2</v>
      </c>
      <c r="S592">
        <v>2024</v>
      </c>
      <c r="T592" t="s">
        <v>1244</v>
      </c>
      <c r="U592">
        <v>6</v>
      </c>
      <c r="V592" t="s">
        <v>878</v>
      </c>
    </row>
    <row r="593" spans="1:22" x14ac:dyDescent="0.3">
      <c r="A593" t="s">
        <v>1343</v>
      </c>
      <c r="B593" s="1">
        <v>45464</v>
      </c>
      <c r="C593" t="s">
        <v>1306</v>
      </c>
      <c r="D593" t="s">
        <v>780</v>
      </c>
      <c r="E593" t="s">
        <v>120</v>
      </c>
      <c r="F593" t="s">
        <v>121</v>
      </c>
      <c r="G593" t="s">
        <v>130</v>
      </c>
      <c r="H593" t="s">
        <v>43</v>
      </c>
      <c r="I593" t="s">
        <v>51</v>
      </c>
      <c r="J593" t="s">
        <v>52</v>
      </c>
      <c r="K593">
        <v>1</v>
      </c>
      <c r="L593">
        <v>674.61</v>
      </c>
      <c r="M593">
        <v>0</v>
      </c>
      <c r="N593">
        <v>674.61</v>
      </c>
      <c r="O593">
        <v>315.11</v>
      </c>
      <c r="P593">
        <v>359.5</v>
      </c>
      <c r="Q593" t="s">
        <v>46</v>
      </c>
      <c r="R593">
        <v>0.53290049065385925</v>
      </c>
      <c r="S593">
        <v>2024</v>
      </c>
      <c r="T593" t="s">
        <v>1244</v>
      </c>
      <c r="U593">
        <v>6</v>
      </c>
      <c r="V593" t="s">
        <v>878</v>
      </c>
    </row>
    <row r="594" spans="1:22" x14ac:dyDescent="0.3">
      <c r="A594" t="s">
        <v>1344</v>
      </c>
      <c r="B594" s="1">
        <v>45464</v>
      </c>
      <c r="C594" t="s">
        <v>214</v>
      </c>
      <c r="D594" t="s">
        <v>1345</v>
      </c>
      <c r="E594" t="s">
        <v>61</v>
      </c>
      <c r="F594" t="s">
        <v>62</v>
      </c>
      <c r="G594" t="s">
        <v>63</v>
      </c>
      <c r="H594" t="s">
        <v>28</v>
      </c>
      <c r="I594" t="s">
        <v>73</v>
      </c>
      <c r="J594" t="s">
        <v>80</v>
      </c>
      <c r="K594">
        <v>2</v>
      </c>
      <c r="L594">
        <v>777.34</v>
      </c>
      <c r="M594">
        <v>0.15</v>
      </c>
      <c r="N594">
        <v>1321.48</v>
      </c>
      <c r="O594">
        <v>946.6</v>
      </c>
      <c r="P594">
        <v>374.88</v>
      </c>
      <c r="Q594" t="s">
        <v>31</v>
      </c>
      <c r="R594">
        <v>0.28368193237884798</v>
      </c>
      <c r="S594">
        <v>2024</v>
      </c>
      <c r="T594" t="s">
        <v>1244</v>
      </c>
      <c r="U594">
        <v>6</v>
      </c>
      <c r="V594" t="s">
        <v>878</v>
      </c>
    </row>
    <row r="595" spans="1:22" x14ac:dyDescent="0.3">
      <c r="A595" t="s">
        <v>1346</v>
      </c>
      <c r="B595" s="1">
        <v>45464</v>
      </c>
      <c r="C595" t="s">
        <v>669</v>
      </c>
      <c r="D595" t="s">
        <v>490</v>
      </c>
      <c r="E595" t="s">
        <v>61</v>
      </c>
      <c r="F595" t="s">
        <v>78</v>
      </c>
      <c r="G595" t="s">
        <v>83</v>
      </c>
      <c r="H595" t="s">
        <v>43</v>
      </c>
      <c r="I595" t="s">
        <v>44</v>
      </c>
      <c r="J595" t="s">
        <v>45</v>
      </c>
      <c r="K595">
        <v>4</v>
      </c>
      <c r="L595">
        <v>250.09</v>
      </c>
      <c r="M595">
        <v>0.15</v>
      </c>
      <c r="N595">
        <v>850.31</v>
      </c>
      <c r="O595">
        <v>378.09</v>
      </c>
      <c r="P595">
        <v>472.22</v>
      </c>
      <c r="Q595" t="s">
        <v>113</v>
      </c>
      <c r="R595">
        <v>0.55535040161823346</v>
      </c>
      <c r="S595">
        <v>2024</v>
      </c>
      <c r="T595" t="s">
        <v>1244</v>
      </c>
      <c r="U595">
        <v>6</v>
      </c>
      <c r="V595" t="s">
        <v>878</v>
      </c>
    </row>
    <row r="596" spans="1:22" x14ac:dyDescent="0.3">
      <c r="A596" t="s">
        <v>1347</v>
      </c>
      <c r="B596" s="1">
        <v>45464</v>
      </c>
      <c r="C596" t="s">
        <v>1348</v>
      </c>
      <c r="D596" t="s">
        <v>1096</v>
      </c>
      <c r="E596" t="s">
        <v>61</v>
      </c>
      <c r="F596" t="s">
        <v>78</v>
      </c>
      <c r="G596" t="s">
        <v>83</v>
      </c>
      <c r="H596" t="s">
        <v>64</v>
      </c>
      <c r="I596" t="s">
        <v>108</v>
      </c>
      <c r="J596" t="s">
        <v>109</v>
      </c>
      <c r="K596">
        <v>5</v>
      </c>
      <c r="L596">
        <v>7173.48</v>
      </c>
      <c r="M596">
        <v>0.1</v>
      </c>
      <c r="N596">
        <v>32280.66</v>
      </c>
      <c r="O596">
        <v>23555.94</v>
      </c>
      <c r="P596">
        <v>8724.7199999999993</v>
      </c>
      <c r="Q596" t="s">
        <v>46</v>
      </c>
      <c r="R596">
        <v>0.27027700177133918</v>
      </c>
      <c r="S596">
        <v>2024</v>
      </c>
      <c r="T596" t="s">
        <v>1244</v>
      </c>
      <c r="U596">
        <v>6</v>
      </c>
      <c r="V596" t="s">
        <v>878</v>
      </c>
    </row>
    <row r="597" spans="1:22" x14ac:dyDescent="0.3">
      <c r="A597" t="s">
        <v>1349</v>
      </c>
      <c r="B597" s="1">
        <v>45465</v>
      </c>
      <c r="C597" t="s">
        <v>1131</v>
      </c>
      <c r="D597" t="s">
        <v>1098</v>
      </c>
      <c r="E597" t="s">
        <v>61</v>
      </c>
      <c r="F597" t="s">
        <v>62</v>
      </c>
      <c r="G597" t="s">
        <v>63</v>
      </c>
      <c r="H597" t="s">
        <v>43</v>
      </c>
      <c r="I597" t="s">
        <v>51</v>
      </c>
      <c r="J597" t="s">
        <v>96</v>
      </c>
      <c r="K597">
        <v>1</v>
      </c>
      <c r="L597">
        <v>505.42</v>
      </c>
      <c r="M597">
        <v>0.15</v>
      </c>
      <c r="N597">
        <v>429.61</v>
      </c>
      <c r="O597">
        <v>221.34</v>
      </c>
      <c r="P597">
        <v>208.27</v>
      </c>
      <c r="Q597" t="s">
        <v>46</v>
      </c>
      <c r="R597">
        <v>0.4847885291310724</v>
      </c>
      <c r="S597">
        <v>2024</v>
      </c>
      <c r="T597" t="s">
        <v>1244</v>
      </c>
      <c r="U597">
        <v>6</v>
      </c>
      <c r="V597" t="s">
        <v>878</v>
      </c>
    </row>
    <row r="598" spans="1:22" x14ac:dyDescent="0.3">
      <c r="A598" t="s">
        <v>1350</v>
      </c>
      <c r="B598" s="1">
        <v>45465</v>
      </c>
      <c r="C598" t="s">
        <v>1351</v>
      </c>
      <c r="D598" t="s">
        <v>954</v>
      </c>
      <c r="E598" t="s">
        <v>120</v>
      </c>
      <c r="F598" t="s">
        <v>121</v>
      </c>
      <c r="G598" t="s">
        <v>224</v>
      </c>
      <c r="H598" t="s">
        <v>28</v>
      </c>
      <c r="I598" t="s">
        <v>73</v>
      </c>
      <c r="J598" t="s">
        <v>74</v>
      </c>
      <c r="K598">
        <v>1</v>
      </c>
      <c r="L598">
        <v>2363.23</v>
      </c>
      <c r="M598">
        <v>0</v>
      </c>
      <c r="N598">
        <v>2363.23</v>
      </c>
      <c r="O598">
        <v>1327.05</v>
      </c>
      <c r="P598">
        <v>1036.18</v>
      </c>
      <c r="Q598" t="s">
        <v>46</v>
      </c>
      <c r="R598">
        <v>0.43845922741332838</v>
      </c>
      <c r="S598">
        <v>2024</v>
      </c>
      <c r="T598" t="s">
        <v>1244</v>
      </c>
      <c r="U598">
        <v>6</v>
      </c>
      <c r="V598" t="s">
        <v>878</v>
      </c>
    </row>
    <row r="599" spans="1:22" x14ac:dyDescent="0.3">
      <c r="A599" t="s">
        <v>1352</v>
      </c>
      <c r="B599" s="1">
        <v>45465</v>
      </c>
      <c r="C599" t="s">
        <v>784</v>
      </c>
      <c r="D599" t="s">
        <v>678</v>
      </c>
      <c r="E599" t="s">
        <v>120</v>
      </c>
      <c r="F599" t="s">
        <v>121</v>
      </c>
      <c r="G599" t="s">
        <v>130</v>
      </c>
      <c r="H599" t="s">
        <v>84</v>
      </c>
      <c r="I599" t="s">
        <v>85</v>
      </c>
      <c r="J599" t="s">
        <v>86</v>
      </c>
      <c r="K599">
        <v>2</v>
      </c>
      <c r="L599">
        <v>1745.14</v>
      </c>
      <c r="M599">
        <v>0.15</v>
      </c>
      <c r="N599">
        <v>2966.74</v>
      </c>
      <c r="O599">
        <v>1954.76</v>
      </c>
      <c r="P599">
        <v>1011.98</v>
      </c>
      <c r="Q599" t="s">
        <v>31</v>
      </c>
      <c r="R599">
        <v>0.34110842203900582</v>
      </c>
      <c r="S599">
        <v>2024</v>
      </c>
      <c r="T599" t="s">
        <v>1244</v>
      </c>
      <c r="U599">
        <v>6</v>
      </c>
      <c r="V599" t="s">
        <v>878</v>
      </c>
    </row>
    <row r="600" spans="1:22" x14ac:dyDescent="0.3">
      <c r="A600" t="s">
        <v>1353</v>
      </c>
      <c r="B600" s="1">
        <v>45465</v>
      </c>
      <c r="C600" t="s">
        <v>1025</v>
      </c>
      <c r="D600" t="s">
        <v>844</v>
      </c>
      <c r="E600" t="s">
        <v>41</v>
      </c>
      <c r="F600" t="s">
        <v>42</v>
      </c>
      <c r="G600" t="s">
        <v>42</v>
      </c>
      <c r="H600" t="s">
        <v>28</v>
      </c>
      <c r="I600" t="s">
        <v>73</v>
      </c>
      <c r="J600" t="s">
        <v>74</v>
      </c>
      <c r="K600">
        <v>2</v>
      </c>
      <c r="L600">
        <v>2404.65</v>
      </c>
      <c r="M600">
        <v>0.05</v>
      </c>
      <c r="N600">
        <v>4568.84</v>
      </c>
      <c r="O600">
        <v>2637.46</v>
      </c>
      <c r="P600">
        <v>1931.38</v>
      </c>
      <c r="Q600" t="s">
        <v>67</v>
      </c>
      <c r="R600">
        <v>0.42272874515194231</v>
      </c>
      <c r="S600">
        <v>2024</v>
      </c>
      <c r="T600" t="s">
        <v>1244</v>
      </c>
      <c r="U600">
        <v>6</v>
      </c>
      <c r="V600" t="s">
        <v>878</v>
      </c>
    </row>
    <row r="601" spans="1:22" x14ac:dyDescent="0.3">
      <c r="A601" t="s">
        <v>1354</v>
      </c>
      <c r="B601" s="1">
        <v>45466</v>
      </c>
      <c r="C601" t="s">
        <v>514</v>
      </c>
      <c r="D601" t="s">
        <v>820</v>
      </c>
      <c r="E601" t="s">
        <v>61</v>
      </c>
      <c r="F601" t="s">
        <v>78</v>
      </c>
      <c r="G601" t="s">
        <v>79</v>
      </c>
      <c r="H601" t="s">
        <v>84</v>
      </c>
      <c r="I601" t="s">
        <v>138</v>
      </c>
      <c r="J601" t="s">
        <v>220</v>
      </c>
      <c r="K601">
        <v>6</v>
      </c>
      <c r="L601">
        <v>7491.73</v>
      </c>
      <c r="M601">
        <v>0</v>
      </c>
      <c r="N601">
        <v>44950.38</v>
      </c>
      <c r="O601">
        <v>30142.84</v>
      </c>
      <c r="P601">
        <v>14807.54</v>
      </c>
      <c r="Q601" t="s">
        <v>53</v>
      </c>
      <c r="R601">
        <v>0.32941968454994153</v>
      </c>
      <c r="S601">
        <v>2024</v>
      </c>
      <c r="T601" t="s">
        <v>1244</v>
      </c>
      <c r="U601">
        <v>6</v>
      </c>
      <c r="V601" t="s">
        <v>878</v>
      </c>
    </row>
    <row r="602" spans="1:22" x14ac:dyDescent="0.3">
      <c r="A602" t="s">
        <v>1355</v>
      </c>
      <c r="B602" s="1">
        <v>45466</v>
      </c>
      <c r="C602" t="s">
        <v>870</v>
      </c>
      <c r="D602" t="s">
        <v>462</v>
      </c>
      <c r="E602" t="s">
        <v>120</v>
      </c>
      <c r="F602" t="s">
        <v>121</v>
      </c>
      <c r="G602" t="s">
        <v>224</v>
      </c>
      <c r="H602" t="s">
        <v>84</v>
      </c>
      <c r="I602" t="s">
        <v>138</v>
      </c>
      <c r="J602" t="s">
        <v>139</v>
      </c>
      <c r="K602">
        <v>4</v>
      </c>
      <c r="L602">
        <v>13468.47</v>
      </c>
      <c r="M602">
        <v>0</v>
      </c>
      <c r="N602">
        <v>53873.88</v>
      </c>
      <c r="O602">
        <v>40116.699999999997</v>
      </c>
      <c r="P602">
        <v>13757.18</v>
      </c>
      <c r="Q602" t="s">
        <v>113</v>
      </c>
      <c r="R602">
        <v>0.25535899771837478</v>
      </c>
      <c r="S602">
        <v>2024</v>
      </c>
      <c r="T602" t="s">
        <v>1244</v>
      </c>
      <c r="U602">
        <v>6</v>
      </c>
      <c r="V602" t="s">
        <v>878</v>
      </c>
    </row>
    <row r="603" spans="1:22" x14ac:dyDescent="0.3">
      <c r="A603" t="s">
        <v>1356</v>
      </c>
      <c r="B603" s="1">
        <v>45466</v>
      </c>
      <c r="C603" t="s">
        <v>1357</v>
      </c>
      <c r="D603" t="s">
        <v>770</v>
      </c>
      <c r="E603" t="s">
        <v>41</v>
      </c>
      <c r="F603" t="s">
        <v>42</v>
      </c>
      <c r="G603" t="s">
        <v>50</v>
      </c>
      <c r="H603" t="s">
        <v>64</v>
      </c>
      <c r="I603" t="s">
        <v>65</v>
      </c>
      <c r="J603" t="s">
        <v>232</v>
      </c>
      <c r="K603">
        <v>3</v>
      </c>
      <c r="L603">
        <v>4047.14</v>
      </c>
      <c r="M603">
        <v>0.1</v>
      </c>
      <c r="N603">
        <v>10927.28</v>
      </c>
      <c r="O603">
        <v>7484.43</v>
      </c>
      <c r="P603">
        <v>3442.85</v>
      </c>
      <c r="Q603" t="s">
        <v>31</v>
      </c>
      <c r="R603">
        <v>0.31506925785739909</v>
      </c>
      <c r="S603">
        <v>2024</v>
      </c>
      <c r="T603" t="s">
        <v>1244</v>
      </c>
      <c r="U603">
        <v>6</v>
      </c>
      <c r="V603" t="s">
        <v>878</v>
      </c>
    </row>
    <row r="604" spans="1:22" x14ac:dyDescent="0.3">
      <c r="A604" t="s">
        <v>1358</v>
      </c>
      <c r="B604" s="1">
        <v>45467</v>
      </c>
      <c r="C604" t="s">
        <v>102</v>
      </c>
      <c r="D604" t="s">
        <v>562</v>
      </c>
      <c r="E604" t="s">
        <v>41</v>
      </c>
      <c r="F604" t="s">
        <v>42</v>
      </c>
      <c r="G604" t="s">
        <v>50</v>
      </c>
      <c r="H604" t="s">
        <v>28</v>
      </c>
      <c r="I604" t="s">
        <v>29</v>
      </c>
      <c r="J604" t="s">
        <v>57</v>
      </c>
      <c r="K604">
        <v>4</v>
      </c>
      <c r="L604">
        <v>15782.97</v>
      </c>
      <c r="M604">
        <v>0.15</v>
      </c>
      <c r="N604">
        <v>53662.1</v>
      </c>
      <c r="O604">
        <v>46547.12</v>
      </c>
      <c r="P604">
        <v>7114.98</v>
      </c>
      <c r="Q604" t="s">
        <v>31</v>
      </c>
      <c r="R604">
        <v>0.1325885494604199</v>
      </c>
      <c r="S604">
        <v>2024</v>
      </c>
      <c r="T604" t="s">
        <v>1244</v>
      </c>
      <c r="U604">
        <v>6</v>
      </c>
      <c r="V604" t="s">
        <v>878</v>
      </c>
    </row>
    <row r="605" spans="1:22" x14ac:dyDescent="0.3">
      <c r="A605" t="s">
        <v>1359</v>
      </c>
      <c r="B605" s="1">
        <v>45467</v>
      </c>
      <c r="C605" t="s">
        <v>596</v>
      </c>
      <c r="D605" t="s">
        <v>1106</v>
      </c>
      <c r="E605" t="s">
        <v>61</v>
      </c>
      <c r="F605" t="s">
        <v>71</v>
      </c>
      <c r="G605" t="s">
        <v>317</v>
      </c>
      <c r="H605" t="s">
        <v>64</v>
      </c>
      <c r="I605" t="s">
        <v>108</v>
      </c>
      <c r="J605" t="s">
        <v>109</v>
      </c>
      <c r="K605">
        <v>1</v>
      </c>
      <c r="L605">
        <v>6819.92</v>
      </c>
      <c r="M605">
        <v>0.1</v>
      </c>
      <c r="N605">
        <v>6137.93</v>
      </c>
      <c r="O605">
        <v>4330.7700000000004</v>
      </c>
      <c r="P605">
        <v>1807.16</v>
      </c>
      <c r="Q605" t="s">
        <v>46</v>
      </c>
      <c r="R605">
        <v>0.29442499344241457</v>
      </c>
      <c r="S605">
        <v>2024</v>
      </c>
      <c r="T605" t="s">
        <v>1244</v>
      </c>
      <c r="U605">
        <v>6</v>
      </c>
      <c r="V605" t="s">
        <v>878</v>
      </c>
    </row>
    <row r="606" spans="1:22" x14ac:dyDescent="0.3">
      <c r="A606" t="s">
        <v>1360</v>
      </c>
      <c r="B606" s="1">
        <v>45467</v>
      </c>
      <c r="C606" t="s">
        <v>908</v>
      </c>
      <c r="D606" t="s">
        <v>540</v>
      </c>
      <c r="E606" t="s">
        <v>25</v>
      </c>
      <c r="F606" t="s">
        <v>26</v>
      </c>
      <c r="G606" t="s">
        <v>27</v>
      </c>
      <c r="H606" t="s">
        <v>43</v>
      </c>
      <c r="I606" t="s">
        <v>51</v>
      </c>
      <c r="J606" t="s">
        <v>96</v>
      </c>
      <c r="K606">
        <v>3</v>
      </c>
      <c r="L606">
        <v>477.91</v>
      </c>
      <c r="M606">
        <v>0.1</v>
      </c>
      <c r="N606">
        <v>1290.3599999999999</v>
      </c>
      <c r="O606">
        <v>666.81</v>
      </c>
      <c r="P606">
        <v>623.54999999999995</v>
      </c>
      <c r="Q606" t="s">
        <v>31</v>
      </c>
      <c r="R606">
        <v>0.48323723612015251</v>
      </c>
      <c r="S606">
        <v>2024</v>
      </c>
      <c r="T606" t="s">
        <v>1244</v>
      </c>
      <c r="U606">
        <v>6</v>
      </c>
      <c r="V606" t="s">
        <v>878</v>
      </c>
    </row>
    <row r="607" spans="1:22" x14ac:dyDescent="0.3">
      <c r="A607" t="s">
        <v>1361</v>
      </c>
      <c r="B607" s="1">
        <v>45468</v>
      </c>
      <c r="C607" t="s">
        <v>1362</v>
      </c>
      <c r="D607" t="s">
        <v>695</v>
      </c>
      <c r="E607" t="s">
        <v>41</v>
      </c>
      <c r="F607" t="s">
        <v>42</v>
      </c>
      <c r="G607" t="s">
        <v>42</v>
      </c>
      <c r="H607" t="s">
        <v>28</v>
      </c>
      <c r="I607" t="s">
        <v>73</v>
      </c>
      <c r="J607" t="s">
        <v>74</v>
      </c>
      <c r="K607">
        <v>6</v>
      </c>
      <c r="L607">
        <v>2505.87</v>
      </c>
      <c r="M607">
        <v>0.1</v>
      </c>
      <c r="N607">
        <v>13531.7</v>
      </c>
      <c r="O607">
        <v>8540.2900000000009</v>
      </c>
      <c r="P607">
        <v>4991.41</v>
      </c>
      <c r="Q607" t="s">
        <v>67</v>
      </c>
      <c r="R607">
        <v>0.36886791755655229</v>
      </c>
      <c r="S607">
        <v>2024</v>
      </c>
      <c r="T607" t="s">
        <v>1244</v>
      </c>
      <c r="U607">
        <v>6</v>
      </c>
      <c r="V607" t="s">
        <v>878</v>
      </c>
    </row>
    <row r="608" spans="1:22" x14ac:dyDescent="0.3">
      <c r="A608" t="s">
        <v>1363</v>
      </c>
      <c r="B608" s="1">
        <v>45468</v>
      </c>
      <c r="C608" t="s">
        <v>1276</v>
      </c>
      <c r="D608" t="s">
        <v>609</v>
      </c>
      <c r="E608" t="s">
        <v>25</v>
      </c>
      <c r="F608" t="s">
        <v>26</v>
      </c>
      <c r="G608" t="s">
        <v>27</v>
      </c>
      <c r="H608" t="s">
        <v>28</v>
      </c>
      <c r="I608" t="s">
        <v>73</v>
      </c>
      <c r="J608" t="s">
        <v>74</v>
      </c>
      <c r="K608">
        <v>2</v>
      </c>
      <c r="L608">
        <v>2368.96</v>
      </c>
      <c r="M608">
        <v>0.1</v>
      </c>
      <c r="N608">
        <v>4264.13</v>
      </c>
      <c r="O608">
        <v>2525.9</v>
      </c>
      <c r="P608">
        <v>1738.23</v>
      </c>
      <c r="Q608" t="s">
        <v>67</v>
      </c>
      <c r="R608">
        <v>0.40764001097527508</v>
      </c>
      <c r="S608">
        <v>2024</v>
      </c>
      <c r="T608" t="s">
        <v>1244</v>
      </c>
      <c r="U608">
        <v>6</v>
      </c>
      <c r="V608" t="s">
        <v>878</v>
      </c>
    </row>
    <row r="609" spans="1:22" x14ac:dyDescent="0.3">
      <c r="A609" t="s">
        <v>1364</v>
      </c>
      <c r="B609" s="1">
        <v>45468</v>
      </c>
      <c r="C609" t="s">
        <v>1365</v>
      </c>
      <c r="D609" t="s">
        <v>380</v>
      </c>
      <c r="E609" t="s">
        <v>61</v>
      </c>
      <c r="F609" t="s">
        <v>78</v>
      </c>
      <c r="G609" t="s">
        <v>79</v>
      </c>
      <c r="H609" t="s">
        <v>28</v>
      </c>
      <c r="I609" t="s">
        <v>91</v>
      </c>
      <c r="J609" t="s">
        <v>92</v>
      </c>
      <c r="K609">
        <v>4</v>
      </c>
      <c r="L609">
        <v>3015.43</v>
      </c>
      <c r="M609">
        <v>0.15</v>
      </c>
      <c r="N609">
        <v>10252.459999999999</v>
      </c>
      <c r="O609">
        <v>6074.18</v>
      </c>
      <c r="P609">
        <v>4178.28</v>
      </c>
      <c r="Q609" t="s">
        <v>46</v>
      </c>
      <c r="R609">
        <v>0.40753926374743232</v>
      </c>
      <c r="S609">
        <v>2024</v>
      </c>
      <c r="T609" t="s">
        <v>1244</v>
      </c>
      <c r="U609">
        <v>6</v>
      </c>
      <c r="V609" t="s">
        <v>878</v>
      </c>
    </row>
    <row r="610" spans="1:22" x14ac:dyDescent="0.3">
      <c r="A610" t="s">
        <v>1366</v>
      </c>
      <c r="B610" s="1">
        <v>45469</v>
      </c>
      <c r="C610" t="s">
        <v>977</v>
      </c>
      <c r="D610" t="s">
        <v>1367</v>
      </c>
      <c r="E610" t="s">
        <v>61</v>
      </c>
      <c r="F610" t="s">
        <v>78</v>
      </c>
      <c r="G610" t="s">
        <v>104</v>
      </c>
      <c r="H610" t="s">
        <v>28</v>
      </c>
      <c r="I610" t="s">
        <v>29</v>
      </c>
      <c r="J610" t="s">
        <v>30</v>
      </c>
      <c r="K610">
        <v>6</v>
      </c>
      <c r="L610">
        <v>58324.59</v>
      </c>
      <c r="M610">
        <v>0.15</v>
      </c>
      <c r="N610">
        <v>297455.40999999997</v>
      </c>
      <c r="O610">
        <v>306690.77</v>
      </c>
      <c r="P610">
        <v>-9235.36</v>
      </c>
      <c r="Q610" t="s">
        <v>31</v>
      </c>
      <c r="R610">
        <v>-3.1047880420127509E-2</v>
      </c>
      <c r="S610">
        <v>2024</v>
      </c>
      <c r="T610" t="s">
        <v>1244</v>
      </c>
      <c r="U610">
        <v>6</v>
      </c>
      <c r="V610" t="s">
        <v>878</v>
      </c>
    </row>
    <row r="611" spans="1:22" x14ac:dyDescent="0.3">
      <c r="A611" t="s">
        <v>1368</v>
      </c>
      <c r="B611" s="1">
        <v>45469</v>
      </c>
      <c r="C611" t="s">
        <v>549</v>
      </c>
      <c r="D611" t="s">
        <v>1074</v>
      </c>
      <c r="E611" t="s">
        <v>120</v>
      </c>
      <c r="F611" t="s">
        <v>121</v>
      </c>
      <c r="G611" t="s">
        <v>122</v>
      </c>
      <c r="H611" t="s">
        <v>64</v>
      </c>
      <c r="I611" t="s">
        <v>65</v>
      </c>
      <c r="J611" t="s">
        <v>232</v>
      </c>
      <c r="K611">
        <v>1</v>
      </c>
      <c r="L611">
        <v>3832.23</v>
      </c>
      <c r="M611">
        <v>0.1</v>
      </c>
      <c r="N611">
        <v>3449.01</v>
      </c>
      <c r="O611">
        <v>2348.94</v>
      </c>
      <c r="P611">
        <v>1100.07</v>
      </c>
      <c r="Q611" t="s">
        <v>31</v>
      </c>
      <c r="R611">
        <v>0.31895239503509698</v>
      </c>
      <c r="S611">
        <v>2024</v>
      </c>
      <c r="T611" t="s">
        <v>1244</v>
      </c>
      <c r="U611">
        <v>6</v>
      </c>
      <c r="V611" t="s">
        <v>878</v>
      </c>
    </row>
    <row r="612" spans="1:22" x14ac:dyDescent="0.3">
      <c r="A612" t="s">
        <v>1369</v>
      </c>
      <c r="B612" s="1">
        <v>45469</v>
      </c>
      <c r="C612" t="s">
        <v>669</v>
      </c>
      <c r="D612" t="s">
        <v>599</v>
      </c>
      <c r="E612" t="s">
        <v>41</v>
      </c>
      <c r="F612" t="s">
        <v>42</v>
      </c>
      <c r="G612" t="s">
        <v>42</v>
      </c>
      <c r="H612" t="s">
        <v>64</v>
      </c>
      <c r="I612" t="s">
        <v>108</v>
      </c>
      <c r="J612" t="s">
        <v>109</v>
      </c>
      <c r="K612">
        <v>6</v>
      </c>
      <c r="L612">
        <v>6831.44</v>
      </c>
      <c r="M612">
        <v>0.1</v>
      </c>
      <c r="N612">
        <v>36889.78</v>
      </c>
      <c r="O612">
        <v>25988.720000000001</v>
      </c>
      <c r="P612">
        <v>10901.06</v>
      </c>
      <c r="Q612" t="s">
        <v>31</v>
      </c>
      <c r="R612">
        <v>0.29550352428233512</v>
      </c>
      <c r="S612">
        <v>2024</v>
      </c>
      <c r="T612" t="s">
        <v>1244</v>
      </c>
      <c r="U612">
        <v>6</v>
      </c>
      <c r="V612" t="s">
        <v>878</v>
      </c>
    </row>
    <row r="613" spans="1:22" x14ac:dyDescent="0.3">
      <c r="A613" t="s">
        <v>1370</v>
      </c>
      <c r="B613" s="1">
        <v>45469</v>
      </c>
      <c r="C613" t="s">
        <v>1371</v>
      </c>
      <c r="D613" t="s">
        <v>1235</v>
      </c>
      <c r="E613" t="s">
        <v>41</v>
      </c>
      <c r="F613" t="s">
        <v>42</v>
      </c>
      <c r="G613" t="s">
        <v>50</v>
      </c>
      <c r="H613" t="s">
        <v>28</v>
      </c>
      <c r="I613" t="s">
        <v>73</v>
      </c>
      <c r="J613" t="s">
        <v>74</v>
      </c>
      <c r="K613">
        <v>2</v>
      </c>
      <c r="L613">
        <v>2506.4</v>
      </c>
      <c r="M613">
        <v>0.05</v>
      </c>
      <c r="N613">
        <v>4762.16</v>
      </c>
      <c r="O613">
        <v>2841.54</v>
      </c>
      <c r="P613">
        <v>1920.62</v>
      </c>
      <c r="Q613" t="s">
        <v>31</v>
      </c>
      <c r="R613">
        <v>0.40330858265996938</v>
      </c>
      <c r="S613">
        <v>2024</v>
      </c>
      <c r="T613" t="s">
        <v>1244</v>
      </c>
      <c r="U613">
        <v>6</v>
      </c>
      <c r="V613" t="s">
        <v>878</v>
      </c>
    </row>
    <row r="614" spans="1:22" x14ac:dyDescent="0.3">
      <c r="A614" t="s">
        <v>1372</v>
      </c>
      <c r="B614" s="1">
        <v>45470</v>
      </c>
      <c r="C614" t="s">
        <v>459</v>
      </c>
      <c r="D614" t="s">
        <v>1373</v>
      </c>
      <c r="E614" t="s">
        <v>25</v>
      </c>
      <c r="F614" t="s">
        <v>26</v>
      </c>
      <c r="G614" t="s">
        <v>260</v>
      </c>
      <c r="H614" t="s">
        <v>64</v>
      </c>
      <c r="I614" t="s">
        <v>108</v>
      </c>
      <c r="J614" t="s">
        <v>109</v>
      </c>
      <c r="K614">
        <v>2</v>
      </c>
      <c r="L614">
        <v>7047.2</v>
      </c>
      <c r="M614">
        <v>0.1</v>
      </c>
      <c r="N614">
        <v>12684.96</v>
      </c>
      <c r="O614">
        <v>8925.6299999999992</v>
      </c>
      <c r="P614">
        <v>3759.33</v>
      </c>
      <c r="Q614" t="s">
        <v>31</v>
      </c>
      <c r="R614">
        <v>0.29636120255798992</v>
      </c>
      <c r="S614">
        <v>2024</v>
      </c>
      <c r="T614" t="s">
        <v>1244</v>
      </c>
      <c r="U614">
        <v>6</v>
      </c>
      <c r="V614" t="s">
        <v>878</v>
      </c>
    </row>
    <row r="615" spans="1:22" x14ac:dyDescent="0.3">
      <c r="A615" t="s">
        <v>1374</v>
      </c>
      <c r="B615" s="1">
        <v>45470</v>
      </c>
      <c r="C615" t="s">
        <v>397</v>
      </c>
      <c r="D615" t="s">
        <v>1375</v>
      </c>
      <c r="E615" t="s">
        <v>120</v>
      </c>
      <c r="F615" t="s">
        <v>121</v>
      </c>
      <c r="G615" t="s">
        <v>122</v>
      </c>
      <c r="H615" t="s">
        <v>43</v>
      </c>
      <c r="I615" t="s">
        <v>51</v>
      </c>
      <c r="J615" t="s">
        <v>52</v>
      </c>
      <c r="K615">
        <v>5</v>
      </c>
      <c r="L615">
        <v>718.85</v>
      </c>
      <c r="M615">
        <v>0</v>
      </c>
      <c r="N615">
        <v>3594.25</v>
      </c>
      <c r="O615">
        <v>1661.18</v>
      </c>
      <c r="P615">
        <v>1933.07</v>
      </c>
      <c r="Q615" t="s">
        <v>31</v>
      </c>
      <c r="R615">
        <v>0.53782291159490847</v>
      </c>
      <c r="S615">
        <v>2024</v>
      </c>
      <c r="T615" t="s">
        <v>1244</v>
      </c>
      <c r="U615">
        <v>6</v>
      </c>
      <c r="V615" t="s">
        <v>878</v>
      </c>
    </row>
    <row r="616" spans="1:22" x14ac:dyDescent="0.3">
      <c r="A616" t="s">
        <v>1376</v>
      </c>
      <c r="B616" s="1">
        <v>45471</v>
      </c>
      <c r="C616" t="s">
        <v>598</v>
      </c>
      <c r="D616" t="s">
        <v>582</v>
      </c>
      <c r="E616" t="s">
        <v>61</v>
      </c>
      <c r="F616" t="s">
        <v>62</v>
      </c>
      <c r="G616" t="s">
        <v>63</v>
      </c>
      <c r="H616" t="s">
        <v>64</v>
      </c>
      <c r="I616" t="s">
        <v>108</v>
      </c>
      <c r="J616" t="s">
        <v>155</v>
      </c>
      <c r="K616">
        <v>1</v>
      </c>
      <c r="L616">
        <v>8086</v>
      </c>
      <c r="M616">
        <v>0</v>
      </c>
      <c r="N616">
        <v>8086</v>
      </c>
      <c r="O616">
        <v>5568.48</v>
      </c>
      <c r="P616">
        <v>2517.52</v>
      </c>
      <c r="Q616" t="s">
        <v>53</v>
      </c>
      <c r="R616">
        <v>0.31134306208261192</v>
      </c>
      <c r="S616">
        <v>2024</v>
      </c>
      <c r="T616" t="s">
        <v>1244</v>
      </c>
      <c r="U616">
        <v>6</v>
      </c>
      <c r="V616" t="s">
        <v>878</v>
      </c>
    </row>
    <row r="617" spans="1:22" x14ac:dyDescent="0.3">
      <c r="A617" t="s">
        <v>1377</v>
      </c>
      <c r="B617" s="1">
        <v>45472</v>
      </c>
      <c r="C617" t="s">
        <v>608</v>
      </c>
      <c r="D617" t="s">
        <v>731</v>
      </c>
      <c r="E617" t="s">
        <v>61</v>
      </c>
      <c r="F617" t="s">
        <v>62</v>
      </c>
      <c r="G617" t="s">
        <v>228</v>
      </c>
      <c r="H617" t="s">
        <v>64</v>
      </c>
      <c r="I617" t="s">
        <v>65</v>
      </c>
      <c r="J617" t="s">
        <v>66</v>
      </c>
      <c r="K617">
        <v>2</v>
      </c>
      <c r="L617">
        <v>4978.1499999999996</v>
      </c>
      <c r="M617">
        <v>0.15</v>
      </c>
      <c r="N617">
        <v>8462.85</v>
      </c>
      <c r="O617">
        <v>6252.38</v>
      </c>
      <c r="P617">
        <v>2210.4699999999998</v>
      </c>
      <c r="Q617" t="s">
        <v>113</v>
      </c>
      <c r="R617">
        <v>0.26119687812025488</v>
      </c>
      <c r="S617">
        <v>2024</v>
      </c>
      <c r="T617" t="s">
        <v>1244</v>
      </c>
      <c r="U617">
        <v>6</v>
      </c>
      <c r="V617" t="s">
        <v>878</v>
      </c>
    </row>
    <row r="618" spans="1:22" x14ac:dyDescent="0.3">
      <c r="A618" t="s">
        <v>1378</v>
      </c>
      <c r="B618" s="1">
        <v>45472</v>
      </c>
      <c r="C618" t="s">
        <v>190</v>
      </c>
      <c r="D618" t="s">
        <v>809</v>
      </c>
      <c r="E618" t="s">
        <v>61</v>
      </c>
      <c r="F618" t="s">
        <v>62</v>
      </c>
      <c r="G618" t="s">
        <v>90</v>
      </c>
      <c r="H618" t="s">
        <v>43</v>
      </c>
      <c r="I618" t="s">
        <v>51</v>
      </c>
      <c r="J618" t="s">
        <v>96</v>
      </c>
      <c r="K618">
        <v>2</v>
      </c>
      <c r="L618">
        <v>517.36</v>
      </c>
      <c r="M618">
        <v>0.1</v>
      </c>
      <c r="N618">
        <v>931.25</v>
      </c>
      <c r="O618">
        <v>457.37</v>
      </c>
      <c r="P618">
        <v>473.88</v>
      </c>
      <c r="Q618" t="s">
        <v>53</v>
      </c>
      <c r="R618">
        <v>0.50886442953020139</v>
      </c>
      <c r="S618">
        <v>2024</v>
      </c>
      <c r="T618" t="s">
        <v>1244</v>
      </c>
      <c r="U618">
        <v>6</v>
      </c>
      <c r="V618" t="s">
        <v>878</v>
      </c>
    </row>
    <row r="619" spans="1:22" x14ac:dyDescent="0.3">
      <c r="A619" t="s">
        <v>1379</v>
      </c>
      <c r="B619" s="1">
        <v>45472</v>
      </c>
      <c r="C619" t="s">
        <v>761</v>
      </c>
      <c r="D619" t="s">
        <v>1136</v>
      </c>
      <c r="E619" t="s">
        <v>61</v>
      </c>
      <c r="F619" t="s">
        <v>62</v>
      </c>
      <c r="G619" t="s">
        <v>63</v>
      </c>
      <c r="H619" t="s">
        <v>64</v>
      </c>
      <c r="I619" t="s">
        <v>108</v>
      </c>
      <c r="J619" t="s">
        <v>109</v>
      </c>
      <c r="K619">
        <v>1</v>
      </c>
      <c r="L619">
        <v>7332.71</v>
      </c>
      <c r="M619">
        <v>0</v>
      </c>
      <c r="N619">
        <v>7332.71</v>
      </c>
      <c r="O619">
        <v>4599.1899999999996</v>
      </c>
      <c r="P619">
        <v>2733.52</v>
      </c>
      <c r="Q619" t="s">
        <v>67</v>
      </c>
      <c r="R619">
        <v>0.37278441394791278</v>
      </c>
      <c r="S619">
        <v>2024</v>
      </c>
      <c r="T619" t="s">
        <v>1244</v>
      </c>
      <c r="U619">
        <v>6</v>
      </c>
      <c r="V619" t="s">
        <v>878</v>
      </c>
    </row>
    <row r="620" spans="1:22" x14ac:dyDescent="0.3">
      <c r="A620" t="s">
        <v>1380</v>
      </c>
      <c r="B620" s="1">
        <v>45472</v>
      </c>
      <c r="C620" t="s">
        <v>1288</v>
      </c>
      <c r="D620" t="s">
        <v>623</v>
      </c>
      <c r="E620" t="s">
        <v>61</v>
      </c>
      <c r="F620" t="s">
        <v>62</v>
      </c>
      <c r="G620" t="s">
        <v>90</v>
      </c>
      <c r="H620" t="s">
        <v>28</v>
      </c>
      <c r="I620" t="s">
        <v>91</v>
      </c>
      <c r="J620" t="s">
        <v>92</v>
      </c>
      <c r="K620">
        <v>3</v>
      </c>
      <c r="L620">
        <v>3014.01</v>
      </c>
      <c r="M620">
        <v>0.05</v>
      </c>
      <c r="N620">
        <v>8589.93</v>
      </c>
      <c r="O620">
        <v>4739.53</v>
      </c>
      <c r="P620">
        <v>3850.4</v>
      </c>
      <c r="Q620" t="s">
        <v>31</v>
      </c>
      <c r="R620">
        <v>0.44824579478528931</v>
      </c>
      <c r="S620">
        <v>2024</v>
      </c>
      <c r="T620" t="s">
        <v>1244</v>
      </c>
      <c r="U620">
        <v>6</v>
      </c>
      <c r="V620" t="s">
        <v>878</v>
      </c>
    </row>
    <row r="621" spans="1:22" x14ac:dyDescent="0.3">
      <c r="A621" t="s">
        <v>1381</v>
      </c>
      <c r="B621" s="1">
        <v>45472</v>
      </c>
      <c r="C621" t="s">
        <v>102</v>
      </c>
      <c r="D621" t="s">
        <v>40</v>
      </c>
      <c r="E621" t="s">
        <v>61</v>
      </c>
      <c r="F621" t="s">
        <v>62</v>
      </c>
      <c r="G621" t="s">
        <v>90</v>
      </c>
      <c r="H621" t="s">
        <v>43</v>
      </c>
      <c r="I621" t="s">
        <v>44</v>
      </c>
      <c r="J621" t="s">
        <v>248</v>
      </c>
      <c r="K621">
        <v>1</v>
      </c>
      <c r="L621">
        <v>299.24</v>
      </c>
      <c r="M621">
        <v>0.1</v>
      </c>
      <c r="N621">
        <v>269.32</v>
      </c>
      <c r="O621">
        <v>129.25</v>
      </c>
      <c r="P621">
        <v>140.07</v>
      </c>
      <c r="Q621" t="s">
        <v>31</v>
      </c>
      <c r="R621">
        <v>0.52008762810040099</v>
      </c>
      <c r="S621">
        <v>2024</v>
      </c>
      <c r="T621" t="s">
        <v>1244</v>
      </c>
      <c r="U621">
        <v>6</v>
      </c>
      <c r="V621" t="s">
        <v>878</v>
      </c>
    </row>
    <row r="622" spans="1:22" x14ac:dyDescent="0.3">
      <c r="A622" t="s">
        <v>1382</v>
      </c>
      <c r="B622" s="1">
        <v>45472</v>
      </c>
      <c r="C622" t="s">
        <v>1167</v>
      </c>
      <c r="D622" t="s">
        <v>667</v>
      </c>
      <c r="E622" t="s">
        <v>120</v>
      </c>
      <c r="F622" t="s">
        <v>121</v>
      </c>
      <c r="G622" t="s">
        <v>122</v>
      </c>
      <c r="H622" t="s">
        <v>28</v>
      </c>
      <c r="I622" t="s">
        <v>91</v>
      </c>
      <c r="J622" t="s">
        <v>92</v>
      </c>
      <c r="K622">
        <v>5</v>
      </c>
      <c r="L622">
        <v>2832.75</v>
      </c>
      <c r="M622">
        <v>0.1</v>
      </c>
      <c r="N622">
        <v>12747.38</v>
      </c>
      <c r="O622">
        <v>7116.12</v>
      </c>
      <c r="P622">
        <v>5631.26</v>
      </c>
      <c r="Q622" t="s">
        <v>53</v>
      </c>
      <c r="R622">
        <v>0.44175822796527597</v>
      </c>
      <c r="S622">
        <v>2024</v>
      </c>
      <c r="T622" t="s">
        <v>1244</v>
      </c>
      <c r="U622">
        <v>6</v>
      </c>
      <c r="V622" t="s">
        <v>878</v>
      </c>
    </row>
    <row r="623" spans="1:22" x14ac:dyDescent="0.3">
      <c r="A623" t="s">
        <v>1383</v>
      </c>
      <c r="B623" s="1">
        <v>45474</v>
      </c>
      <c r="C623" t="s">
        <v>118</v>
      </c>
      <c r="D623" t="s">
        <v>770</v>
      </c>
      <c r="E623" t="s">
        <v>41</v>
      </c>
      <c r="F623" t="s">
        <v>42</v>
      </c>
      <c r="G623" t="s">
        <v>42</v>
      </c>
      <c r="H623" t="s">
        <v>84</v>
      </c>
      <c r="I623" t="s">
        <v>85</v>
      </c>
      <c r="J623" t="s">
        <v>86</v>
      </c>
      <c r="K623">
        <v>2</v>
      </c>
      <c r="L623">
        <v>1881.87</v>
      </c>
      <c r="M623">
        <v>0.1</v>
      </c>
      <c r="N623">
        <v>3387.37</v>
      </c>
      <c r="O623">
        <v>2062.14</v>
      </c>
      <c r="P623">
        <v>1325.23</v>
      </c>
      <c r="Q623" t="s">
        <v>53</v>
      </c>
      <c r="R623">
        <v>0.39122682198874048</v>
      </c>
      <c r="S623">
        <v>2024</v>
      </c>
      <c r="T623" t="s">
        <v>1384</v>
      </c>
      <c r="U623">
        <v>7</v>
      </c>
      <c r="V623" t="s">
        <v>1385</v>
      </c>
    </row>
    <row r="624" spans="1:22" x14ac:dyDescent="0.3">
      <c r="A624" t="s">
        <v>1386</v>
      </c>
      <c r="B624" s="1">
        <v>45474</v>
      </c>
      <c r="C624" t="s">
        <v>858</v>
      </c>
      <c r="D624" t="s">
        <v>542</v>
      </c>
      <c r="E624" t="s">
        <v>25</v>
      </c>
      <c r="F624" t="s">
        <v>26</v>
      </c>
      <c r="G624" t="s">
        <v>171</v>
      </c>
      <c r="H624" t="s">
        <v>64</v>
      </c>
      <c r="I624" t="s">
        <v>65</v>
      </c>
      <c r="J624" t="s">
        <v>66</v>
      </c>
      <c r="K624">
        <v>3</v>
      </c>
      <c r="L624">
        <v>4808.01</v>
      </c>
      <c r="M624">
        <v>0.05</v>
      </c>
      <c r="N624">
        <v>13702.83</v>
      </c>
      <c r="O624">
        <v>8603.4599999999991</v>
      </c>
      <c r="P624">
        <v>5099.37</v>
      </c>
      <c r="Q624" t="s">
        <v>46</v>
      </c>
      <c r="R624">
        <v>0.37213991562326898</v>
      </c>
      <c r="S624">
        <v>2024</v>
      </c>
      <c r="T624" t="s">
        <v>1384</v>
      </c>
      <c r="U624">
        <v>7</v>
      </c>
      <c r="V624" t="s">
        <v>1385</v>
      </c>
    </row>
    <row r="625" spans="1:22" x14ac:dyDescent="0.3">
      <c r="A625" t="s">
        <v>1387</v>
      </c>
      <c r="B625" s="1">
        <v>45474</v>
      </c>
      <c r="C625" t="s">
        <v>1388</v>
      </c>
      <c r="D625" t="s">
        <v>704</v>
      </c>
      <c r="E625" t="s">
        <v>120</v>
      </c>
      <c r="F625" t="s">
        <v>121</v>
      </c>
      <c r="G625" t="s">
        <v>224</v>
      </c>
      <c r="H625" t="s">
        <v>43</v>
      </c>
      <c r="I625" t="s">
        <v>51</v>
      </c>
      <c r="J625" t="s">
        <v>96</v>
      </c>
      <c r="K625">
        <v>4</v>
      </c>
      <c r="L625">
        <v>490.59</v>
      </c>
      <c r="M625">
        <v>0</v>
      </c>
      <c r="N625">
        <v>1962.36</v>
      </c>
      <c r="O625">
        <v>876.07</v>
      </c>
      <c r="P625">
        <v>1086.29</v>
      </c>
      <c r="Q625" t="s">
        <v>31</v>
      </c>
      <c r="R625">
        <v>0.55356305672761374</v>
      </c>
      <c r="S625">
        <v>2024</v>
      </c>
      <c r="T625" t="s">
        <v>1384</v>
      </c>
      <c r="U625">
        <v>7</v>
      </c>
      <c r="V625" t="s">
        <v>1385</v>
      </c>
    </row>
    <row r="626" spans="1:22" x14ac:dyDescent="0.3">
      <c r="A626" t="s">
        <v>1389</v>
      </c>
      <c r="B626" s="1">
        <v>45475</v>
      </c>
      <c r="C626" t="s">
        <v>1390</v>
      </c>
      <c r="D626" t="s">
        <v>253</v>
      </c>
      <c r="E626" t="s">
        <v>61</v>
      </c>
      <c r="F626" t="s">
        <v>62</v>
      </c>
      <c r="G626" t="s">
        <v>90</v>
      </c>
      <c r="H626" t="s">
        <v>84</v>
      </c>
      <c r="I626" t="s">
        <v>85</v>
      </c>
      <c r="J626" t="s">
        <v>86</v>
      </c>
      <c r="K626">
        <v>2</v>
      </c>
      <c r="L626">
        <v>1787.43</v>
      </c>
      <c r="M626">
        <v>0.15</v>
      </c>
      <c r="N626">
        <v>3038.63</v>
      </c>
      <c r="O626">
        <v>2000.38</v>
      </c>
      <c r="P626">
        <v>1038.25</v>
      </c>
      <c r="Q626" t="s">
        <v>113</v>
      </c>
      <c r="R626">
        <v>0.34168358766944312</v>
      </c>
      <c r="S626">
        <v>2024</v>
      </c>
      <c r="T626" t="s">
        <v>1384</v>
      </c>
      <c r="U626">
        <v>7</v>
      </c>
      <c r="V626" t="s">
        <v>1385</v>
      </c>
    </row>
    <row r="627" spans="1:22" x14ac:dyDescent="0.3">
      <c r="A627" t="s">
        <v>1391</v>
      </c>
      <c r="B627" s="1">
        <v>45475</v>
      </c>
      <c r="C627" t="s">
        <v>1243</v>
      </c>
      <c r="D627" t="s">
        <v>369</v>
      </c>
      <c r="E627" t="s">
        <v>25</v>
      </c>
      <c r="F627" t="s">
        <v>26</v>
      </c>
      <c r="G627" t="s">
        <v>27</v>
      </c>
      <c r="H627" t="s">
        <v>28</v>
      </c>
      <c r="I627" t="s">
        <v>29</v>
      </c>
      <c r="J627" t="s">
        <v>57</v>
      </c>
      <c r="K627">
        <v>1</v>
      </c>
      <c r="L627">
        <v>16013.35</v>
      </c>
      <c r="M627">
        <v>0.1</v>
      </c>
      <c r="N627">
        <v>14412.02</v>
      </c>
      <c r="O627">
        <v>11678.53</v>
      </c>
      <c r="P627">
        <v>2733.49</v>
      </c>
      <c r="Q627" t="s">
        <v>53</v>
      </c>
      <c r="R627">
        <v>0.1896673748718084</v>
      </c>
      <c r="S627">
        <v>2024</v>
      </c>
      <c r="T627" t="s">
        <v>1384</v>
      </c>
      <c r="U627">
        <v>7</v>
      </c>
      <c r="V627" t="s">
        <v>1385</v>
      </c>
    </row>
    <row r="628" spans="1:22" x14ac:dyDescent="0.3">
      <c r="A628" t="s">
        <v>1392</v>
      </c>
      <c r="B628" s="1">
        <v>45477</v>
      </c>
      <c r="C628" t="s">
        <v>917</v>
      </c>
      <c r="D628" t="s">
        <v>1235</v>
      </c>
      <c r="E628" t="s">
        <v>25</v>
      </c>
      <c r="F628" t="s">
        <v>26</v>
      </c>
      <c r="G628" t="s">
        <v>171</v>
      </c>
      <c r="H628" t="s">
        <v>28</v>
      </c>
      <c r="I628" t="s">
        <v>29</v>
      </c>
      <c r="J628" t="s">
        <v>57</v>
      </c>
      <c r="K628">
        <v>3</v>
      </c>
      <c r="L628">
        <v>15939.74</v>
      </c>
      <c r="M628">
        <v>0</v>
      </c>
      <c r="N628">
        <v>47819.22</v>
      </c>
      <c r="O628">
        <v>36297.120000000003</v>
      </c>
      <c r="P628">
        <v>11522.1</v>
      </c>
      <c r="Q628" t="s">
        <v>53</v>
      </c>
      <c r="R628">
        <v>0.2409512325797033</v>
      </c>
      <c r="S628">
        <v>2024</v>
      </c>
      <c r="T628" t="s">
        <v>1384</v>
      </c>
      <c r="U628">
        <v>7</v>
      </c>
      <c r="V628" t="s">
        <v>1385</v>
      </c>
    </row>
    <row r="629" spans="1:22" x14ac:dyDescent="0.3">
      <c r="A629" t="s">
        <v>1393</v>
      </c>
      <c r="B629" s="1">
        <v>45477</v>
      </c>
      <c r="C629" t="s">
        <v>656</v>
      </c>
      <c r="D629" t="s">
        <v>609</v>
      </c>
      <c r="E629" t="s">
        <v>120</v>
      </c>
      <c r="F629" t="s">
        <v>121</v>
      </c>
      <c r="G629" t="s">
        <v>122</v>
      </c>
      <c r="H629" t="s">
        <v>28</v>
      </c>
      <c r="I629" t="s">
        <v>91</v>
      </c>
      <c r="J629" t="s">
        <v>126</v>
      </c>
      <c r="K629">
        <v>1</v>
      </c>
      <c r="L629">
        <v>2098.9899999999998</v>
      </c>
      <c r="M629">
        <v>0</v>
      </c>
      <c r="N629">
        <v>2098.9899999999998</v>
      </c>
      <c r="O629">
        <v>1200.03</v>
      </c>
      <c r="P629">
        <v>898.96</v>
      </c>
      <c r="Q629" t="s">
        <v>53</v>
      </c>
      <c r="R629">
        <v>0.42828217380740269</v>
      </c>
      <c r="S629">
        <v>2024</v>
      </c>
      <c r="T629" t="s">
        <v>1384</v>
      </c>
      <c r="U629">
        <v>7</v>
      </c>
      <c r="V629" t="s">
        <v>1385</v>
      </c>
    </row>
    <row r="630" spans="1:22" x14ac:dyDescent="0.3">
      <c r="A630" t="s">
        <v>1394</v>
      </c>
      <c r="B630" s="1">
        <v>45477</v>
      </c>
      <c r="C630" t="s">
        <v>1395</v>
      </c>
      <c r="D630" t="s">
        <v>1396</v>
      </c>
      <c r="E630" t="s">
        <v>61</v>
      </c>
      <c r="F630" t="s">
        <v>78</v>
      </c>
      <c r="G630" t="s">
        <v>104</v>
      </c>
      <c r="H630" t="s">
        <v>43</v>
      </c>
      <c r="I630" t="s">
        <v>51</v>
      </c>
      <c r="J630" t="s">
        <v>96</v>
      </c>
      <c r="K630">
        <v>2</v>
      </c>
      <c r="L630">
        <v>496.42</v>
      </c>
      <c r="M630">
        <v>0.15</v>
      </c>
      <c r="N630">
        <v>843.91</v>
      </c>
      <c r="O630">
        <v>434.79</v>
      </c>
      <c r="P630">
        <v>409.12</v>
      </c>
      <c r="Q630" t="s">
        <v>31</v>
      </c>
      <c r="R630">
        <v>0.48479103221907549</v>
      </c>
      <c r="S630">
        <v>2024</v>
      </c>
      <c r="T630" t="s">
        <v>1384</v>
      </c>
      <c r="U630">
        <v>7</v>
      </c>
      <c r="V630" t="s">
        <v>1385</v>
      </c>
    </row>
    <row r="631" spans="1:22" x14ac:dyDescent="0.3">
      <c r="A631" t="s">
        <v>1397</v>
      </c>
      <c r="B631" s="1">
        <v>45477</v>
      </c>
      <c r="C631" t="s">
        <v>1398</v>
      </c>
      <c r="D631" t="s">
        <v>775</v>
      </c>
      <c r="E631" t="s">
        <v>61</v>
      </c>
      <c r="F631" t="s">
        <v>78</v>
      </c>
      <c r="G631" t="s">
        <v>104</v>
      </c>
      <c r="H631" t="s">
        <v>84</v>
      </c>
      <c r="I631" t="s">
        <v>138</v>
      </c>
      <c r="J631" t="s">
        <v>139</v>
      </c>
      <c r="K631">
        <v>1</v>
      </c>
      <c r="L631">
        <v>12823.39</v>
      </c>
      <c r="M631">
        <v>0.05</v>
      </c>
      <c r="N631">
        <v>12182.22</v>
      </c>
      <c r="O631">
        <v>9493.74</v>
      </c>
      <c r="P631">
        <v>2688.48</v>
      </c>
      <c r="Q631" t="s">
        <v>53</v>
      </c>
      <c r="R631">
        <v>0.2206888399651295</v>
      </c>
      <c r="S631">
        <v>2024</v>
      </c>
      <c r="T631" t="s">
        <v>1384</v>
      </c>
      <c r="U631">
        <v>7</v>
      </c>
      <c r="V631" t="s">
        <v>1385</v>
      </c>
    </row>
    <row r="632" spans="1:22" x14ac:dyDescent="0.3">
      <c r="A632" t="s">
        <v>1399</v>
      </c>
      <c r="B632" s="1">
        <v>45477</v>
      </c>
      <c r="C632" t="s">
        <v>323</v>
      </c>
      <c r="D632" t="s">
        <v>125</v>
      </c>
      <c r="E632" t="s">
        <v>120</v>
      </c>
      <c r="F632" t="s">
        <v>121</v>
      </c>
      <c r="G632" t="s">
        <v>122</v>
      </c>
      <c r="H632" t="s">
        <v>64</v>
      </c>
      <c r="I632" t="s">
        <v>65</v>
      </c>
      <c r="J632" t="s">
        <v>232</v>
      </c>
      <c r="K632">
        <v>3</v>
      </c>
      <c r="L632">
        <v>3960.5</v>
      </c>
      <c r="M632">
        <v>0.1</v>
      </c>
      <c r="N632">
        <v>10693.35</v>
      </c>
      <c r="O632">
        <v>7257.46</v>
      </c>
      <c r="P632">
        <v>3435.89</v>
      </c>
      <c r="Q632" t="s">
        <v>113</v>
      </c>
      <c r="R632">
        <v>0.3213109081812528</v>
      </c>
      <c r="S632">
        <v>2024</v>
      </c>
      <c r="T632" t="s">
        <v>1384</v>
      </c>
      <c r="U632">
        <v>7</v>
      </c>
      <c r="V632" t="s">
        <v>1385</v>
      </c>
    </row>
    <row r="633" spans="1:22" x14ac:dyDescent="0.3">
      <c r="A633" t="s">
        <v>1400</v>
      </c>
      <c r="B633" s="1">
        <v>45477</v>
      </c>
      <c r="C633" t="s">
        <v>677</v>
      </c>
      <c r="D633" t="s">
        <v>283</v>
      </c>
      <c r="E633" t="s">
        <v>61</v>
      </c>
      <c r="F633" t="s">
        <v>62</v>
      </c>
      <c r="G633" t="s">
        <v>63</v>
      </c>
      <c r="H633" t="s">
        <v>84</v>
      </c>
      <c r="I633" t="s">
        <v>138</v>
      </c>
      <c r="J633" t="s">
        <v>139</v>
      </c>
      <c r="K633">
        <v>2</v>
      </c>
      <c r="L633">
        <v>12903.42</v>
      </c>
      <c r="M633">
        <v>0.2</v>
      </c>
      <c r="N633">
        <v>20645.47</v>
      </c>
      <c r="O633">
        <v>19176.18</v>
      </c>
      <c r="P633">
        <v>1469.29</v>
      </c>
      <c r="Q633" t="s">
        <v>46</v>
      </c>
      <c r="R633">
        <v>7.1167670195931593E-2</v>
      </c>
      <c r="S633">
        <v>2024</v>
      </c>
      <c r="T633" t="s">
        <v>1384</v>
      </c>
      <c r="U633">
        <v>7</v>
      </c>
      <c r="V633" t="s">
        <v>1385</v>
      </c>
    </row>
    <row r="634" spans="1:22" x14ac:dyDescent="0.3">
      <c r="A634" t="s">
        <v>1401</v>
      </c>
      <c r="B634" s="1">
        <v>45479</v>
      </c>
      <c r="C634" t="s">
        <v>1402</v>
      </c>
      <c r="D634" t="s">
        <v>759</v>
      </c>
      <c r="E634" t="s">
        <v>61</v>
      </c>
      <c r="F634" t="s">
        <v>62</v>
      </c>
      <c r="G634" t="s">
        <v>90</v>
      </c>
      <c r="H634" t="s">
        <v>84</v>
      </c>
      <c r="I634" t="s">
        <v>138</v>
      </c>
      <c r="J634" t="s">
        <v>220</v>
      </c>
      <c r="K634">
        <v>2</v>
      </c>
      <c r="L634">
        <v>7511.63</v>
      </c>
      <c r="M634">
        <v>0.05</v>
      </c>
      <c r="N634">
        <v>14272.1</v>
      </c>
      <c r="O634">
        <v>9888.51</v>
      </c>
      <c r="P634">
        <v>4383.59</v>
      </c>
      <c r="Q634" t="s">
        <v>67</v>
      </c>
      <c r="R634">
        <v>0.30714400823985261</v>
      </c>
      <c r="S634">
        <v>2024</v>
      </c>
      <c r="T634" t="s">
        <v>1384</v>
      </c>
      <c r="U634">
        <v>7</v>
      </c>
      <c r="V634" t="s">
        <v>1385</v>
      </c>
    </row>
    <row r="635" spans="1:22" x14ac:dyDescent="0.3">
      <c r="A635" t="s">
        <v>1403</v>
      </c>
      <c r="B635" s="1">
        <v>45479</v>
      </c>
      <c r="C635" t="s">
        <v>1065</v>
      </c>
      <c r="D635" t="s">
        <v>142</v>
      </c>
      <c r="E635" t="s">
        <v>61</v>
      </c>
      <c r="F635" t="s">
        <v>71</v>
      </c>
      <c r="G635" t="s">
        <v>317</v>
      </c>
      <c r="H635" t="s">
        <v>64</v>
      </c>
      <c r="I635" t="s">
        <v>108</v>
      </c>
      <c r="J635" t="s">
        <v>109</v>
      </c>
      <c r="K635">
        <v>1</v>
      </c>
      <c r="L635">
        <v>6698.25</v>
      </c>
      <c r="M635">
        <v>0.2</v>
      </c>
      <c r="N635">
        <v>5358.6</v>
      </c>
      <c r="O635">
        <v>4204.38</v>
      </c>
      <c r="P635">
        <v>1154.22</v>
      </c>
      <c r="Q635" t="s">
        <v>31</v>
      </c>
      <c r="R635">
        <v>0.21539581233904381</v>
      </c>
      <c r="S635">
        <v>2024</v>
      </c>
      <c r="T635" t="s">
        <v>1384</v>
      </c>
      <c r="U635">
        <v>7</v>
      </c>
      <c r="V635" t="s">
        <v>1385</v>
      </c>
    </row>
    <row r="636" spans="1:22" x14ac:dyDescent="0.3">
      <c r="A636" t="s">
        <v>1404</v>
      </c>
      <c r="B636" s="1">
        <v>45481</v>
      </c>
      <c r="C636" t="s">
        <v>1405</v>
      </c>
      <c r="D636" t="s">
        <v>1096</v>
      </c>
      <c r="E636" t="s">
        <v>120</v>
      </c>
      <c r="F636" t="s">
        <v>121</v>
      </c>
      <c r="G636" t="s">
        <v>224</v>
      </c>
      <c r="H636" t="s">
        <v>28</v>
      </c>
      <c r="I636" t="s">
        <v>91</v>
      </c>
      <c r="J636" t="s">
        <v>126</v>
      </c>
      <c r="K636">
        <v>5</v>
      </c>
      <c r="L636">
        <v>1967.48</v>
      </c>
      <c r="M636">
        <v>0</v>
      </c>
      <c r="N636">
        <v>9837.4</v>
      </c>
      <c r="O636">
        <v>5685.6</v>
      </c>
      <c r="P636">
        <v>4151.8</v>
      </c>
      <c r="Q636" t="s">
        <v>67</v>
      </c>
      <c r="R636">
        <v>0.42204240957976702</v>
      </c>
      <c r="S636">
        <v>2024</v>
      </c>
      <c r="T636" t="s">
        <v>1384</v>
      </c>
      <c r="U636">
        <v>7</v>
      </c>
      <c r="V636" t="s">
        <v>1385</v>
      </c>
    </row>
    <row r="637" spans="1:22" x14ac:dyDescent="0.3">
      <c r="A637" t="s">
        <v>1406</v>
      </c>
      <c r="B637" s="1">
        <v>45481</v>
      </c>
      <c r="C637" t="s">
        <v>1405</v>
      </c>
      <c r="D637" t="s">
        <v>247</v>
      </c>
      <c r="E637" t="s">
        <v>41</v>
      </c>
      <c r="F637" t="s">
        <v>42</v>
      </c>
      <c r="G637" t="s">
        <v>42</v>
      </c>
      <c r="H637" t="s">
        <v>28</v>
      </c>
      <c r="I637" t="s">
        <v>29</v>
      </c>
      <c r="J637" t="s">
        <v>30</v>
      </c>
      <c r="K637">
        <v>3</v>
      </c>
      <c r="L637">
        <v>57699.56</v>
      </c>
      <c r="M637">
        <v>0.05</v>
      </c>
      <c r="N637">
        <v>164443.75</v>
      </c>
      <c r="O637">
        <v>157397.88</v>
      </c>
      <c r="P637">
        <v>7045.87</v>
      </c>
      <c r="Q637" t="s">
        <v>67</v>
      </c>
      <c r="R637">
        <v>4.2846687697160893E-2</v>
      </c>
      <c r="S637">
        <v>2024</v>
      </c>
      <c r="T637" t="s">
        <v>1384</v>
      </c>
      <c r="U637">
        <v>7</v>
      </c>
      <c r="V637" t="s">
        <v>1385</v>
      </c>
    </row>
    <row r="638" spans="1:22" x14ac:dyDescent="0.3">
      <c r="A638" t="s">
        <v>1407</v>
      </c>
      <c r="B638" s="1">
        <v>45481</v>
      </c>
      <c r="C638" t="s">
        <v>397</v>
      </c>
      <c r="D638" t="s">
        <v>1408</v>
      </c>
      <c r="E638" t="s">
        <v>120</v>
      </c>
      <c r="F638" t="s">
        <v>121</v>
      </c>
      <c r="G638" t="s">
        <v>130</v>
      </c>
      <c r="H638" t="s">
        <v>43</v>
      </c>
      <c r="I638" t="s">
        <v>51</v>
      </c>
      <c r="J638" t="s">
        <v>96</v>
      </c>
      <c r="K638">
        <v>2</v>
      </c>
      <c r="L638">
        <v>493.18</v>
      </c>
      <c r="M638">
        <v>0.1</v>
      </c>
      <c r="N638">
        <v>887.72</v>
      </c>
      <c r="O638">
        <v>427.2</v>
      </c>
      <c r="P638">
        <v>460.52</v>
      </c>
      <c r="Q638" t="s">
        <v>31</v>
      </c>
      <c r="R638">
        <v>0.51876717884017476</v>
      </c>
      <c r="S638">
        <v>2024</v>
      </c>
      <c r="T638" t="s">
        <v>1384</v>
      </c>
      <c r="U638">
        <v>7</v>
      </c>
      <c r="V638" t="s">
        <v>1385</v>
      </c>
    </row>
    <row r="639" spans="1:22" x14ac:dyDescent="0.3">
      <c r="A639" t="s">
        <v>1409</v>
      </c>
      <c r="B639" s="1">
        <v>45481</v>
      </c>
      <c r="C639" t="s">
        <v>1410</v>
      </c>
      <c r="D639" t="s">
        <v>174</v>
      </c>
      <c r="E639" t="s">
        <v>61</v>
      </c>
      <c r="F639" t="s">
        <v>62</v>
      </c>
      <c r="G639" t="s">
        <v>63</v>
      </c>
      <c r="H639" t="s">
        <v>64</v>
      </c>
      <c r="I639" t="s">
        <v>65</v>
      </c>
      <c r="J639" t="s">
        <v>66</v>
      </c>
      <c r="K639">
        <v>4</v>
      </c>
      <c r="L639">
        <v>4835.5</v>
      </c>
      <c r="M639">
        <v>0</v>
      </c>
      <c r="N639">
        <v>19342</v>
      </c>
      <c r="O639">
        <v>11707.75</v>
      </c>
      <c r="P639">
        <v>7634.25</v>
      </c>
      <c r="Q639" t="s">
        <v>31</v>
      </c>
      <c r="R639">
        <v>0.39469806638403482</v>
      </c>
      <c r="S639">
        <v>2024</v>
      </c>
      <c r="T639" t="s">
        <v>1384</v>
      </c>
      <c r="U639">
        <v>7</v>
      </c>
      <c r="V639" t="s">
        <v>1385</v>
      </c>
    </row>
    <row r="640" spans="1:22" x14ac:dyDescent="0.3">
      <c r="A640" t="s">
        <v>1411</v>
      </c>
      <c r="B640" s="1">
        <v>45481</v>
      </c>
      <c r="C640" t="s">
        <v>163</v>
      </c>
      <c r="D640" t="s">
        <v>107</v>
      </c>
      <c r="E640" t="s">
        <v>41</v>
      </c>
      <c r="F640" t="s">
        <v>42</v>
      </c>
      <c r="G640" t="s">
        <v>42</v>
      </c>
      <c r="H640" t="s">
        <v>64</v>
      </c>
      <c r="I640" t="s">
        <v>65</v>
      </c>
      <c r="J640" t="s">
        <v>232</v>
      </c>
      <c r="K640">
        <v>5</v>
      </c>
      <c r="L640">
        <v>3796.23</v>
      </c>
      <c r="M640">
        <v>0.15</v>
      </c>
      <c r="N640">
        <v>16133.98</v>
      </c>
      <c r="O640">
        <v>11869.45</v>
      </c>
      <c r="P640">
        <v>4264.53</v>
      </c>
      <c r="Q640" t="s">
        <v>46</v>
      </c>
      <c r="R640">
        <v>0.26431977726512612</v>
      </c>
      <c r="S640">
        <v>2024</v>
      </c>
      <c r="T640" t="s">
        <v>1384</v>
      </c>
      <c r="U640">
        <v>7</v>
      </c>
      <c r="V640" t="s">
        <v>1385</v>
      </c>
    </row>
    <row r="641" spans="1:22" x14ac:dyDescent="0.3">
      <c r="A641" t="s">
        <v>1412</v>
      </c>
      <c r="B641" s="1">
        <v>45481</v>
      </c>
      <c r="C641" t="s">
        <v>328</v>
      </c>
      <c r="D641" t="s">
        <v>1413</v>
      </c>
      <c r="E641" t="s">
        <v>61</v>
      </c>
      <c r="F641" t="s">
        <v>78</v>
      </c>
      <c r="G641" t="s">
        <v>83</v>
      </c>
      <c r="H641" t="s">
        <v>28</v>
      </c>
      <c r="I641" t="s">
        <v>29</v>
      </c>
      <c r="J641" t="s">
        <v>57</v>
      </c>
      <c r="K641">
        <v>2</v>
      </c>
      <c r="L641">
        <v>15486.24</v>
      </c>
      <c r="M641">
        <v>0.05</v>
      </c>
      <c r="N641">
        <v>29423.86</v>
      </c>
      <c r="O641">
        <v>22416.78</v>
      </c>
      <c r="P641">
        <v>7007.08</v>
      </c>
      <c r="Q641" t="s">
        <v>31</v>
      </c>
      <c r="R641">
        <v>0.23814278616061929</v>
      </c>
      <c r="S641">
        <v>2024</v>
      </c>
      <c r="T641" t="s">
        <v>1384</v>
      </c>
      <c r="U641">
        <v>7</v>
      </c>
      <c r="V641" t="s">
        <v>1385</v>
      </c>
    </row>
    <row r="642" spans="1:22" x14ac:dyDescent="0.3">
      <c r="A642" t="s">
        <v>1414</v>
      </c>
      <c r="B642" s="1">
        <v>45481</v>
      </c>
      <c r="C642" t="s">
        <v>473</v>
      </c>
      <c r="D642" t="s">
        <v>1415</v>
      </c>
      <c r="E642" t="s">
        <v>61</v>
      </c>
      <c r="F642" t="s">
        <v>71</v>
      </c>
      <c r="G642" t="s">
        <v>100</v>
      </c>
      <c r="H642" t="s">
        <v>28</v>
      </c>
      <c r="I642" t="s">
        <v>91</v>
      </c>
      <c r="J642" t="s">
        <v>92</v>
      </c>
      <c r="K642">
        <v>2</v>
      </c>
      <c r="L642">
        <v>2827.81</v>
      </c>
      <c r="M642">
        <v>0.05</v>
      </c>
      <c r="N642">
        <v>5372.84</v>
      </c>
      <c r="O642">
        <v>2978.33</v>
      </c>
      <c r="P642">
        <v>2394.5100000000002</v>
      </c>
      <c r="Q642" t="s">
        <v>113</v>
      </c>
      <c r="R642">
        <v>0.44566932944215731</v>
      </c>
      <c r="S642">
        <v>2024</v>
      </c>
      <c r="T642" t="s">
        <v>1384</v>
      </c>
      <c r="U642">
        <v>7</v>
      </c>
      <c r="V642" t="s">
        <v>1385</v>
      </c>
    </row>
    <row r="643" spans="1:22" x14ac:dyDescent="0.3">
      <c r="A643" t="s">
        <v>1416</v>
      </c>
      <c r="B643" s="1">
        <v>45482</v>
      </c>
      <c r="C643" t="s">
        <v>470</v>
      </c>
      <c r="D643" t="s">
        <v>185</v>
      </c>
      <c r="E643" t="s">
        <v>61</v>
      </c>
      <c r="F643" t="s">
        <v>71</v>
      </c>
      <c r="G643" t="s">
        <v>317</v>
      </c>
      <c r="H643" t="s">
        <v>43</v>
      </c>
      <c r="I643" t="s">
        <v>44</v>
      </c>
      <c r="J643" t="s">
        <v>45</v>
      </c>
      <c r="K643">
        <v>2</v>
      </c>
      <c r="L643">
        <v>258.76</v>
      </c>
      <c r="M643">
        <v>0.15</v>
      </c>
      <c r="N643">
        <v>439.89</v>
      </c>
      <c r="O643">
        <v>197.62</v>
      </c>
      <c r="P643">
        <v>242.27</v>
      </c>
      <c r="Q643" t="s">
        <v>53</v>
      </c>
      <c r="R643">
        <v>0.55075132419468509</v>
      </c>
      <c r="S643">
        <v>2024</v>
      </c>
      <c r="T643" t="s">
        <v>1384</v>
      </c>
      <c r="U643">
        <v>7</v>
      </c>
      <c r="V643" t="s">
        <v>1385</v>
      </c>
    </row>
    <row r="644" spans="1:22" x14ac:dyDescent="0.3">
      <c r="A644" t="s">
        <v>1417</v>
      </c>
      <c r="B644" s="1">
        <v>45482</v>
      </c>
      <c r="C644" t="s">
        <v>1418</v>
      </c>
      <c r="D644" t="s">
        <v>844</v>
      </c>
      <c r="E644" t="s">
        <v>120</v>
      </c>
      <c r="F644" t="s">
        <v>121</v>
      </c>
      <c r="G644" t="s">
        <v>130</v>
      </c>
      <c r="H644" t="s">
        <v>43</v>
      </c>
      <c r="I644" t="s">
        <v>51</v>
      </c>
      <c r="J644" t="s">
        <v>96</v>
      </c>
      <c r="K644">
        <v>1</v>
      </c>
      <c r="L644">
        <v>470.37</v>
      </c>
      <c r="M644">
        <v>0.1</v>
      </c>
      <c r="N644">
        <v>423.33</v>
      </c>
      <c r="O644">
        <v>211.73</v>
      </c>
      <c r="P644">
        <v>211.6</v>
      </c>
      <c r="Q644" t="s">
        <v>46</v>
      </c>
      <c r="R644">
        <v>0.49984645548390139</v>
      </c>
      <c r="S644">
        <v>2024</v>
      </c>
      <c r="T644" t="s">
        <v>1384</v>
      </c>
      <c r="U644">
        <v>7</v>
      </c>
      <c r="V644" t="s">
        <v>1385</v>
      </c>
    </row>
    <row r="645" spans="1:22" x14ac:dyDescent="0.3">
      <c r="A645" t="s">
        <v>1419</v>
      </c>
      <c r="B645" s="1">
        <v>45482</v>
      </c>
      <c r="C645" t="s">
        <v>1420</v>
      </c>
      <c r="D645" t="s">
        <v>606</v>
      </c>
      <c r="E645" t="s">
        <v>61</v>
      </c>
      <c r="F645" t="s">
        <v>62</v>
      </c>
      <c r="G645" t="s">
        <v>63</v>
      </c>
      <c r="H645" t="s">
        <v>64</v>
      </c>
      <c r="I645" t="s">
        <v>65</v>
      </c>
      <c r="J645" t="s">
        <v>66</v>
      </c>
      <c r="K645">
        <v>1</v>
      </c>
      <c r="L645">
        <v>4913.03</v>
      </c>
      <c r="M645">
        <v>0.1</v>
      </c>
      <c r="N645">
        <v>4421.7299999999996</v>
      </c>
      <c r="O645">
        <v>2984.81</v>
      </c>
      <c r="P645">
        <v>1436.92</v>
      </c>
      <c r="Q645" t="s">
        <v>31</v>
      </c>
      <c r="R645">
        <v>0.32496782933376761</v>
      </c>
      <c r="S645">
        <v>2024</v>
      </c>
      <c r="T645" t="s">
        <v>1384</v>
      </c>
      <c r="U645">
        <v>7</v>
      </c>
      <c r="V645" t="s">
        <v>1385</v>
      </c>
    </row>
    <row r="646" spans="1:22" x14ac:dyDescent="0.3">
      <c r="A646" t="s">
        <v>1421</v>
      </c>
      <c r="B646" s="1">
        <v>45483</v>
      </c>
      <c r="C646" t="s">
        <v>546</v>
      </c>
      <c r="D646" t="s">
        <v>678</v>
      </c>
      <c r="E646" t="s">
        <v>61</v>
      </c>
      <c r="F646" t="s">
        <v>78</v>
      </c>
      <c r="G646" t="s">
        <v>104</v>
      </c>
      <c r="H646" t="s">
        <v>84</v>
      </c>
      <c r="I646" t="s">
        <v>85</v>
      </c>
      <c r="J646" t="s">
        <v>86</v>
      </c>
      <c r="K646">
        <v>5</v>
      </c>
      <c r="L646">
        <v>1786.26</v>
      </c>
      <c r="M646">
        <v>0.05</v>
      </c>
      <c r="N646">
        <v>8484.73</v>
      </c>
      <c r="O646">
        <v>4958.42</v>
      </c>
      <c r="P646">
        <v>3526.31</v>
      </c>
      <c r="Q646" t="s">
        <v>46</v>
      </c>
      <c r="R646">
        <v>0.41560662507822882</v>
      </c>
      <c r="S646">
        <v>2024</v>
      </c>
      <c r="T646" t="s">
        <v>1384</v>
      </c>
      <c r="U646">
        <v>7</v>
      </c>
      <c r="V646" t="s">
        <v>1385</v>
      </c>
    </row>
    <row r="647" spans="1:22" x14ac:dyDescent="0.3">
      <c r="A647" t="s">
        <v>1422</v>
      </c>
      <c r="B647" s="1">
        <v>45483</v>
      </c>
      <c r="C647" t="s">
        <v>989</v>
      </c>
      <c r="D647" t="s">
        <v>1227</v>
      </c>
      <c r="E647" t="s">
        <v>61</v>
      </c>
      <c r="F647" t="s">
        <v>78</v>
      </c>
      <c r="G647" t="s">
        <v>104</v>
      </c>
      <c r="H647" t="s">
        <v>28</v>
      </c>
      <c r="I647" t="s">
        <v>29</v>
      </c>
      <c r="J647" t="s">
        <v>57</v>
      </c>
      <c r="K647">
        <v>3</v>
      </c>
      <c r="L647">
        <v>15643.43</v>
      </c>
      <c r="M647">
        <v>0.05</v>
      </c>
      <c r="N647">
        <v>44583.78</v>
      </c>
      <c r="O647">
        <v>34380.61</v>
      </c>
      <c r="P647">
        <v>10203.17</v>
      </c>
      <c r="Q647" t="s">
        <v>31</v>
      </c>
      <c r="R647">
        <v>0.22885385671650091</v>
      </c>
      <c r="S647">
        <v>2024</v>
      </c>
      <c r="T647" t="s">
        <v>1384</v>
      </c>
      <c r="U647">
        <v>7</v>
      </c>
      <c r="V647" t="s">
        <v>1385</v>
      </c>
    </row>
    <row r="648" spans="1:22" x14ac:dyDescent="0.3">
      <c r="A648" t="s">
        <v>1423</v>
      </c>
      <c r="B648" s="1">
        <v>45483</v>
      </c>
      <c r="C648" t="s">
        <v>803</v>
      </c>
      <c r="D648" t="s">
        <v>1203</v>
      </c>
      <c r="E648" t="s">
        <v>120</v>
      </c>
      <c r="F648" t="s">
        <v>121</v>
      </c>
      <c r="G648" t="s">
        <v>122</v>
      </c>
      <c r="H648" t="s">
        <v>84</v>
      </c>
      <c r="I648" t="s">
        <v>138</v>
      </c>
      <c r="J648" t="s">
        <v>139</v>
      </c>
      <c r="K648">
        <v>1</v>
      </c>
      <c r="L648">
        <v>12412.02</v>
      </c>
      <c r="M648">
        <v>0.1</v>
      </c>
      <c r="N648">
        <v>11170.82</v>
      </c>
      <c r="O648">
        <v>9042.6200000000008</v>
      </c>
      <c r="P648">
        <v>2128.1999999999998</v>
      </c>
      <c r="Q648" t="s">
        <v>67</v>
      </c>
      <c r="R648">
        <v>0.19051421471297539</v>
      </c>
      <c r="S648">
        <v>2024</v>
      </c>
      <c r="T648" t="s">
        <v>1384</v>
      </c>
      <c r="U648">
        <v>7</v>
      </c>
      <c r="V648" t="s">
        <v>1385</v>
      </c>
    </row>
    <row r="649" spans="1:22" x14ac:dyDescent="0.3">
      <c r="A649" t="s">
        <v>1424</v>
      </c>
      <c r="B649" s="1">
        <v>45484</v>
      </c>
      <c r="C649" t="s">
        <v>1425</v>
      </c>
      <c r="D649" t="s">
        <v>1426</v>
      </c>
      <c r="E649" t="s">
        <v>61</v>
      </c>
      <c r="F649" t="s">
        <v>62</v>
      </c>
      <c r="G649" t="s">
        <v>134</v>
      </c>
      <c r="H649" t="s">
        <v>64</v>
      </c>
      <c r="I649" t="s">
        <v>108</v>
      </c>
      <c r="J649" t="s">
        <v>155</v>
      </c>
      <c r="K649">
        <v>4</v>
      </c>
      <c r="L649">
        <v>8681.6299999999992</v>
      </c>
      <c r="M649">
        <v>0.05</v>
      </c>
      <c r="N649">
        <v>32990.19</v>
      </c>
      <c r="O649">
        <v>24098.68</v>
      </c>
      <c r="P649">
        <v>8891.51</v>
      </c>
      <c r="Q649" t="s">
        <v>46</v>
      </c>
      <c r="R649">
        <v>0.26951981786100648</v>
      </c>
      <c r="S649">
        <v>2024</v>
      </c>
      <c r="T649" t="s">
        <v>1384</v>
      </c>
      <c r="U649">
        <v>7</v>
      </c>
      <c r="V649" t="s">
        <v>1385</v>
      </c>
    </row>
    <row r="650" spans="1:22" x14ac:dyDescent="0.3">
      <c r="A650" t="s">
        <v>1427</v>
      </c>
      <c r="B650" s="1">
        <v>45484</v>
      </c>
      <c r="C650" t="s">
        <v>1428</v>
      </c>
      <c r="D650" t="s">
        <v>119</v>
      </c>
      <c r="E650" t="s">
        <v>120</v>
      </c>
      <c r="F650" t="s">
        <v>121</v>
      </c>
      <c r="G650" t="s">
        <v>122</v>
      </c>
      <c r="H650" t="s">
        <v>43</v>
      </c>
      <c r="I650" t="s">
        <v>44</v>
      </c>
      <c r="J650" t="s">
        <v>248</v>
      </c>
      <c r="K650">
        <v>2</v>
      </c>
      <c r="L650">
        <v>306.94</v>
      </c>
      <c r="M650">
        <v>0.2</v>
      </c>
      <c r="N650">
        <v>491.1</v>
      </c>
      <c r="O650">
        <v>247.73</v>
      </c>
      <c r="P650">
        <v>243.37</v>
      </c>
      <c r="Q650" t="s">
        <v>53</v>
      </c>
      <c r="R650">
        <v>0.49556098554265932</v>
      </c>
      <c r="S650">
        <v>2024</v>
      </c>
      <c r="T650" t="s">
        <v>1384</v>
      </c>
      <c r="U650">
        <v>7</v>
      </c>
      <c r="V650" t="s">
        <v>1385</v>
      </c>
    </row>
    <row r="651" spans="1:22" x14ac:dyDescent="0.3">
      <c r="A651" t="s">
        <v>1429</v>
      </c>
      <c r="B651" s="1">
        <v>45484</v>
      </c>
      <c r="C651" t="s">
        <v>169</v>
      </c>
      <c r="D651" t="s">
        <v>820</v>
      </c>
      <c r="E651" t="s">
        <v>120</v>
      </c>
      <c r="F651" t="s">
        <v>121</v>
      </c>
      <c r="G651" t="s">
        <v>122</v>
      </c>
      <c r="H651" t="s">
        <v>43</v>
      </c>
      <c r="I651" t="s">
        <v>51</v>
      </c>
      <c r="J651" t="s">
        <v>52</v>
      </c>
      <c r="K651">
        <v>2</v>
      </c>
      <c r="L651">
        <v>731.06</v>
      </c>
      <c r="M651">
        <v>0.05</v>
      </c>
      <c r="N651">
        <v>1389.01</v>
      </c>
      <c r="O651">
        <v>699.26</v>
      </c>
      <c r="P651">
        <v>689.75</v>
      </c>
      <c r="Q651" t="s">
        <v>67</v>
      </c>
      <c r="R651">
        <v>0.49657669851188979</v>
      </c>
      <c r="S651">
        <v>2024</v>
      </c>
      <c r="T651" t="s">
        <v>1384</v>
      </c>
      <c r="U651">
        <v>7</v>
      </c>
      <c r="V651" t="s">
        <v>1385</v>
      </c>
    </row>
    <row r="652" spans="1:22" x14ac:dyDescent="0.3">
      <c r="A652" t="s">
        <v>1430</v>
      </c>
      <c r="B652" s="1">
        <v>45485</v>
      </c>
      <c r="C652" t="s">
        <v>669</v>
      </c>
      <c r="D652" t="s">
        <v>849</v>
      </c>
      <c r="E652" t="s">
        <v>25</v>
      </c>
      <c r="F652" t="s">
        <v>26</v>
      </c>
      <c r="G652" t="s">
        <v>37</v>
      </c>
      <c r="H652" t="s">
        <v>64</v>
      </c>
      <c r="I652" t="s">
        <v>108</v>
      </c>
      <c r="J652" t="s">
        <v>155</v>
      </c>
      <c r="K652">
        <v>2</v>
      </c>
      <c r="L652">
        <v>8957.5400000000009</v>
      </c>
      <c r="M652">
        <v>0.1</v>
      </c>
      <c r="N652">
        <v>16123.57</v>
      </c>
      <c r="O652">
        <v>12346.99</v>
      </c>
      <c r="P652">
        <v>3776.58</v>
      </c>
      <c r="Q652" t="s">
        <v>113</v>
      </c>
      <c r="R652">
        <v>0.23422728341180021</v>
      </c>
      <c r="S652">
        <v>2024</v>
      </c>
      <c r="T652" t="s">
        <v>1384</v>
      </c>
      <c r="U652">
        <v>7</v>
      </c>
      <c r="V652" t="s">
        <v>1385</v>
      </c>
    </row>
    <row r="653" spans="1:22" x14ac:dyDescent="0.3">
      <c r="A653" t="s">
        <v>1431</v>
      </c>
      <c r="B653" s="1">
        <v>45485</v>
      </c>
      <c r="C653" t="s">
        <v>1432</v>
      </c>
      <c r="D653" t="s">
        <v>1433</v>
      </c>
      <c r="E653" t="s">
        <v>61</v>
      </c>
      <c r="F653" t="s">
        <v>62</v>
      </c>
      <c r="G653" t="s">
        <v>134</v>
      </c>
      <c r="H653" t="s">
        <v>84</v>
      </c>
      <c r="I653" t="s">
        <v>138</v>
      </c>
      <c r="J653" t="s">
        <v>139</v>
      </c>
      <c r="K653">
        <v>5</v>
      </c>
      <c r="L653">
        <v>13276.2</v>
      </c>
      <c r="M653">
        <v>0</v>
      </c>
      <c r="N653">
        <v>66381</v>
      </c>
      <c r="O653">
        <v>48996.73</v>
      </c>
      <c r="P653">
        <v>17384.27</v>
      </c>
      <c r="Q653" t="s">
        <v>67</v>
      </c>
      <c r="R653">
        <v>0.26188623250628951</v>
      </c>
      <c r="S653">
        <v>2024</v>
      </c>
      <c r="T653" t="s">
        <v>1384</v>
      </c>
      <c r="U653">
        <v>7</v>
      </c>
      <c r="V653" t="s">
        <v>1385</v>
      </c>
    </row>
    <row r="654" spans="1:22" x14ac:dyDescent="0.3">
      <c r="A654" t="s">
        <v>1434</v>
      </c>
      <c r="B654" s="1">
        <v>45485</v>
      </c>
      <c r="C654" t="s">
        <v>387</v>
      </c>
      <c r="D654" t="s">
        <v>1435</v>
      </c>
      <c r="E654" t="s">
        <v>61</v>
      </c>
      <c r="F654" t="s">
        <v>78</v>
      </c>
      <c r="G654" t="s">
        <v>79</v>
      </c>
      <c r="H654" t="s">
        <v>84</v>
      </c>
      <c r="I654" t="s">
        <v>85</v>
      </c>
      <c r="J654" t="s">
        <v>86</v>
      </c>
      <c r="K654">
        <v>5</v>
      </c>
      <c r="L654">
        <v>1785.68</v>
      </c>
      <c r="M654">
        <v>0.2</v>
      </c>
      <c r="N654">
        <v>7142.72</v>
      </c>
      <c r="O654">
        <v>4739.12</v>
      </c>
      <c r="P654">
        <v>2403.6</v>
      </c>
      <c r="Q654" t="s">
        <v>31</v>
      </c>
      <c r="R654">
        <v>0.33651046100085119</v>
      </c>
      <c r="S654">
        <v>2024</v>
      </c>
      <c r="T654" t="s">
        <v>1384</v>
      </c>
      <c r="U654">
        <v>7</v>
      </c>
      <c r="V654" t="s">
        <v>1385</v>
      </c>
    </row>
    <row r="655" spans="1:22" x14ac:dyDescent="0.3">
      <c r="A655" t="s">
        <v>1436</v>
      </c>
      <c r="B655" s="1">
        <v>45485</v>
      </c>
      <c r="C655" t="s">
        <v>883</v>
      </c>
      <c r="D655" t="s">
        <v>782</v>
      </c>
      <c r="E655" t="s">
        <v>25</v>
      </c>
      <c r="F655" t="s">
        <v>26</v>
      </c>
      <c r="G655" t="s">
        <v>37</v>
      </c>
      <c r="H655" t="s">
        <v>84</v>
      </c>
      <c r="I655" t="s">
        <v>85</v>
      </c>
      <c r="J655" t="s">
        <v>145</v>
      </c>
      <c r="K655">
        <v>1</v>
      </c>
      <c r="L655">
        <v>3446.49</v>
      </c>
      <c r="M655">
        <v>0.05</v>
      </c>
      <c r="N655">
        <v>3274.17</v>
      </c>
      <c r="O655">
        <v>1940.46</v>
      </c>
      <c r="P655">
        <v>1333.71</v>
      </c>
      <c r="Q655" t="s">
        <v>67</v>
      </c>
      <c r="R655">
        <v>0.40734292965850888</v>
      </c>
      <c r="S655">
        <v>2024</v>
      </c>
      <c r="T655" t="s">
        <v>1384</v>
      </c>
      <c r="U655">
        <v>7</v>
      </c>
      <c r="V655" t="s">
        <v>1385</v>
      </c>
    </row>
    <row r="656" spans="1:22" x14ac:dyDescent="0.3">
      <c r="A656" t="s">
        <v>1437</v>
      </c>
      <c r="B656" s="1">
        <v>45486</v>
      </c>
      <c r="C656" t="s">
        <v>1438</v>
      </c>
      <c r="D656" t="s">
        <v>342</v>
      </c>
      <c r="E656" t="s">
        <v>61</v>
      </c>
      <c r="F656" t="s">
        <v>78</v>
      </c>
      <c r="G656" t="s">
        <v>79</v>
      </c>
      <c r="H656" t="s">
        <v>43</v>
      </c>
      <c r="I656" t="s">
        <v>44</v>
      </c>
      <c r="J656" t="s">
        <v>248</v>
      </c>
      <c r="K656">
        <v>1</v>
      </c>
      <c r="L656">
        <v>313.58999999999997</v>
      </c>
      <c r="M656">
        <v>0.05</v>
      </c>
      <c r="N656">
        <v>297.91000000000003</v>
      </c>
      <c r="O656">
        <v>135.78</v>
      </c>
      <c r="P656">
        <v>162.13</v>
      </c>
      <c r="Q656" t="s">
        <v>31</v>
      </c>
      <c r="R656">
        <v>0.54422476586888646</v>
      </c>
      <c r="S656">
        <v>2024</v>
      </c>
      <c r="T656" t="s">
        <v>1384</v>
      </c>
      <c r="U656">
        <v>7</v>
      </c>
      <c r="V656" t="s">
        <v>1385</v>
      </c>
    </row>
    <row r="657" spans="1:22" x14ac:dyDescent="0.3">
      <c r="A657" t="s">
        <v>1439</v>
      </c>
      <c r="B657" s="1">
        <v>45486</v>
      </c>
      <c r="C657" t="s">
        <v>567</v>
      </c>
      <c r="D657" t="s">
        <v>1232</v>
      </c>
      <c r="E657" t="s">
        <v>25</v>
      </c>
      <c r="F657" t="s">
        <v>26</v>
      </c>
      <c r="G657" t="s">
        <v>171</v>
      </c>
      <c r="H657" t="s">
        <v>43</v>
      </c>
      <c r="I657" t="s">
        <v>44</v>
      </c>
      <c r="J657" t="s">
        <v>45</v>
      </c>
      <c r="K657">
        <v>1</v>
      </c>
      <c r="L657">
        <v>238.09</v>
      </c>
      <c r="M657">
        <v>0.05</v>
      </c>
      <c r="N657">
        <v>226.19</v>
      </c>
      <c r="O657">
        <v>93.69</v>
      </c>
      <c r="P657">
        <v>132.5</v>
      </c>
      <c r="Q657" t="s">
        <v>113</v>
      </c>
      <c r="R657">
        <v>0.58579070692780411</v>
      </c>
      <c r="S657">
        <v>2024</v>
      </c>
      <c r="T657" t="s">
        <v>1384</v>
      </c>
      <c r="U657">
        <v>7</v>
      </c>
      <c r="V657" t="s">
        <v>1385</v>
      </c>
    </row>
    <row r="658" spans="1:22" x14ac:dyDescent="0.3">
      <c r="A658" t="s">
        <v>1440</v>
      </c>
      <c r="B658" s="1">
        <v>45487</v>
      </c>
      <c r="C658" t="s">
        <v>861</v>
      </c>
      <c r="D658" t="s">
        <v>206</v>
      </c>
      <c r="E658" t="s">
        <v>61</v>
      </c>
      <c r="F658" t="s">
        <v>71</v>
      </c>
      <c r="G658" t="s">
        <v>100</v>
      </c>
      <c r="H658" t="s">
        <v>28</v>
      </c>
      <c r="I658" t="s">
        <v>29</v>
      </c>
      <c r="J658" t="s">
        <v>57</v>
      </c>
      <c r="K658">
        <v>3</v>
      </c>
      <c r="L658">
        <v>15649.55</v>
      </c>
      <c r="M658">
        <v>0.15</v>
      </c>
      <c r="N658">
        <v>39906.35</v>
      </c>
      <c r="O658">
        <v>35165.15</v>
      </c>
      <c r="P658">
        <v>4741.2</v>
      </c>
      <c r="Q658" t="s">
        <v>113</v>
      </c>
      <c r="R658">
        <v>0.11880815960367209</v>
      </c>
      <c r="S658">
        <v>2024</v>
      </c>
      <c r="T658" t="s">
        <v>1384</v>
      </c>
      <c r="U658">
        <v>7</v>
      </c>
      <c r="V658" t="s">
        <v>1385</v>
      </c>
    </row>
    <row r="659" spans="1:22" x14ac:dyDescent="0.3">
      <c r="A659" t="s">
        <v>1441</v>
      </c>
      <c r="B659" s="1">
        <v>45487</v>
      </c>
      <c r="C659" t="s">
        <v>546</v>
      </c>
      <c r="D659" t="s">
        <v>680</v>
      </c>
      <c r="E659" t="s">
        <v>120</v>
      </c>
      <c r="F659" t="s">
        <v>121</v>
      </c>
      <c r="G659" t="s">
        <v>122</v>
      </c>
      <c r="H659" t="s">
        <v>84</v>
      </c>
      <c r="I659" t="s">
        <v>138</v>
      </c>
      <c r="J659" t="s">
        <v>220</v>
      </c>
      <c r="K659">
        <v>2</v>
      </c>
      <c r="L659">
        <v>7838.86</v>
      </c>
      <c r="M659">
        <v>0.05</v>
      </c>
      <c r="N659">
        <v>14893.83</v>
      </c>
      <c r="O659">
        <v>10322.620000000001</v>
      </c>
      <c r="P659">
        <v>4571.21</v>
      </c>
      <c r="Q659" t="s">
        <v>53</v>
      </c>
      <c r="R659">
        <v>0.30691971104813198</v>
      </c>
      <c r="S659">
        <v>2024</v>
      </c>
      <c r="T659" t="s">
        <v>1384</v>
      </c>
      <c r="U659">
        <v>7</v>
      </c>
      <c r="V659" t="s">
        <v>1385</v>
      </c>
    </row>
    <row r="660" spans="1:22" x14ac:dyDescent="0.3">
      <c r="A660" t="s">
        <v>1442</v>
      </c>
      <c r="B660" s="1">
        <v>45487</v>
      </c>
      <c r="C660" t="s">
        <v>23</v>
      </c>
      <c r="D660" t="s">
        <v>161</v>
      </c>
      <c r="E660" t="s">
        <v>25</v>
      </c>
      <c r="F660" t="s">
        <v>26</v>
      </c>
      <c r="G660" t="s">
        <v>37</v>
      </c>
      <c r="H660" t="s">
        <v>28</v>
      </c>
      <c r="I660" t="s">
        <v>73</v>
      </c>
      <c r="J660" t="s">
        <v>74</v>
      </c>
      <c r="K660">
        <v>2</v>
      </c>
      <c r="L660">
        <v>2467.14</v>
      </c>
      <c r="M660">
        <v>0.05</v>
      </c>
      <c r="N660">
        <v>4687.57</v>
      </c>
      <c r="O660">
        <v>2747.64</v>
      </c>
      <c r="P660">
        <v>1939.93</v>
      </c>
      <c r="Q660" t="s">
        <v>53</v>
      </c>
      <c r="R660">
        <v>0.41384555323973832</v>
      </c>
      <c r="S660">
        <v>2024</v>
      </c>
      <c r="T660" t="s">
        <v>1384</v>
      </c>
      <c r="U660">
        <v>7</v>
      </c>
      <c r="V660" t="s">
        <v>1385</v>
      </c>
    </row>
    <row r="661" spans="1:22" x14ac:dyDescent="0.3">
      <c r="A661" t="s">
        <v>1443</v>
      </c>
      <c r="B661" s="1">
        <v>45487</v>
      </c>
      <c r="C661" t="s">
        <v>1444</v>
      </c>
      <c r="D661" t="s">
        <v>704</v>
      </c>
      <c r="E661" t="s">
        <v>41</v>
      </c>
      <c r="F661" t="s">
        <v>42</v>
      </c>
      <c r="G661" t="s">
        <v>50</v>
      </c>
      <c r="H661" t="s">
        <v>84</v>
      </c>
      <c r="I661" t="s">
        <v>138</v>
      </c>
      <c r="J661" t="s">
        <v>220</v>
      </c>
      <c r="K661">
        <v>1</v>
      </c>
      <c r="L661">
        <v>7064.74</v>
      </c>
      <c r="M661">
        <v>0.05</v>
      </c>
      <c r="N661">
        <v>6711.5</v>
      </c>
      <c r="O661">
        <v>4450.42</v>
      </c>
      <c r="P661">
        <v>2261.08</v>
      </c>
      <c r="Q661" t="s">
        <v>46</v>
      </c>
      <c r="R661">
        <v>0.33689637189897942</v>
      </c>
      <c r="S661">
        <v>2024</v>
      </c>
      <c r="T661" t="s">
        <v>1384</v>
      </c>
      <c r="U661">
        <v>7</v>
      </c>
      <c r="V661" t="s">
        <v>1385</v>
      </c>
    </row>
    <row r="662" spans="1:22" x14ac:dyDescent="0.3">
      <c r="A662" t="s">
        <v>1445</v>
      </c>
      <c r="B662" s="1">
        <v>45487</v>
      </c>
      <c r="C662" t="s">
        <v>428</v>
      </c>
      <c r="D662" t="s">
        <v>430</v>
      </c>
      <c r="E662" t="s">
        <v>120</v>
      </c>
      <c r="F662" t="s">
        <v>121</v>
      </c>
      <c r="G662" t="s">
        <v>130</v>
      </c>
      <c r="H662" t="s">
        <v>28</v>
      </c>
      <c r="I662" t="s">
        <v>73</v>
      </c>
      <c r="J662" t="s">
        <v>74</v>
      </c>
      <c r="K662">
        <v>1</v>
      </c>
      <c r="L662">
        <v>2383.02</v>
      </c>
      <c r="M662">
        <v>0</v>
      </c>
      <c r="N662">
        <v>2383.02</v>
      </c>
      <c r="O662">
        <v>1275.5</v>
      </c>
      <c r="P662">
        <v>1107.52</v>
      </c>
      <c r="Q662" t="s">
        <v>46</v>
      </c>
      <c r="R662">
        <v>0.46475480692566568</v>
      </c>
      <c r="S662">
        <v>2024</v>
      </c>
      <c r="T662" t="s">
        <v>1384</v>
      </c>
      <c r="U662">
        <v>7</v>
      </c>
      <c r="V662" t="s">
        <v>1385</v>
      </c>
    </row>
    <row r="663" spans="1:22" x14ac:dyDescent="0.3">
      <c r="A663" t="s">
        <v>1446</v>
      </c>
      <c r="B663" s="1">
        <v>45487</v>
      </c>
      <c r="C663" t="s">
        <v>312</v>
      </c>
      <c r="D663" t="s">
        <v>265</v>
      </c>
      <c r="E663" t="s">
        <v>120</v>
      </c>
      <c r="F663" t="s">
        <v>121</v>
      </c>
      <c r="G663" t="s">
        <v>224</v>
      </c>
      <c r="H663" t="s">
        <v>28</v>
      </c>
      <c r="I663" t="s">
        <v>91</v>
      </c>
      <c r="J663" t="s">
        <v>126</v>
      </c>
      <c r="K663">
        <v>2</v>
      </c>
      <c r="L663">
        <v>1980.82</v>
      </c>
      <c r="M663">
        <v>0.2</v>
      </c>
      <c r="N663">
        <v>3169.31</v>
      </c>
      <c r="O663">
        <v>2284.0300000000002</v>
      </c>
      <c r="P663">
        <v>885.28</v>
      </c>
      <c r="Q663" t="s">
        <v>31</v>
      </c>
      <c r="R663">
        <v>0.27932893910661938</v>
      </c>
      <c r="S663">
        <v>2024</v>
      </c>
      <c r="T663" t="s">
        <v>1384</v>
      </c>
      <c r="U663">
        <v>7</v>
      </c>
      <c r="V663" t="s">
        <v>1385</v>
      </c>
    </row>
    <row r="664" spans="1:22" x14ac:dyDescent="0.3">
      <c r="A664" t="s">
        <v>1447</v>
      </c>
      <c r="B664" s="1">
        <v>45487</v>
      </c>
      <c r="C664" t="s">
        <v>858</v>
      </c>
      <c r="D664" t="s">
        <v>457</v>
      </c>
      <c r="E664" t="s">
        <v>61</v>
      </c>
      <c r="F664" t="s">
        <v>78</v>
      </c>
      <c r="G664" t="s">
        <v>83</v>
      </c>
      <c r="H664" t="s">
        <v>43</v>
      </c>
      <c r="I664" t="s">
        <v>44</v>
      </c>
      <c r="J664" t="s">
        <v>248</v>
      </c>
      <c r="K664">
        <v>1</v>
      </c>
      <c r="L664">
        <v>281.98</v>
      </c>
      <c r="M664">
        <v>0.05</v>
      </c>
      <c r="N664">
        <v>267.88</v>
      </c>
      <c r="O664">
        <v>121.16</v>
      </c>
      <c r="P664">
        <v>146.72</v>
      </c>
      <c r="Q664" t="s">
        <v>53</v>
      </c>
      <c r="R664">
        <v>0.54770792892339859</v>
      </c>
      <c r="S664">
        <v>2024</v>
      </c>
      <c r="T664" t="s">
        <v>1384</v>
      </c>
      <c r="U664">
        <v>7</v>
      </c>
      <c r="V664" t="s">
        <v>1385</v>
      </c>
    </row>
    <row r="665" spans="1:22" x14ac:dyDescent="0.3">
      <c r="A665" t="s">
        <v>1448</v>
      </c>
      <c r="B665" s="1">
        <v>45488</v>
      </c>
      <c r="C665" t="s">
        <v>333</v>
      </c>
      <c r="D665" t="s">
        <v>1449</v>
      </c>
      <c r="E665" t="s">
        <v>41</v>
      </c>
      <c r="F665" t="s">
        <v>42</v>
      </c>
      <c r="G665" t="s">
        <v>50</v>
      </c>
      <c r="H665" t="s">
        <v>28</v>
      </c>
      <c r="I665" t="s">
        <v>29</v>
      </c>
      <c r="J665" t="s">
        <v>30</v>
      </c>
      <c r="K665">
        <v>6</v>
      </c>
      <c r="L665">
        <v>59208.89</v>
      </c>
      <c r="M665">
        <v>0.2</v>
      </c>
      <c r="N665">
        <v>284202.67</v>
      </c>
      <c r="O665">
        <v>324004.55</v>
      </c>
      <c r="P665">
        <v>-39801.879999999997</v>
      </c>
      <c r="Q665" t="s">
        <v>46</v>
      </c>
      <c r="R665">
        <v>-0.14004752312847729</v>
      </c>
      <c r="S665">
        <v>2024</v>
      </c>
      <c r="T665" t="s">
        <v>1384</v>
      </c>
      <c r="U665">
        <v>7</v>
      </c>
      <c r="V665" t="s">
        <v>1385</v>
      </c>
    </row>
    <row r="666" spans="1:22" x14ac:dyDescent="0.3">
      <c r="A666" t="s">
        <v>1450</v>
      </c>
      <c r="B666" s="1">
        <v>45489</v>
      </c>
      <c r="C666" t="s">
        <v>971</v>
      </c>
      <c r="D666" t="s">
        <v>366</v>
      </c>
      <c r="E666" t="s">
        <v>120</v>
      </c>
      <c r="F666" t="s">
        <v>121</v>
      </c>
      <c r="G666" t="s">
        <v>122</v>
      </c>
      <c r="H666" t="s">
        <v>28</v>
      </c>
      <c r="I666" t="s">
        <v>91</v>
      </c>
      <c r="J666" t="s">
        <v>92</v>
      </c>
      <c r="K666">
        <v>1</v>
      </c>
      <c r="L666">
        <v>2888.53</v>
      </c>
      <c r="M666">
        <v>0.05</v>
      </c>
      <c r="N666">
        <v>2744.1</v>
      </c>
      <c r="O666">
        <v>1513.52</v>
      </c>
      <c r="P666">
        <v>1230.58</v>
      </c>
      <c r="Q666" t="s">
        <v>46</v>
      </c>
      <c r="R666">
        <v>0.44844575634998718</v>
      </c>
      <c r="S666">
        <v>2024</v>
      </c>
      <c r="T666" t="s">
        <v>1384</v>
      </c>
      <c r="U666">
        <v>7</v>
      </c>
      <c r="V666" t="s">
        <v>1385</v>
      </c>
    </row>
    <row r="667" spans="1:22" x14ac:dyDescent="0.3">
      <c r="A667" t="s">
        <v>1451</v>
      </c>
      <c r="B667" s="1">
        <v>45489</v>
      </c>
      <c r="C667" t="s">
        <v>377</v>
      </c>
      <c r="D667" t="s">
        <v>735</v>
      </c>
      <c r="E667" t="s">
        <v>61</v>
      </c>
      <c r="F667" t="s">
        <v>71</v>
      </c>
      <c r="G667" t="s">
        <v>201</v>
      </c>
      <c r="H667" t="s">
        <v>28</v>
      </c>
      <c r="I667" t="s">
        <v>29</v>
      </c>
      <c r="J667" t="s">
        <v>57</v>
      </c>
      <c r="K667">
        <v>2</v>
      </c>
      <c r="L667">
        <v>16237.76</v>
      </c>
      <c r="M667">
        <v>0.2</v>
      </c>
      <c r="N667">
        <v>25980.42</v>
      </c>
      <c r="O667">
        <v>24309.7</v>
      </c>
      <c r="P667">
        <v>1670.72</v>
      </c>
      <c r="Q667" t="s">
        <v>53</v>
      </c>
      <c r="R667">
        <v>6.4306889572993825E-2</v>
      </c>
      <c r="S667">
        <v>2024</v>
      </c>
      <c r="T667" t="s">
        <v>1384</v>
      </c>
      <c r="U667">
        <v>7</v>
      </c>
      <c r="V667" t="s">
        <v>1385</v>
      </c>
    </row>
    <row r="668" spans="1:22" x14ac:dyDescent="0.3">
      <c r="A668" t="s">
        <v>1452</v>
      </c>
      <c r="B668" s="1">
        <v>45490</v>
      </c>
      <c r="C668" t="s">
        <v>1336</v>
      </c>
      <c r="D668" t="s">
        <v>876</v>
      </c>
      <c r="E668" t="s">
        <v>41</v>
      </c>
      <c r="F668" t="s">
        <v>42</v>
      </c>
      <c r="G668" t="s">
        <v>50</v>
      </c>
      <c r="H668" t="s">
        <v>43</v>
      </c>
      <c r="I668" t="s">
        <v>51</v>
      </c>
      <c r="J668" t="s">
        <v>52</v>
      </c>
      <c r="K668">
        <v>2</v>
      </c>
      <c r="L668">
        <v>699.55</v>
      </c>
      <c r="M668">
        <v>0.15</v>
      </c>
      <c r="N668">
        <v>1189.23</v>
      </c>
      <c r="O668">
        <v>634.41</v>
      </c>
      <c r="P668">
        <v>554.82000000000005</v>
      </c>
      <c r="Q668" t="s">
        <v>31</v>
      </c>
      <c r="R668">
        <v>0.46653717111071868</v>
      </c>
      <c r="S668">
        <v>2024</v>
      </c>
      <c r="T668" t="s">
        <v>1384</v>
      </c>
      <c r="U668">
        <v>7</v>
      </c>
      <c r="V668" t="s">
        <v>1385</v>
      </c>
    </row>
    <row r="669" spans="1:22" x14ac:dyDescent="0.3">
      <c r="A669" t="s">
        <v>1453</v>
      </c>
      <c r="B669" s="1">
        <v>45490</v>
      </c>
      <c r="C669" t="s">
        <v>1057</v>
      </c>
      <c r="D669" t="s">
        <v>565</v>
      </c>
      <c r="E669" t="s">
        <v>61</v>
      </c>
      <c r="F669" t="s">
        <v>62</v>
      </c>
      <c r="G669" t="s">
        <v>90</v>
      </c>
      <c r="H669" t="s">
        <v>28</v>
      </c>
      <c r="I669" t="s">
        <v>29</v>
      </c>
      <c r="J669" t="s">
        <v>57</v>
      </c>
      <c r="K669">
        <v>6</v>
      </c>
      <c r="L669">
        <v>16427.27</v>
      </c>
      <c r="M669">
        <v>0.05</v>
      </c>
      <c r="N669">
        <v>93635.44</v>
      </c>
      <c r="O669">
        <v>74359.77</v>
      </c>
      <c r="P669">
        <v>19275.669999999998</v>
      </c>
      <c r="Q669" t="s">
        <v>46</v>
      </c>
      <c r="R669">
        <v>0.20585870050912339</v>
      </c>
      <c r="S669">
        <v>2024</v>
      </c>
      <c r="T669" t="s">
        <v>1384</v>
      </c>
      <c r="U669">
        <v>7</v>
      </c>
      <c r="V669" t="s">
        <v>1385</v>
      </c>
    </row>
    <row r="670" spans="1:22" x14ac:dyDescent="0.3">
      <c r="A670" t="s">
        <v>1454</v>
      </c>
      <c r="B670" s="1">
        <v>45490</v>
      </c>
      <c r="C670" t="s">
        <v>88</v>
      </c>
      <c r="D670" t="s">
        <v>1455</v>
      </c>
      <c r="E670" t="s">
        <v>25</v>
      </c>
      <c r="F670" t="s">
        <v>26</v>
      </c>
      <c r="G670" t="s">
        <v>27</v>
      </c>
      <c r="H670" t="s">
        <v>84</v>
      </c>
      <c r="I670" t="s">
        <v>85</v>
      </c>
      <c r="J670" t="s">
        <v>145</v>
      </c>
      <c r="K670">
        <v>6</v>
      </c>
      <c r="L670">
        <v>3149.77</v>
      </c>
      <c r="M670">
        <v>0.1</v>
      </c>
      <c r="N670">
        <v>17008.759999999998</v>
      </c>
      <c r="O670">
        <v>10570.15</v>
      </c>
      <c r="P670">
        <v>6438.61</v>
      </c>
      <c r="Q670" t="s">
        <v>53</v>
      </c>
      <c r="R670">
        <v>0.37854670181718131</v>
      </c>
      <c r="S670">
        <v>2024</v>
      </c>
      <c r="T670" t="s">
        <v>1384</v>
      </c>
      <c r="U670">
        <v>7</v>
      </c>
      <c r="V670" t="s">
        <v>1385</v>
      </c>
    </row>
    <row r="671" spans="1:22" x14ac:dyDescent="0.3">
      <c r="A671" t="s">
        <v>1456</v>
      </c>
      <c r="B671" s="1">
        <v>45491</v>
      </c>
      <c r="C671" t="s">
        <v>934</v>
      </c>
      <c r="D671" t="s">
        <v>398</v>
      </c>
      <c r="E671" t="s">
        <v>120</v>
      </c>
      <c r="F671" t="s">
        <v>121</v>
      </c>
      <c r="G671" t="s">
        <v>224</v>
      </c>
      <c r="H671" t="s">
        <v>64</v>
      </c>
      <c r="I671" t="s">
        <v>65</v>
      </c>
      <c r="J671" t="s">
        <v>66</v>
      </c>
      <c r="K671">
        <v>4</v>
      </c>
      <c r="L671">
        <v>5251.65</v>
      </c>
      <c r="M671">
        <v>0.05</v>
      </c>
      <c r="N671">
        <v>19956.27</v>
      </c>
      <c r="O671">
        <v>12882.55</v>
      </c>
      <c r="P671">
        <v>7073.72</v>
      </c>
      <c r="Q671" t="s">
        <v>46</v>
      </c>
      <c r="R671">
        <v>0.35446102903999588</v>
      </c>
      <c r="S671">
        <v>2024</v>
      </c>
      <c r="T671" t="s">
        <v>1384</v>
      </c>
      <c r="U671">
        <v>7</v>
      </c>
      <c r="V671" t="s">
        <v>1385</v>
      </c>
    </row>
    <row r="672" spans="1:22" x14ac:dyDescent="0.3">
      <c r="A672" t="s">
        <v>1457</v>
      </c>
      <c r="B672" s="1">
        <v>45492</v>
      </c>
      <c r="C672" t="s">
        <v>1458</v>
      </c>
      <c r="D672" t="s">
        <v>490</v>
      </c>
      <c r="E672" t="s">
        <v>25</v>
      </c>
      <c r="F672" t="s">
        <v>26</v>
      </c>
      <c r="G672" t="s">
        <v>27</v>
      </c>
      <c r="H672" t="s">
        <v>84</v>
      </c>
      <c r="I672" t="s">
        <v>138</v>
      </c>
      <c r="J672" t="s">
        <v>220</v>
      </c>
      <c r="K672">
        <v>2</v>
      </c>
      <c r="L672">
        <v>7691.41</v>
      </c>
      <c r="M672">
        <v>0.1</v>
      </c>
      <c r="N672">
        <v>13844.54</v>
      </c>
      <c r="O672">
        <v>9670.34</v>
      </c>
      <c r="P672">
        <v>4174.2</v>
      </c>
      <c r="Q672" t="s">
        <v>31</v>
      </c>
      <c r="R672">
        <v>0.30150514209934021</v>
      </c>
      <c r="S672">
        <v>2024</v>
      </c>
      <c r="T672" t="s">
        <v>1384</v>
      </c>
      <c r="U672">
        <v>7</v>
      </c>
      <c r="V672" t="s">
        <v>1385</v>
      </c>
    </row>
    <row r="673" spans="1:22" x14ac:dyDescent="0.3">
      <c r="A673" t="s">
        <v>1459</v>
      </c>
      <c r="B673" s="1">
        <v>45492</v>
      </c>
      <c r="C673" t="s">
        <v>1460</v>
      </c>
      <c r="D673" t="s">
        <v>497</v>
      </c>
      <c r="E673" t="s">
        <v>61</v>
      </c>
      <c r="F673" t="s">
        <v>62</v>
      </c>
      <c r="G673" t="s">
        <v>228</v>
      </c>
      <c r="H673" t="s">
        <v>64</v>
      </c>
      <c r="I673" t="s">
        <v>108</v>
      </c>
      <c r="J673" t="s">
        <v>155</v>
      </c>
      <c r="K673">
        <v>3</v>
      </c>
      <c r="L673">
        <v>8539.94</v>
      </c>
      <c r="M673">
        <v>0.05</v>
      </c>
      <c r="N673">
        <v>24338.83</v>
      </c>
      <c r="O673">
        <v>18011.330000000002</v>
      </c>
      <c r="P673">
        <v>6327.5</v>
      </c>
      <c r="Q673" t="s">
        <v>31</v>
      </c>
      <c r="R673">
        <v>0.25997552059815532</v>
      </c>
      <c r="S673">
        <v>2024</v>
      </c>
      <c r="T673" t="s">
        <v>1384</v>
      </c>
      <c r="U673">
        <v>7</v>
      </c>
      <c r="V673" t="s">
        <v>1385</v>
      </c>
    </row>
    <row r="674" spans="1:22" x14ac:dyDescent="0.3">
      <c r="A674" t="s">
        <v>1461</v>
      </c>
      <c r="B674" s="1">
        <v>45492</v>
      </c>
      <c r="C674" t="s">
        <v>1037</v>
      </c>
      <c r="D674" t="s">
        <v>380</v>
      </c>
      <c r="E674" t="s">
        <v>41</v>
      </c>
      <c r="F674" t="s">
        <v>42</v>
      </c>
      <c r="G674" t="s">
        <v>42</v>
      </c>
      <c r="H674" t="s">
        <v>28</v>
      </c>
      <c r="I674" t="s">
        <v>73</v>
      </c>
      <c r="J674" t="s">
        <v>74</v>
      </c>
      <c r="K674">
        <v>3</v>
      </c>
      <c r="L674">
        <v>2506.16</v>
      </c>
      <c r="M674">
        <v>0.15</v>
      </c>
      <c r="N674">
        <v>6390.71</v>
      </c>
      <c r="O674">
        <v>4034</v>
      </c>
      <c r="P674">
        <v>2356.71</v>
      </c>
      <c r="Q674" t="s">
        <v>53</v>
      </c>
      <c r="R674">
        <v>0.36877123199143758</v>
      </c>
      <c r="S674">
        <v>2024</v>
      </c>
      <c r="T674" t="s">
        <v>1384</v>
      </c>
      <c r="U674">
        <v>7</v>
      </c>
      <c r="V674" t="s">
        <v>1385</v>
      </c>
    </row>
    <row r="675" spans="1:22" x14ac:dyDescent="0.3">
      <c r="A675" t="s">
        <v>1462</v>
      </c>
      <c r="B675" s="1">
        <v>45492</v>
      </c>
      <c r="C675" t="s">
        <v>974</v>
      </c>
      <c r="D675" t="s">
        <v>1033</v>
      </c>
      <c r="E675" t="s">
        <v>120</v>
      </c>
      <c r="F675" t="s">
        <v>121</v>
      </c>
      <c r="G675" t="s">
        <v>122</v>
      </c>
      <c r="H675" t="s">
        <v>64</v>
      </c>
      <c r="I675" t="s">
        <v>108</v>
      </c>
      <c r="J675" t="s">
        <v>109</v>
      </c>
      <c r="K675">
        <v>2</v>
      </c>
      <c r="L675">
        <v>7126.6</v>
      </c>
      <c r="M675">
        <v>0.05</v>
      </c>
      <c r="N675">
        <v>13540.54</v>
      </c>
      <c r="O675">
        <v>9390.23</v>
      </c>
      <c r="P675">
        <v>4150.3100000000004</v>
      </c>
      <c r="Q675" t="s">
        <v>31</v>
      </c>
      <c r="R675">
        <v>0.30650993239560609</v>
      </c>
      <c r="S675">
        <v>2024</v>
      </c>
      <c r="T675" t="s">
        <v>1384</v>
      </c>
      <c r="U675">
        <v>7</v>
      </c>
      <c r="V675" t="s">
        <v>1385</v>
      </c>
    </row>
    <row r="676" spans="1:22" x14ac:dyDescent="0.3">
      <c r="A676" t="s">
        <v>1463</v>
      </c>
      <c r="B676" s="1">
        <v>45492</v>
      </c>
      <c r="C676" t="s">
        <v>534</v>
      </c>
      <c r="D676" t="s">
        <v>1002</v>
      </c>
      <c r="E676" t="s">
        <v>61</v>
      </c>
      <c r="F676" t="s">
        <v>71</v>
      </c>
      <c r="G676" t="s">
        <v>72</v>
      </c>
      <c r="H676" t="s">
        <v>28</v>
      </c>
      <c r="I676" t="s">
        <v>73</v>
      </c>
      <c r="J676" t="s">
        <v>80</v>
      </c>
      <c r="K676">
        <v>1</v>
      </c>
      <c r="L676">
        <v>751.18</v>
      </c>
      <c r="M676">
        <v>0.15</v>
      </c>
      <c r="N676">
        <v>638.5</v>
      </c>
      <c r="O676">
        <v>466.04</v>
      </c>
      <c r="P676">
        <v>172.46</v>
      </c>
      <c r="Q676" t="s">
        <v>53</v>
      </c>
      <c r="R676">
        <v>0.27010180109631948</v>
      </c>
      <c r="S676">
        <v>2024</v>
      </c>
      <c r="T676" t="s">
        <v>1384</v>
      </c>
      <c r="U676">
        <v>7</v>
      </c>
      <c r="V676" t="s">
        <v>1385</v>
      </c>
    </row>
    <row r="677" spans="1:22" x14ac:dyDescent="0.3">
      <c r="A677" t="s">
        <v>1464</v>
      </c>
      <c r="B677" s="1">
        <v>45493</v>
      </c>
      <c r="C677" t="s">
        <v>1465</v>
      </c>
      <c r="D677" t="s">
        <v>244</v>
      </c>
      <c r="E677" t="s">
        <v>61</v>
      </c>
      <c r="F677" t="s">
        <v>62</v>
      </c>
      <c r="G677" t="s">
        <v>228</v>
      </c>
      <c r="H677" t="s">
        <v>28</v>
      </c>
      <c r="I677" t="s">
        <v>91</v>
      </c>
      <c r="J677" t="s">
        <v>126</v>
      </c>
      <c r="K677">
        <v>5</v>
      </c>
      <c r="L677">
        <v>2093.91</v>
      </c>
      <c r="M677">
        <v>0.1</v>
      </c>
      <c r="N677">
        <v>9422.59</v>
      </c>
      <c r="O677">
        <v>5905.18</v>
      </c>
      <c r="P677">
        <v>3517.41</v>
      </c>
      <c r="Q677" t="s">
        <v>46</v>
      </c>
      <c r="R677">
        <v>0.37329545273645559</v>
      </c>
      <c r="S677">
        <v>2024</v>
      </c>
      <c r="T677" t="s">
        <v>1384</v>
      </c>
      <c r="U677">
        <v>7</v>
      </c>
      <c r="V677" t="s">
        <v>1385</v>
      </c>
    </row>
    <row r="678" spans="1:22" x14ac:dyDescent="0.3">
      <c r="A678" t="s">
        <v>1466</v>
      </c>
      <c r="B678" s="1">
        <v>45493</v>
      </c>
      <c r="C678" t="s">
        <v>1022</v>
      </c>
      <c r="D678" t="s">
        <v>270</v>
      </c>
      <c r="E678" t="s">
        <v>61</v>
      </c>
      <c r="F678" t="s">
        <v>71</v>
      </c>
      <c r="G678" t="s">
        <v>72</v>
      </c>
      <c r="H678" t="s">
        <v>43</v>
      </c>
      <c r="I678" t="s">
        <v>51</v>
      </c>
      <c r="J678" t="s">
        <v>52</v>
      </c>
      <c r="K678">
        <v>3</v>
      </c>
      <c r="L678">
        <v>740.74</v>
      </c>
      <c r="M678">
        <v>0.05</v>
      </c>
      <c r="N678">
        <v>2111.11</v>
      </c>
      <c r="O678">
        <v>1079.23</v>
      </c>
      <c r="P678">
        <v>1031.8800000000001</v>
      </c>
      <c r="Q678" t="s">
        <v>113</v>
      </c>
      <c r="R678">
        <v>0.48878552041343182</v>
      </c>
      <c r="S678">
        <v>2024</v>
      </c>
      <c r="T678" t="s">
        <v>1384</v>
      </c>
      <c r="U678">
        <v>7</v>
      </c>
      <c r="V678" t="s">
        <v>1385</v>
      </c>
    </row>
    <row r="679" spans="1:22" x14ac:dyDescent="0.3">
      <c r="A679" t="s">
        <v>1467</v>
      </c>
      <c r="B679" s="1">
        <v>45493</v>
      </c>
      <c r="C679" t="s">
        <v>1468</v>
      </c>
      <c r="D679" t="s">
        <v>446</v>
      </c>
      <c r="E679" t="s">
        <v>61</v>
      </c>
      <c r="F679" t="s">
        <v>71</v>
      </c>
      <c r="G679" t="s">
        <v>72</v>
      </c>
      <c r="H679" t="s">
        <v>28</v>
      </c>
      <c r="I679" t="s">
        <v>73</v>
      </c>
      <c r="J679" t="s">
        <v>80</v>
      </c>
      <c r="K679">
        <v>1</v>
      </c>
      <c r="L679">
        <v>812.3</v>
      </c>
      <c r="M679">
        <v>0</v>
      </c>
      <c r="N679">
        <v>812.3</v>
      </c>
      <c r="O679">
        <v>508.8</v>
      </c>
      <c r="P679">
        <v>303.5</v>
      </c>
      <c r="Q679" t="s">
        <v>53</v>
      </c>
      <c r="R679">
        <v>0.37363043210636471</v>
      </c>
      <c r="S679">
        <v>2024</v>
      </c>
      <c r="T679" t="s">
        <v>1384</v>
      </c>
      <c r="U679">
        <v>7</v>
      </c>
      <c r="V679" t="s">
        <v>1385</v>
      </c>
    </row>
    <row r="680" spans="1:22" x14ac:dyDescent="0.3">
      <c r="A680" t="s">
        <v>1469</v>
      </c>
      <c r="B680" s="1">
        <v>45493</v>
      </c>
      <c r="C680" t="s">
        <v>1470</v>
      </c>
      <c r="D680" t="s">
        <v>241</v>
      </c>
      <c r="E680" t="s">
        <v>61</v>
      </c>
      <c r="F680" t="s">
        <v>62</v>
      </c>
      <c r="G680" t="s">
        <v>134</v>
      </c>
      <c r="H680" t="s">
        <v>28</v>
      </c>
      <c r="I680" t="s">
        <v>91</v>
      </c>
      <c r="J680" t="s">
        <v>92</v>
      </c>
      <c r="K680">
        <v>4</v>
      </c>
      <c r="L680">
        <v>2966.71</v>
      </c>
      <c r="M680">
        <v>0.1</v>
      </c>
      <c r="N680">
        <v>10680.16</v>
      </c>
      <c r="O680">
        <v>6292.8</v>
      </c>
      <c r="P680">
        <v>4387.3599999999997</v>
      </c>
      <c r="Q680" t="s">
        <v>53</v>
      </c>
      <c r="R680">
        <v>0.41079534388997913</v>
      </c>
      <c r="S680">
        <v>2024</v>
      </c>
      <c r="T680" t="s">
        <v>1384</v>
      </c>
      <c r="U680">
        <v>7</v>
      </c>
      <c r="V680" t="s">
        <v>1385</v>
      </c>
    </row>
    <row r="681" spans="1:22" x14ac:dyDescent="0.3">
      <c r="A681" t="s">
        <v>1471</v>
      </c>
      <c r="B681" s="1">
        <v>45493</v>
      </c>
      <c r="C681" t="s">
        <v>1472</v>
      </c>
      <c r="D681" t="s">
        <v>737</v>
      </c>
      <c r="E681" t="s">
        <v>41</v>
      </c>
      <c r="F681" t="s">
        <v>42</v>
      </c>
      <c r="G681" t="s">
        <v>50</v>
      </c>
      <c r="H681" t="s">
        <v>28</v>
      </c>
      <c r="I681" t="s">
        <v>29</v>
      </c>
      <c r="J681" t="s">
        <v>57</v>
      </c>
      <c r="K681">
        <v>1</v>
      </c>
      <c r="L681">
        <v>15704</v>
      </c>
      <c r="M681">
        <v>0</v>
      </c>
      <c r="N681">
        <v>15704</v>
      </c>
      <c r="O681">
        <v>11874.71</v>
      </c>
      <c r="P681">
        <v>3829.29</v>
      </c>
      <c r="Q681" t="s">
        <v>31</v>
      </c>
      <c r="R681">
        <v>0.24384169638308709</v>
      </c>
      <c r="S681">
        <v>2024</v>
      </c>
      <c r="T681" t="s">
        <v>1384</v>
      </c>
      <c r="U681">
        <v>7</v>
      </c>
      <c r="V681" t="s">
        <v>1385</v>
      </c>
    </row>
    <row r="682" spans="1:22" x14ac:dyDescent="0.3">
      <c r="A682" t="s">
        <v>1473</v>
      </c>
      <c r="B682" s="1">
        <v>45493</v>
      </c>
      <c r="C682" t="s">
        <v>1474</v>
      </c>
      <c r="D682" t="s">
        <v>580</v>
      </c>
      <c r="E682" t="s">
        <v>61</v>
      </c>
      <c r="F682" t="s">
        <v>78</v>
      </c>
      <c r="G682" t="s">
        <v>216</v>
      </c>
      <c r="H682" t="s">
        <v>64</v>
      </c>
      <c r="I682" t="s">
        <v>108</v>
      </c>
      <c r="J682" t="s">
        <v>109</v>
      </c>
      <c r="K682">
        <v>5</v>
      </c>
      <c r="L682">
        <v>6920.28</v>
      </c>
      <c r="M682">
        <v>0.15</v>
      </c>
      <c r="N682">
        <v>29411.19</v>
      </c>
      <c r="O682">
        <v>22676.42</v>
      </c>
      <c r="P682">
        <v>6734.77</v>
      </c>
      <c r="Q682" t="s">
        <v>31</v>
      </c>
      <c r="R682">
        <v>0.228986654399227</v>
      </c>
      <c r="S682">
        <v>2024</v>
      </c>
      <c r="T682" t="s">
        <v>1384</v>
      </c>
      <c r="U682">
        <v>7</v>
      </c>
      <c r="V682" t="s">
        <v>1385</v>
      </c>
    </row>
    <row r="683" spans="1:22" x14ac:dyDescent="0.3">
      <c r="A683" t="s">
        <v>1475</v>
      </c>
      <c r="B683" s="1">
        <v>45493</v>
      </c>
      <c r="C683" t="s">
        <v>1425</v>
      </c>
      <c r="D683" t="s">
        <v>161</v>
      </c>
      <c r="E683" t="s">
        <v>61</v>
      </c>
      <c r="F683" t="s">
        <v>78</v>
      </c>
      <c r="G683" t="s">
        <v>216</v>
      </c>
      <c r="H683" t="s">
        <v>28</v>
      </c>
      <c r="I683" t="s">
        <v>91</v>
      </c>
      <c r="J683" t="s">
        <v>126</v>
      </c>
      <c r="K683">
        <v>2</v>
      </c>
      <c r="L683">
        <v>2053</v>
      </c>
      <c r="M683">
        <v>0.1</v>
      </c>
      <c r="N683">
        <v>3695.4</v>
      </c>
      <c r="O683">
        <v>2336.41</v>
      </c>
      <c r="P683">
        <v>1358.99</v>
      </c>
      <c r="Q683" t="s">
        <v>67</v>
      </c>
      <c r="R683">
        <v>0.36775179953455639</v>
      </c>
      <c r="S683">
        <v>2024</v>
      </c>
      <c r="T683" t="s">
        <v>1384</v>
      </c>
      <c r="U683">
        <v>7</v>
      </c>
      <c r="V683" t="s">
        <v>1385</v>
      </c>
    </row>
    <row r="684" spans="1:22" x14ac:dyDescent="0.3">
      <c r="A684" t="s">
        <v>1476</v>
      </c>
      <c r="B684" s="1">
        <v>45494</v>
      </c>
      <c r="C684" t="s">
        <v>1477</v>
      </c>
      <c r="D684" t="s">
        <v>1218</v>
      </c>
      <c r="E684" t="s">
        <v>41</v>
      </c>
      <c r="F684" t="s">
        <v>42</v>
      </c>
      <c r="G684" t="s">
        <v>50</v>
      </c>
      <c r="H684" t="s">
        <v>84</v>
      </c>
      <c r="I684" t="s">
        <v>138</v>
      </c>
      <c r="J684" t="s">
        <v>139</v>
      </c>
      <c r="K684">
        <v>2</v>
      </c>
      <c r="L684">
        <v>12542.88</v>
      </c>
      <c r="M684">
        <v>0.1</v>
      </c>
      <c r="N684">
        <v>22577.18</v>
      </c>
      <c r="O684">
        <v>17400.79</v>
      </c>
      <c r="P684">
        <v>5176.3900000000003</v>
      </c>
      <c r="Q684" t="s">
        <v>67</v>
      </c>
      <c r="R684">
        <v>0.2292753125058134</v>
      </c>
      <c r="S684">
        <v>2024</v>
      </c>
      <c r="T684" t="s">
        <v>1384</v>
      </c>
      <c r="U684">
        <v>7</v>
      </c>
      <c r="V684" t="s">
        <v>1385</v>
      </c>
    </row>
    <row r="685" spans="1:22" x14ac:dyDescent="0.3">
      <c r="A685" t="s">
        <v>1478</v>
      </c>
      <c r="B685" s="1">
        <v>45494</v>
      </c>
      <c r="C685" t="s">
        <v>1365</v>
      </c>
      <c r="D685" t="s">
        <v>735</v>
      </c>
      <c r="E685" t="s">
        <v>120</v>
      </c>
      <c r="F685" t="s">
        <v>121</v>
      </c>
      <c r="G685" t="s">
        <v>122</v>
      </c>
      <c r="H685" t="s">
        <v>84</v>
      </c>
      <c r="I685" t="s">
        <v>138</v>
      </c>
      <c r="J685" t="s">
        <v>139</v>
      </c>
      <c r="K685">
        <v>2</v>
      </c>
      <c r="L685">
        <v>12252.31</v>
      </c>
      <c r="M685">
        <v>0.05</v>
      </c>
      <c r="N685">
        <v>23279.39</v>
      </c>
      <c r="O685">
        <v>17863.88</v>
      </c>
      <c r="P685">
        <v>5415.51</v>
      </c>
      <c r="Q685" t="s">
        <v>53</v>
      </c>
      <c r="R685">
        <v>0.23263109557423969</v>
      </c>
      <c r="S685">
        <v>2024</v>
      </c>
      <c r="T685" t="s">
        <v>1384</v>
      </c>
      <c r="U685">
        <v>7</v>
      </c>
      <c r="V685" t="s">
        <v>1385</v>
      </c>
    </row>
    <row r="686" spans="1:22" x14ac:dyDescent="0.3">
      <c r="A686" t="s">
        <v>1479</v>
      </c>
      <c r="B686" s="1">
        <v>45494</v>
      </c>
      <c r="C686" t="s">
        <v>1206</v>
      </c>
      <c r="D686" t="s">
        <v>95</v>
      </c>
      <c r="E686" t="s">
        <v>61</v>
      </c>
      <c r="F686" t="s">
        <v>71</v>
      </c>
      <c r="G686" t="s">
        <v>317</v>
      </c>
      <c r="H686" t="s">
        <v>28</v>
      </c>
      <c r="I686" t="s">
        <v>91</v>
      </c>
      <c r="J686" t="s">
        <v>126</v>
      </c>
      <c r="K686">
        <v>2</v>
      </c>
      <c r="L686">
        <v>2091.5100000000002</v>
      </c>
      <c r="M686">
        <v>0.05</v>
      </c>
      <c r="N686">
        <v>3973.87</v>
      </c>
      <c r="O686">
        <v>2399.21</v>
      </c>
      <c r="P686">
        <v>1574.66</v>
      </c>
      <c r="Q686" t="s">
        <v>67</v>
      </c>
      <c r="R686">
        <v>0.39625352615963788</v>
      </c>
      <c r="S686">
        <v>2024</v>
      </c>
      <c r="T686" t="s">
        <v>1384</v>
      </c>
      <c r="U686">
        <v>7</v>
      </c>
      <c r="V686" t="s">
        <v>1385</v>
      </c>
    </row>
    <row r="687" spans="1:22" x14ac:dyDescent="0.3">
      <c r="A687" t="s">
        <v>1480</v>
      </c>
      <c r="B687" s="1">
        <v>45494</v>
      </c>
      <c r="C687" t="s">
        <v>561</v>
      </c>
      <c r="D687" t="s">
        <v>688</v>
      </c>
      <c r="E687" t="s">
        <v>61</v>
      </c>
      <c r="F687" t="s">
        <v>62</v>
      </c>
      <c r="G687" t="s">
        <v>90</v>
      </c>
      <c r="H687" t="s">
        <v>84</v>
      </c>
      <c r="I687" t="s">
        <v>85</v>
      </c>
      <c r="J687" t="s">
        <v>86</v>
      </c>
      <c r="K687">
        <v>3</v>
      </c>
      <c r="L687">
        <v>1691.57</v>
      </c>
      <c r="M687">
        <v>0.15</v>
      </c>
      <c r="N687">
        <v>4313.5</v>
      </c>
      <c r="O687">
        <v>2676.32</v>
      </c>
      <c r="P687">
        <v>1637.18</v>
      </c>
      <c r="Q687" t="s">
        <v>31</v>
      </c>
      <c r="R687">
        <v>0.37954793091457062</v>
      </c>
      <c r="S687">
        <v>2024</v>
      </c>
      <c r="T687" t="s">
        <v>1384</v>
      </c>
      <c r="U687">
        <v>7</v>
      </c>
      <c r="V687" t="s">
        <v>1385</v>
      </c>
    </row>
    <row r="688" spans="1:22" x14ac:dyDescent="0.3">
      <c r="A688" t="s">
        <v>1481</v>
      </c>
      <c r="B688" s="1">
        <v>45494</v>
      </c>
      <c r="C688" t="s">
        <v>1167</v>
      </c>
      <c r="D688" t="s">
        <v>704</v>
      </c>
      <c r="E688" t="s">
        <v>61</v>
      </c>
      <c r="F688" t="s">
        <v>62</v>
      </c>
      <c r="G688" t="s">
        <v>134</v>
      </c>
      <c r="H688" t="s">
        <v>28</v>
      </c>
      <c r="I688" t="s">
        <v>29</v>
      </c>
      <c r="J688" t="s">
        <v>30</v>
      </c>
      <c r="K688">
        <v>2</v>
      </c>
      <c r="L688">
        <v>61609.68</v>
      </c>
      <c r="M688">
        <v>0</v>
      </c>
      <c r="N688">
        <v>123219.36</v>
      </c>
      <c r="O688">
        <v>109148.09</v>
      </c>
      <c r="P688">
        <v>14071.27</v>
      </c>
      <c r="Q688" t="s">
        <v>46</v>
      </c>
      <c r="R688">
        <v>0.114196908667599</v>
      </c>
      <c r="S688">
        <v>2024</v>
      </c>
      <c r="T688" t="s">
        <v>1384</v>
      </c>
      <c r="U688">
        <v>7</v>
      </c>
      <c r="V688" t="s">
        <v>1385</v>
      </c>
    </row>
    <row r="689" spans="1:22" x14ac:dyDescent="0.3">
      <c r="A689" t="s">
        <v>1482</v>
      </c>
      <c r="B689" s="1">
        <v>45495</v>
      </c>
      <c r="C689" t="s">
        <v>805</v>
      </c>
      <c r="D689" t="s">
        <v>740</v>
      </c>
      <c r="E689" t="s">
        <v>61</v>
      </c>
      <c r="F689" t="s">
        <v>62</v>
      </c>
      <c r="G689" t="s">
        <v>228</v>
      </c>
      <c r="H689" t="s">
        <v>28</v>
      </c>
      <c r="I689" t="s">
        <v>29</v>
      </c>
      <c r="J689" t="s">
        <v>30</v>
      </c>
      <c r="K689">
        <v>4</v>
      </c>
      <c r="L689">
        <v>59697.42</v>
      </c>
      <c r="M689">
        <v>0.05</v>
      </c>
      <c r="N689">
        <v>226850.2</v>
      </c>
      <c r="O689">
        <v>210877.18</v>
      </c>
      <c r="P689">
        <v>15973.02</v>
      </c>
      <c r="Q689" t="s">
        <v>113</v>
      </c>
      <c r="R689">
        <v>7.0412192715721647E-2</v>
      </c>
      <c r="S689">
        <v>2024</v>
      </c>
      <c r="T689" t="s">
        <v>1384</v>
      </c>
      <c r="U689">
        <v>7</v>
      </c>
      <c r="V689" t="s">
        <v>1385</v>
      </c>
    </row>
    <row r="690" spans="1:22" x14ac:dyDescent="0.3">
      <c r="A690" t="s">
        <v>1483</v>
      </c>
      <c r="B690" s="1">
        <v>45495</v>
      </c>
      <c r="C690" t="s">
        <v>791</v>
      </c>
      <c r="D690" t="s">
        <v>1263</v>
      </c>
      <c r="E690" t="s">
        <v>120</v>
      </c>
      <c r="F690" t="s">
        <v>121</v>
      </c>
      <c r="G690" t="s">
        <v>224</v>
      </c>
      <c r="H690" t="s">
        <v>28</v>
      </c>
      <c r="I690" t="s">
        <v>73</v>
      </c>
      <c r="J690" t="s">
        <v>80</v>
      </c>
      <c r="K690">
        <v>1</v>
      </c>
      <c r="L690">
        <v>818.64</v>
      </c>
      <c r="M690">
        <v>0.05</v>
      </c>
      <c r="N690">
        <v>777.71</v>
      </c>
      <c r="O690">
        <v>503.22</v>
      </c>
      <c r="P690">
        <v>274.49</v>
      </c>
      <c r="Q690" t="s">
        <v>46</v>
      </c>
      <c r="R690">
        <v>0.35294647104962001</v>
      </c>
      <c r="S690">
        <v>2024</v>
      </c>
      <c r="T690" t="s">
        <v>1384</v>
      </c>
      <c r="U690">
        <v>7</v>
      </c>
      <c r="V690" t="s">
        <v>1385</v>
      </c>
    </row>
    <row r="691" spans="1:22" x14ac:dyDescent="0.3">
      <c r="A691" t="s">
        <v>1484</v>
      </c>
      <c r="B691" s="1">
        <v>45495</v>
      </c>
      <c r="C691" t="s">
        <v>1362</v>
      </c>
      <c r="D691" t="s">
        <v>241</v>
      </c>
      <c r="E691" t="s">
        <v>120</v>
      </c>
      <c r="F691" t="s">
        <v>121</v>
      </c>
      <c r="G691" t="s">
        <v>130</v>
      </c>
      <c r="H691" t="s">
        <v>64</v>
      </c>
      <c r="I691" t="s">
        <v>108</v>
      </c>
      <c r="J691" t="s">
        <v>155</v>
      </c>
      <c r="K691">
        <v>2</v>
      </c>
      <c r="L691">
        <v>8351.0300000000007</v>
      </c>
      <c r="M691">
        <v>0.1</v>
      </c>
      <c r="N691">
        <v>15031.85</v>
      </c>
      <c r="O691">
        <v>11559.93</v>
      </c>
      <c r="P691">
        <v>3471.92</v>
      </c>
      <c r="Q691" t="s">
        <v>46</v>
      </c>
      <c r="R691">
        <v>0.23097090511148</v>
      </c>
      <c r="S691">
        <v>2024</v>
      </c>
      <c r="T691" t="s">
        <v>1384</v>
      </c>
      <c r="U691">
        <v>7</v>
      </c>
      <c r="V691" t="s">
        <v>1385</v>
      </c>
    </row>
    <row r="692" spans="1:22" x14ac:dyDescent="0.3">
      <c r="A692" t="s">
        <v>1485</v>
      </c>
      <c r="B692" s="1">
        <v>45496</v>
      </c>
      <c r="C692" t="s">
        <v>669</v>
      </c>
      <c r="D692" t="s">
        <v>1060</v>
      </c>
      <c r="E692" t="s">
        <v>61</v>
      </c>
      <c r="F692" t="s">
        <v>62</v>
      </c>
      <c r="G692" t="s">
        <v>63</v>
      </c>
      <c r="H692" t="s">
        <v>84</v>
      </c>
      <c r="I692" t="s">
        <v>138</v>
      </c>
      <c r="J692" t="s">
        <v>220</v>
      </c>
      <c r="K692">
        <v>3</v>
      </c>
      <c r="L692">
        <v>7208.83</v>
      </c>
      <c r="M692">
        <v>0.1</v>
      </c>
      <c r="N692">
        <v>19463.84</v>
      </c>
      <c r="O692">
        <v>14128.15</v>
      </c>
      <c r="P692">
        <v>5335.69</v>
      </c>
      <c r="Q692" t="s">
        <v>31</v>
      </c>
      <c r="R692">
        <v>0.27413347006551642</v>
      </c>
      <c r="S692">
        <v>2024</v>
      </c>
      <c r="T692" t="s">
        <v>1384</v>
      </c>
      <c r="U692">
        <v>7</v>
      </c>
      <c r="V692" t="s">
        <v>1385</v>
      </c>
    </row>
    <row r="693" spans="1:22" x14ac:dyDescent="0.3">
      <c r="A693" t="s">
        <v>1486</v>
      </c>
      <c r="B693" s="1">
        <v>45496</v>
      </c>
      <c r="C693" t="s">
        <v>1272</v>
      </c>
      <c r="D693" t="s">
        <v>901</v>
      </c>
      <c r="E693" t="s">
        <v>61</v>
      </c>
      <c r="F693" t="s">
        <v>71</v>
      </c>
      <c r="G693" t="s">
        <v>201</v>
      </c>
      <c r="H693" t="s">
        <v>43</v>
      </c>
      <c r="I693" t="s">
        <v>51</v>
      </c>
      <c r="J693" t="s">
        <v>52</v>
      </c>
      <c r="K693">
        <v>3</v>
      </c>
      <c r="L693">
        <v>670.55</v>
      </c>
      <c r="M693">
        <v>0.05</v>
      </c>
      <c r="N693">
        <v>1911.07</v>
      </c>
      <c r="O693">
        <v>934.72</v>
      </c>
      <c r="P693">
        <v>976.35</v>
      </c>
      <c r="Q693" t="s">
        <v>46</v>
      </c>
      <c r="R693">
        <v>0.51089180406787826</v>
      </c>
      <c r="S693">
        <v>2024</v>
      </c>
      <c r="T693" t="s">
        <v>1384</v>
      </c>
      <c r="U693">
        <v>7</v>
      </c>
      <c r="V693" t="s">
        <v>1385</v>
      </c>
    </row>
    <row r="694" spans="1:22" x14ac:dyDescent="0.3">
      <c r="A694" t="s">
        <v>1487</v>
      </c>
      <c r="B694" s="1">
        <v>45496</v>
      </c>
      <c r="C694" t="s">
        <v>1488</v>
      </c>
      <c r="D694" t="s">
        <v>103</v>
      </c>
      <c r="E694" t="s">
        <v>61</v>
      </c>
      <c r="F694" t="s">
        <v>62</v>
      </c>
      <c r="G694" t="s">
        <v>228</v>
      </c>
      <c r="H694" t="s">
        <v>43</v>
      </c>
      <c r="I694" t="s">
        <v>44</v>
      </c>
      <c r="J694" t="s">
        <v>248</v>
      </c>
      <c r="K694">
        <v>2</v>
      </c>
      <c r="L694">
        <v>292.23</v>
      </c>
      <c r="M694">
        <v>0.1</v>
      </c>
      <c r="N694">
        <v>526.01</v>
      </c>
      <c r="O694">
        <v>239.04</v>
      </c>
      <c r="P694">
        <v>286.97000000000003</v>
      </c>
      <c r="Q694" t="s">
        <v>53</v>
      </c>
      <c r="R694">
        <v>0.54555997034276926</v>
      </c>
      <c r="S694">
        <v>2024</v>
      </c>
      <c r="T694" t="s">
        <v>1384</v>
      </c>
      <c r="U694">
        <v>7</v>
      </c>
      <c r="V694" t="s">
        <v>1385</v>
      </c>
    </row>
    <row r="695" spans="1:22" x14ac:dyDescent="0.3">
      <c r="A695" t="s">
        <v>1489</v>
      </c>
      <c r="B695" s="1">
        <v>45497</v>
      </c>
      <c r="C695" t="s">
        <v>666</v>
      </c>
      <c r="D695" t="s">
        <v>1490</v>
      </c>
      <c r="E695" t="s">
        <v>41</v>
      </c>
      <c r="F695" t="s">
        <v>42</v>
      </c>
      <c r="G695" t="s">
        <v>50</v>
      </c>
      <c r="H695" t="s">
        <v>64</v>
      </c>
      <c r="I695" t="s">
        <v>108</v>
      </c>
      <c r="J695" t="s">
        <v>109</v>
      </c>
      <c r="K695">
        <v>1</v>
      </c>
      <c r="L695">
        <v>7081.63</v>
      </c>
      <c r="M695">
        <v>0.2</v>
      </c>
      <c r="N695">
        <v>5665.3</v>
      </c>
      <c r="O695">
        <v>4571.25</v>
      </c>
      <c r="P695">
        <v>1094.05</v>
      </c>
      <c r="Q695" t="s">
        <v>113</v>
      </c>
      <c r="R695">
        <v>0.1931142216652251</v>
      </c>
      <c r="S695">
        <v>2024</v>
      </c>
      <c r="T695" t="s">
        <v>1384</v>
      </c>
      <c r="U695">
        <v>7</v>
      </c>
      <c r="V695" t="s">
        <v>1385</v>
      </c>
    </row>
    <row r="696" spans="1:22" x14ac:dyDescent="0.3">
      <c r="A696" t="s">
        <v>1491</v>
      </c>
      <c r="B696" s="1">
        <v>45497</v>
      </c>
      <c r="C696" t="s">
        <v>1492</v>
      </c>
      <c r="D696" t="s">
        <v>385</v>
      </c>
      <c r="E696" t="s">
        <v>61</v>
      </c>
      <c r="F696" t="s">
        <v>78</v>
      </c>
      <c r="G696" t="s">
        <v>79</v>
      </c>
      <c r="H696" t="s">
        <v>28</v>
      </c>
      <c r="I696" t="s">
        <v>73</v>
      </c>
      <c r="J696" t="s">
        <v>74</v>
      </c>
      <c r="K696">
        <v>3</v>
      </c>
      <c r="L696">
        <v>2373.5300000000002</v>
      </c>
      <c r="M696">
        <v>0.05</v>
      </c>
      <c r="N696">
        <v>6764.56</v>
      </c>
      <c r="O696">
        <v>3962.73</v>
      </c>
      <c r="P696">
        <v>2801.83</v>
      </c>
      <c r="Q696" t="s">
        <v>46</v>
      </c>
      <c r="R696">
        <v>0.41419249736863889</v>
      </c>
      <c r="S696">
        <v>2024</v>
      </c>
      <c r="T696" t="s">
        <v>1384</v>
      </c>
      <c r="U696">
        <v>7</v>
      </c>
      <c r="V696" t="s">
        <v>1385</v>
      </c>
    </row>
    <row r="697" spans="1:22" x14ac:dyDescent="0.3">
      <c r="A697" t="s">
        <v>1493</v>
      </c>
      <c r="B697" s="1">
        <v>45498</v>
      </c>
      <c r="C697" t="s">
        <v>803</v>
      </c>
      <c r="D697" t="s">
        <v>813</v>
      </c>
      <c r="E697" t="s">
        <v>120</v>
      </c>
      <c r="F697" t="s">
        <v>121</v>
      </c>
      <c r="G697" t="s">
        <v>130</v>
      </c>
      <c r="H697" t="s">
        <v>28</v>
      </c>
      <c r="I697" t="s">
        <v>91</v>
      </c>
      <c r="J697" t="s">
        <v>92</v>
      </c>
      <c r="K697">
        <v>1</v>
      </c>
      <c r="L697">
        <v>3024.64</v>
      </c>
      <c r="M697">
        <v>0.05</v>
      </c>
      <c r="N697">
        <v>2873.41</v>
      </c>
      <c r="O697">
        <v>1562.28</v>
      </c>
      <c r="P697">
        <v>1311.13</v>
      </c>
      <c r="Q697" t="s">
        <v>53</v>
      </c>
      <c r="R697">
        <v>0.45629756978642111</v>
      </c>
      <c r="S697">
        <v>2024</v>
      </c>
      <c r="T697" t="s">
        <v>1384</v>
      </c>
      <c r="U697">
        <v>7</v>
      </c>
      <c r="V697" t="s">
        <v>1385</v>
      </c>
    </row>
    <row r="698" spans="1:22" x14ac:dyDescent="0.3">
      <c r="A698" t="s">
        <v>1494</v>
      </c>
      <c r="B698" s="1">
        <v>45498</v>
      </c>
      <c r="C698" t="s">
        <v>946</v>
      </c>
      <c r="D698" t="s">
        <v>587</v>
      </c>
      <c r="E698" t="s">
        <v>41</v>
      </c>
      <c r="F698" t="s">
        <v>42</v>
      </c>
      <c r="G698" t="s">
        <v>50</v>
      </c>
      <c r="H698" t="s">
        <v>84</v>
      </c>
      <c r="I698" t="s">
        <v>85</v>
      </c>
      <c r="J698" t="s">
        <v>145</v>
      </c>
      <c r="K698">
        <v>1</v>
      </c>
      <c r="L698">
        <v>3326.6</v>
      </c>
      <c r="M698">
        <v>0.15</v>
      </c>
      <c r="N698">
        <v>2827.61</v>
      </c>
      <c r="O698">
        <v>1847.29</v>
      </c>
      <c r="P698">
        <v>980.32</v>
      </c>
      <c r="Q698" t="s">
        <v>53</v>
      </c>
      <c r="R698">
        <v>0.34669561926856962</v>
      </c>
      <c r="S698">
        <v>2024</v>
      </c>
      <c r="T698" t="s">
        <v>1384</v>
      </c>
      <c r="U698">
        <v>7</v>
      </c>
      <c r="V698" t="s">
        <v>1385</v>
      </c>
    </row>
    <row r="699" spans="1:22" x14ac:dyDescent="0.3">
      <c r="A699" t="s">
        <v>1495</v>
      </c>
      <c r="B699" s="1">
        <v>45499</v>
      </c>
      <c r="C699" t="s">
        <v>346</v>
      </c>
      <c r="D699" t="s">
        <v>403</v>
      </c>
      <c r="E699" t="s">
        <v>61</v>
      </c>
      <c r="F699" t="s">
        <v>78</v>
      </c>
      <c r="G699" t="s">
        <v>83</v>
      </c>
      <c r="H699" t="s">
        <v>28</v>
      </c>
      <c r="I699" t="s">
        <v>91</v>
      </c>
      <c r="J699" t="s">
        <v>126</v>
      </c>
      <c r="K699">
        <v>2</v>
      </c>
      <c r="L699">
        <v>2106.98</v>
      </c>
      <c r="M699">
        <v>0</v>
      </c>
      <c r="N699">
        <v>4213.96</v>
      </c>
      <c r="O699">
        <v>2370.54</v>
      </c>
      <c r="P699">
        <v>1843.42</v>
      </c>
      <c r="Q699" t="s">
        <v>31</v>
      </c>
      <c r="R699">
        <v>0.43745550503564351</v>
      </c>
      <c r="S699">
        <v>2024</v>
      </c>
      <c r="T699" t="s">
        <v>1384</v>
      </c>
      <c r="U699">
        <v>7</v>
      </c>
      <c r="V699" t="s">
        <v>1385</v>
      </c>
    </row>
    <row r="700" spans="1:22" x14ac:dyDescent="0.3">
      <c r="A700" t="s">
        <v>1496</v>
      </c>
      <c r="B700" s="1">
        <v>45499</v>
      </c>
      <c r="C700" t="s">
        <v>692</v>
      </c>
      <c r="D700" t="s">
        <v>1121</v>
      </c>
      <c r="E700" t="s">
        <v>41</v>
      </c>
      <c r="F700" t="s">
        <v>42</v>
      </c>
      <c r="G700" t="s">
        <v>50</v>
      </c>
      <c r="H700" t="s">
        <v>28</v>
      </c>
      <c r="I700" t="s">
        <v>73</v>
      </c>
      <c r="J700" t="s">
        <v>80</v>
      </c>
      <c r="K700">
        <v>1</v>
      </c>
      <c r="L700">
        <v>766.94</v>
      </c>
      <c r="M700">
        <v>0.1</v>
      </c>
      <c r="N700">
        <v>690.25</v>
      </c>
      <c r="O700">
        <v>478.95</v>
      </c>
      <c r="P700">
        <v>211.3</v>
      </c>
      <c r="Q700" t="s">
        <v>31</v>
      </c>
      <c r="R700">
        <v>0.30612097066280342</v>
      </c>
      <c r="S700">
        <v>2024</v>
      </c>
      <c r="T700" t="s">
        <v>1384</v>
      </c>
      <c r="U700">
        <v>7</v>
      </c>
      <c r="V700" t="s">
        <v>1385</v>
      </c>
    </row>
    <row r="701" spans="1:22" x14ac:dyDescent="0.3">
      <c r="A701" t="s">
        <v>1497</v>
      </c>
      <c r="B701" s="1">
        <v>45500</v>
      </c>
      <c r="C701" t="s">
        <v>359</v>
      </c>
      <c r="D701" t="s">
        <v>298</v>
      </c>
      <c r="E701" t="s">
        <v>61</v>
      </c>
      <c r="F701" t="s">
        <v>62</v>
      </c>
      <c r="G701" t="s">
        <v>134</v>
      </c>
      <c r="H701" t="s">
        <v>64</v>
      </c>
      <c r="I701" t="s">
        <v>108</v>
      </c>
      <c r="J701" t="s">
        <v>109</v>
      </c>
      <c r="K701">
        <v>3</v>
      </c>
      <c r="L701">
        <v>7278.99</v>
      </c>
      <c r="M701">
        <v>0.1</v>
      </c>
      <c r="N701">
        <v>19653.27</v>
      </c>
      <c r="O701">
        <v>14298.24</v>
      </c>
      <c r="P701">
        <v>5355.03</v>
      </c>
      <c r="Q701" t="s">
        <v>46</v>
      </c>
      <c r="R701">
        <v>0.2724752674745729</v>
      </c>
      <c r="S701">
        <v>2024</v>
      </c>
      <c r="T701" t="s">
        <v>1384</v>
      </c>
      <c r="U701">
        <v>7</v>
      </c>
      <c r="V701" t="s">
        <v>1385</v>
      </c>
    </row>
    <row r="702" spans="1:22" x14ac:dyDescent="0.3">
      <c r="A702" t="s">
        <v>1498</v>
      </c>
      <c r="B702" s="1">
        <v>45500</v>
      </c>
      <c r="C702" t="s">
        <v>1499</v>
      </c>
      <c r="D702" t="s">
        <v>1415</v>
      </c>
      <c r="E702" t="s">
        <v>61</v>
      </c>
      <c r="F702" t="s">
        <v>62</v>
      </c>
      <c r="G702" t="s">
        <v>63</v>
      </c>
      <c r="H702" t="s">
        <v>84</v>
      </c>
      <c r="I702" t="s">
        <v>138</v>
      </c>
      <c r="J702" t="s">
        <v>220</v>
      </c>
      <c r="K702">
        <v>2</v>
      </c>
      <c r="L702">
        <v>7309.88</v>
      </c>
      <c r="M702">
        <v>0.1</v>
      </c>
      <c r="N702">
        <v>13157.78</v>
      </c>
      <c r="O702">
        <v>9544.11</v>
      </c>
      <c r="P702">
        <v>3613.67</v>
      </c>
      <c r="Q702" t="s">
        <v>46</v>
      </c>
      <c r="R702">
        <v>0.27464131487226567</v>
      </c>
      <c r="S702">
        <v>2024</v>
      </c>
      <c r="T702" t="s">
        <v>1384</v>
      </c>
      <c r="U702">
        <v>7</v>
      </c>
      <c r="V702" t="s">
        <v>1385</v>
      </c>
    </row>
    <row r="703" spans="1:22" x14ac:dyDescent="0.3">
      <c r="A703" t="s">
        <v>1500</v>
      </c>
      <c r="B703" s="1">
        <v>45501</v>
      </c>
      <c r="C703" t="s">
        <v>1085</v>
      </c>
      <c r="D703" t="s">
        <v>841</v>
      </c>
      <c r="E703" t="s">
        <v>25</v>
      </c>
      <c r="F703" t="s">
        <v>26</v>
      </c>
      <c r="G703" t="s">
        <v>27</v>
      </c>
      <c r="H703" t="s">
        <v>43</v>
      </c>
      <c r="I703" t="s">
        <v>51</v>
      </c>
      <c r="J703" t="s">
        <v>96</v>
      </c>
      <c r="K703">
        <v>4</v>
      </c>
      <c r="L703">
        <v>524.52</v>
      </c>
      <c r="M703">
        <v>0</v>
      </c>
      <c r="N703">
        <v>2098.08</v>
      </c>
      <c r="O703">
        <v>908.34</v>
      </c>
      <c r="P703">
        <v>1189.74</v>
      </c>
      <c r="Q703" t="s">
        <v>31</v>
      </c>
      <c r="R703">
        <v>0.56706131320064057</v>
      </c>
      <c r="S703">
        <v>2024</v>
      </c>
      <c r="T703" t="s">
        <v>1384</v>
      </c>
      <c r="U703">
        <v>7</v>
      </c>
      <c r="V703" t="s">
        <v>1385</v>
      </c>
    </row>
    <row r="704" spans="1:22" x14ac:dyDescent="0.3">
      <c r="A704" t="s">
        <v>1501</v>
      </c>
      <c r="B704" s="1">
        <v>45501</v>
      </c>
      <c r="C704" t="s">
        <v>910</v>
      </c>
      <c r="D704" t="s">
        <v>957</v>
      </c>
      <c r="E704" t="s">
        <v>61</v>
      </c>
      <c r="F704" t="s">
        <v>62</v>
      </c>
      <c r="G704" t="s">
        <v>63</v>
      </c>
      <c r="H704" t="s">
        <v>28</v>
      </c>
      <c r="I704" t="s">
        <v>91</v>
      </c>
      <c r="J704" t="s">
        <v>126</v>
      </c>
      <c r="K704">
        <v>3</v>
      </c>
      <c r="L704">
        <v>2101.34</v>
      </c>
      <c r="M704">
        <v>0.1</v>
      </c>
      <c r="N704">
        <v>5673.62</v>
      </c>
      <c r="O704">
        <v>3797.35</v>
      </c>
      <c r="P704">
        <v>1876.27</v>
      </c>
      <c r="Q704" t="s">
        <v>31</v>
      </c>
      <c r="R704">
        <v>0.33070068139917719</v>
      </c>
      <c r="S704">
        <v>2024</v>
      </c>
      <c r="T704" t="s">
        <v>1384</v>
      </c>
      <c r="U704">
        <v>7</v>
      </c>
      <c r="V704" t="s">
        <v>1385</v>
      </c>
    </row>
    <row r="705" spans="1:22" x14ac:dyDescent="0.3">
      <c r="A705" t="s">
        <v>1502</v>
      </c>
      <c r="B705" s="1">
        <v>45501</v>
      </c>
      <c r="C705" t="s">
        <v>464</v>
      </c>
      <c r="D705" t="s">
        <v>1503</v>
      </c>
      <c r="E705" t="s">
        <v>61</v>
      </c>
      <c r="F705" t="s">
        <v>71</v>
      </c>
      <c r="G705" t="s">
        <v>72</v>
      </c>
      <c r="H705" t="s">
        <v>43</v>
      </c>
      <c r="I705" t="s">
        <v>44</v>
      </c>
      <c r="J705" t="s">
        <v>45</v>
      </c>
      <c r="K705">
        <v>5</v>
      </c>
      <c r="L705">
        <v>247.64</v>
      </c>
      <c r="M705">
        <v>0.1</v>
      </c>
      <c r="N705">
        <v>1114.3800000000001</v>
      </c>
      <c r="O705">
        <v>486.97</v>
      </c>
      <c r="P705">
        <v>627.41</v>
      </c>
      <c r="Q705" t="s">
        <v>113</v>
      </c>
      <c r="R705">
        <v>0.56301261688113557</v>
      </c>
      <c r="S705">
        <v>2024</v>
      </c>
      <c r="T705" t="s">
        <v>1384</v>
      </c>
      <c r="U705">
        <v>7</v>
      </c>
      <c r="V705" t="s">
        <v>1385</v>
      </c>
    </row>
    <row r="706" spans="1:22" x14ac:dyDescent="0.3">
      <c r="A706" t="s">
        <v>1504</v>
      </c>
      <c r="B706" s="1">
        <v>45502</v>
      </c>
      <c r="C706" t="s">
        <v>1246</v>
      </c>
      <c r="D706" t="s">
        <v>735</v>
      </c>
      <c r="E706" t="s">
        <v>61</v>
      </c>
      <c r="F706" t="s">
        <v>71</v>
      </c>
      <c r="G706" t="s">
        <v>317</v>
      </c>
      <c r="H706" t="s">
        <v>28</v>
      </c>
      <c r="I706" t="s">
        <v>91</v>
      </c>
      <c r="J706" t="s">
        <v>92</v>
      </c>
      <c r="K706">
        <v>1</v>
      </c>
      <c r="L706">
        <v>3033.02</v>
      </c>
      <c r="M706">
        <v>0.1</v>
      </c>
      <c r="N706">
        <v>2729.72</v>
      </c>
      <c r="O706">
        <v>1634.2</v>
      </c>
      <c r="P706">
        <v>1095.52</v>
      </c>
      <c r="Q706" t="s">
        <v>31</v>
      </c>
      <c r="R706">
        <v>0.40133053939598201</v>
      </c>
      <c r="S706">
        <v>2024</v>
      </c>
      <c r="T706" t="s">
        <v>1384</v>
      </c>
      <c r="U706">
        <v>7</v>
      </c>
      <c r="V706" t="s">
        <v>1385</v>
      </c>
    </row>
    <row r="707" spans="1:22" x14ac:dyDescent="0.3">
      <c r="A707" t="s">
        <v>1505</v>
      </c>
      <c r="B707" s="1">
        <v>45502</v>
      </c>
      <c r="C707" t="s">
        <v>506</v>
      </c>
      <c r="D707" t="s">
        <v>1415</v>
      </c>
      <c r="E707" t="s">
        <v>41</v>
      </c>
      <c r="F707" t="s">
        <v>42</v>
      </c>
      <c r="G707" t="s">
        <v>50</v>
      </c>
      <c r="H707" t="s">
        <v>64</v>
      </c>
      <c r="I707" t="s">
        <v>65</v>
      </c>
      <c r="J707" t="s">
        <v>232</v>
      </c>
      <c r="K707">
        <v>4</v>
      </c>
      <c r="L707">
        <v>3963.45</v>
      </c>
      <c r="M707">
        <v>0.2</v>
      </c>
      <c r="N707">
        <v>12683.04</v>
      </c>
      <c r="O707">
        <v>9742.31</v>
      </c>
      <c r="P707">
        <v>2940.73</v>
      </c>
      <c r="Q707" t="s">
        <v>53</v>
      </c>
      <c r="R707">
        <v>0.23186318106699971</v>
      </c>
      <c r="S707">
        <v>2024</v>
      </c>
      <c r="T707" t="s">
        <v>1384</v>
      </c>
      <c r="U707">
        <v>7</v>
      </c>
      <c r="V707" t="s">
        <v>1385</v>
      </c>
    </row>
    <row r="708" spans="1:22" x14ac:dyDescent="0.3">
      <c r="A708" t="s">
        <v>1506</v>
      </c>
      <c r="B708" s="1">
        <v>45502</v>
      </c>
      <c r="C708" t="s">
        <v>561</v>
      </c>
      <c r="D708" t="s">
        <v>215</v>
      </c>
      <c r="E708" t="s">
        <v>41</v>
      </c>
      <c r="F708" t="s">
        <v>42</v>
      </c>
      <c r="G708" t="s">
        <v>42</v>
      </c>
      <c r="H708" t="s">
        <v>64</v>
      </c>
      <c r="I708" t="s">
        <v>65</v>
      </c>
      <c r="J708" t="s">
        <v>232</v>
      </c>
      <c r="K708">
        <v>2</v>
      </c>
      <c r="L708">
        <v>4047.77</v>
      </c>
      <c r="M708">
        <v>0.05</v>
      </c>
      <c r="N708">
        <v>7690.76</v>
      </c>
      <c r="O708">
        <v>4908.7</v>
      </c>
      <c r="P708">
        <v>2782.06</v>
      </c>
      <c r="Q708" t="s">
        <v>46</v>
      </c>
      <c r="R708">
        <v>0.36174058220513972</v>
      </c>
      <c r="S708">
        <v>2024</v>
      </c>
      <c r="T708" t="s">
        <v>1384</v>
      </c>
      <c r="U708">
        <v>7</v>
      </c>
      <c r="V708" t="s">
        <v>1385</v>
      </c>
    </row>
    <row r="709" spans="1:22" x14ac:dyDescent="0.3">
      <c r="A709" t="s">
        <v>1507</v>
      </c>
      <c r="B709" s="1">
        <v>45503</v>
      </c>
      <c r="C709" t="s">
        <v>1508</v>
      </c>
      <c r="D709" t="s">
        <v>1509</v>
      </c>
      <c r="E709" t="s">
        <v>25</v>
      </c>
      <c r="F709" t="s">
        <v>26</v>
      </c>
      <c r="G709" t="s">
        <v>260</v>
      </c>
      <c r="H709" t="s">
        <v>28</v>
      </c>
      <c r="I709" t="s">
        <v>29</v>
      </c>
      <c r="J709" t="s">
        <v>57</v>
      </c>
      <c r="K709">
        <v>2</v>
      </c>
      <c r="L709">
        <v>16944.38</v>
      </c>
      <c r="M709">
        <v>0.05</v>
      </c>
      <c r="N709">
        <v>32194.32</v>
      </c>
      <c r="O709">
        <v>24732.25</v>
      </c>
      <c r="P709">
        <v>7462.07</v>
      </c>
      <c r="Q709" t="s">
        <v>31</v>
      </c>
      <c r="R709">
        <v>0.23178219015031221</v>
      </c>
      <c r="S709">
        <v>2024</v>
      </c>
      <c r="T709" t="s">
        <v>1384</v>
      </c>
      <c r="U709">
        <v>7</v>
      </c>
      <c r="V709" t="s">
        <v>1385</v>
      </c>
    </row>
    <row r="710" spans="1:22" x14ac:dyDescent="0.3">
      <c r="A710" t="s">
        <v>1510</v>
      </c>
      <c r="B710" s="1">
        <v>45503</v>
      </c>
      <c r="C710" t="s">
        <v>1511</v>
      </c>
      <c r="D710" t="s">
        <v>430</v>
      </c>
      <c r="E710" t="s">
        <v>41</v>
      </c>
      <c r="F710" t="s">
        <v>42</v>
      </c>
      <c r="G710" t="s">
        <v>50</v>
      </c>
      <c r="H710" t="s">
        <v>64</v>
      </c>
      <c r="I710" t="s">
        <v>65</v>
      </c>
      <c r="J710" t="s">
        <v>66</v>
      </c>
      <c r="K710">
        <v>4</v>
      </c>
      <c r="L710">
        <v>5120.6000000000004</v>
      </c>
      <c r="M710">
        <v>0.05</v>
      </c>
      <c r="N710">
        <v>19458.28</v>
      </c>
      <c r="O710">
        <v>12734.25</v>
      </c>
      <c r="P710">
        <v>6724.03</v>
      </c>
      <c r="Q710" t="s">
        <v>46</v>
      </c>
      <c r="R710">
        <v>0.34556137541447651</v>
      </c>
      <c r="S710">
        <v>2024</v>
      </c>
      <c r="T710" t="s">
        <v>1384</v>
      </c>
      <c r="U710">
        <v>7</v>
      </c>
      <c r="V710" t="s">
        <v>1385</v>
      </c>
    </row>
    <row r="711" spans="1:22" x14ac:dyDescent="0.3">
      <c r="A711" t="s">
        <v>1512</v>
      </c>
      <c r="B711" s="1">
        <v>45503</v>
      </c>
      <c r="C711" t="s">
        <v>761</v>
      </c>
      <c r="D711" t="s">
        <v>1513</v>
      </c>
      <c r="E711" t="s">
        <v>25</v>
      </c>
      <c r="F711" t="s">
        <v>26</v>
      </c>
      <c r="G711" t="s">
        <v>27</v>
      </c>
      <c r="H711" t="s">
        <v>43</v>
      </c>
      <c r="I711" t="s">
        <v>51</v>
      </c>
      <c r="J711" t="s">
        <v>52</v>
      </c>
      <c r="K711">
        <v>2</v>
      </c>
      <c r="L711">
        <v>718.56</v>
      </c>
      <c r="M711">
        <v>0.15</v>
      </c>
      <c r="N711">
        <v>1221.55</v>
      </c>
      <c r="O711">
        <v>691.91</v>
      </c>
      <c r="P711">
        <v>529.64</v>
      </c>
      <c r="Q711" t="s">
        <v>31</v>
      </c>
      <c r="R711">
        <v>0.4335802873398551</v>
      </c>
      <c r="S711">
        <v>2024</v>
      </c>
      <c r="T711" t="s">
        <v>1384</v>
      </c>
      <c r="U711">
        <v>7</v>
      </c>
      <c r="V711" t="s">
        <v>1385</v>
      </c>
    </row>
    <row r="712" spans="1:22" x14ac:dyDescent="0.3">
      <c r="A712" t="s">
        <v>1514</v>
      </c>
      <c r="B712" s="1">
        <v>45504</v>
      </c>
      <c r="C712" t="s">
        <v>500</v>
      </c>
      <c r="D712" t="s">
        <v>36</v>
      </c>
      <c r="E712" t="s">
        <v>25</v>
      </c>
      <c r="F712" t="s">
        <v>26</v>
      </c>
      <c r="G712" t="s">
        <v>27</v>
      </c>
      <c r="H712" t="s">
        <v>64</v>
      </c>
      <c r="I712" t="s">
        <v>108</v>
      </c>
      <c r="J712" t="s">
        <v>155</v>
      </c>
      <c r="K712">
        <v>2</v>
      </c>
      <c r="L712">
        <v>8557.9599999999991</v>
      </c>
      <c r="M712">
        <v>0</v>
      </c>
      <c r="N712">
        <v>17115.919999999998</v>
      </c>
      <c r="O712">
        <v>12029.24</v>
      </c>
      <c r="P712">
        <v>5086.68</v>
      </c>
      <c r="Q712" t="s">
        <v>31</v>
      </c>
      <c r="R712">
        <v>0.29718998452902329</v>
      </c>
      <c r="S712">
        <v>2024</v>
      </c>
      <c r="T712" t="s">
        <v>1384</v>
      </c>
      <c r="U712">
        <v>7</v>
      </c>
      <c r="V712" t="s">
        <v>1385</v>
      </c>
    </row>
    <row r="713" spans="1:22" x14ac:dyDescent="0.3">
      <c r="A713" t="s">
        <v>1515</v>
      </c>
      <c r="B713" s="1">
        <v>45504</v>
      </c>
      <c r="C713" t="s">
        <v>896</v>
      </c>
      <c r="D713" t="s">
        <v>1516</v>
      </c>
      <c r="E713" t="s">
        <v>25</v>
      </c>
      <c r="F713" t="s">
        <v>26</v>
      </c>
      <c r="G713" t="s">
        <v>171</v>
      </c>
      <c r="H713" t="s">
        <v>28</v>
      </c>
      <c r="I713" t="s">
        <v>91</v>
      </c>
      <c r="J713" t="s">
        <v>92</v>
      </c>
      <c r="K713">
        <v>6</v>
      </c>
      <c r="L713">
        <v>2984.19</v>
      </c>
      <c r="M713">
        <v>0.05</v>
      </c>
      <c r="N713">
        <v>17009.88</v>
      </c>
      <c r="O713">
        <v>9572.31</v>
      </c>
      <c r="P713">
        <v>7437.57</v>
      </c>
      <c r="Q713" t="s">
        <v>46</v>
      </c>
      <c r="R713">
        <v>0.4372499982363191</v>
      </c>
      <c r="S713">
        <v>2024</v>
      </c>
      <c r="T713" t="s">
        <v>1384</v>
      </c>
      <c r="U713">
        <v>7</v>
      </c>
      <c r="V713" t="s">
        <v>1385</v>
      </c>
    </row>
    <row r="714" spans="1:22" x14ac:dyDescent="0.3">
      <c r="A714" t="s">
        <v>1517</v>
      </c>
      <c r="B714" s="1">
        <v>45505</v>
      </c>
      <c r="C714" t="s">
        <v>1518</v>
      </c>
      <c r="D714" t="s">
        <v>849</v>
      </c>
      <c r="E714" t="s">
        <v>61</v>
      </c>
      <c r="F714" t="s">
        <v>78</v>
      </c>
      <c r="G714" t="s">
        <v>79</v>
      </c>
      <c r="H714" t="s">
        <v>28</v>
      </c>
      <c r="I714" t="s">
        <v>29</v>
      </c>
      <c r="J714" t="s">
        <v>57</v>
      </c>
      <c r="K714">
        <v>4</v>
      </c>
      <c r="L714">
        <v>16816.57</v>
      </c>
      <c r="M714">
        <v>0.1</v>
      </c>
      <c r="N714">
        <v>60539.65</v>
      </c>
      <c r="O714">
        <v>50944.89</v>
      </c>
      <c r="P714">
        <v>9594.76</v>
      </c>
      <c r="Q714" t="s">
        <v>53</v>
      </c>
      <c r="R714">
        <v>0.15848720631850369</v>
      </c>
      <c r="S714">
        <v>2024</v>
      </c>
      <c r="T714" t="s">
        <v>1519</v>
      </c>
      <c r="U714">
        <v>8</v>
      </c>
      <c r="V714" t="s">
        <v>1385</v>
      </c>
    </row>
    <row r="715" spans="1:22" x14ac:dyDescent="0.3">
      <c r="A715" t="s">
        <v>1520</v>
      </c>
      <c r="B715" s="1">
        <v>45505</v>
      </c>
      <c r="C715" t="s">
        <v>150</v>
      </c>
      <c r="D715" t="s">
        <v>1521</v>
      </c>
      <c r="E715" t="s">
        <v>25</v>
      </c>
      <c r="F715" t="s">
        <v>26</v>
      </c>
      <c r="G715" t="s">
        <v>37</v>
      </c>
      <c r="H715" t="s">
        <v>43</v>
      </c>
      <c r="I715" t="s">
        <v>44</v>
      </c>
      <c r="J715" t="s">
        <v>45</v>
      </c>
      <c r="K715">
        <v>2</v>
      </c>
      <c r="L715">
        <v>260.55</v>
      </c>
      <c r="M715">
        <v>0</v>
      </c>
      <c r="N715">
        <v>521.1</v>
      </c>
      <c r="O715">
        <v>199.12</v>
      </c>
      <c r="P715">
        <v>321.98</v>
      </c>
      <c r="Q715" t="s">
        <v>31</v>
      </c>
      <c r="R715">
        <v>0.61788524275570911</v>
      </c>
      <c r="S715">
        <v>2024</v>
      </c>
      <c r="T715" t="s">
        <v>1519</v>
      </c>
      <c r="U715">
        <v>8</v>
      </c>
      <c r="V715" t="s">
        <v>1385</v>
      </c>
    </row>
    <row r="716" spans="1:22" x14ac:dyDescent="0.3">
      <c r="A716" t="s">
        <v>1522</v>
      </c>
      <c r="B716" s="1">
        <v>45506</v>
      </c>
      <c r="C716" t="s">
        <v>1251</v>
      </c>
      <c r="D716" t="s">
        <v>519</v>
      </c>
      <c r="E716" t="s">
        <v>41</v>
      </c>
      <c r="F716" t="s">
        <v>42</v>
      </c>
      <c r="G716" t="s">
        <v>42</v>
      </c>
      <c r="H716" t="s">
        <v>28</v>
      </c>
      <c r="I716" t="s">
        <v>29</v>
      </c>
      <c r="J716" t="s">
        <v>30</v>
      </c>
      <c r="K716">
        <v>5</v>
      </c>
      <c r="L716">
        <v>60402.16</v>
      </c>
      <c r="M716">
        <v>0.15</v>
      </c>
      <c r="N716">
        <v>256709.18</v>
      </c>
      <c r="O716">
        <v>261062.32</v>
      </c>
      <c r="P716">
        <v>-4353.1400000000003</v>
      </c>
      <c r="Q716" t="s">
        <v>31</v>
      </c>
      <c r="R716">
        <v>-1.6957476939469019E-2</v>
      </c>
      <c r="S716">
        <v>2024</v>
      </c>
      <c r="T716" t="s">
        <v>1519</v>
      </c>
      <c r="U716">
        <v>8</v>
      </c>
      <c r="V716" t="s">
        <v>1385</v>
      </c>
    </row>
    <row r="717" spans="1:22" x14ac:dyDescent="0.3">
      <c r="A717" t="s">
        <v>1523</v>
      </c>
      <c r="B717" s="1">
        <v>45506</v>
      </c>
      <c r="C717" t="s">
        <v>356</v>
      </c>
      <c r="D717" t="s">
        <v>1227</v>
      </c>
      <c r="E717" t="s">
        <v>61</v>
      </c>
      <c r="F717" t="s">
        <v>62</v>
      </c>
      <c r="G717" t="s">
        <v>90</v>
      </c>
      <c r="H717" t="s">
        <v>28</v>
      </c>
      <c r="I717" t="s">
        <v>29</v>
      </c>
      <c r="J717" t="s">
        <v>30</v>
      </c>
      <c r="K717">
        <v>2</v>
      </c>
      <c r="L717">
        <v>62272.59</v>
      </c>
      <c r="M717">
        <v>0</v>
      </c>
      <c r="N717">
        <v>124545.18</v>
      </c>
      <c r="O717">
        <v>109134.57</v>
      </c>
      <c r="P717">
        <v>15410.61</v>
      </c>
      <c r="Q717" t="s">
        <v>113</v>
      </c>
      <c r="R717">
        <v>0.1237350975766385</v>
      </c>
      <c r="S717">
        <v>2024</v>
      </c>
      <c r="T717" t="s">
        <v>1519</v>
      </c>
      <c r="U717">
        <v>8</v>
      </c>
      <c r="V717" t="s">
        <v>1385</v>
      </c>
    </row>
    <row r="718" spans="1:22" x14ac:dyDescent="0.3">
      <c r="A718" t="s">
        <v>1524</v>
      </c>
      <c r="B718" s="1">
        <v>45506</v>
      </c>
      <c r="C718" t="s">
        <v>250</v>
      </c>
      <c r="D718" t="s">
        <v>1525</v>
      </c>
      <c r="E718" t="s">
        <v>61</v>
      </c>
      <c r="F718" t="s">
        <v>78</v>
      </c>
      <c r="G718" t="s">
        <v>104</v>
      </c>
      <c r="H718" t="s">
        <v>64</v>
      </c>
      <c r="I718" t="s">
        <v>108</v>
      </c>
      <c r="J718" t="s">
        <v>109</v>
      </c>
      <c r="K718">
        <v>5</v>
      </c>
      <c r="L718">
        <v>7006.06</v>
      </c>
      <c r="M718">
        <v>0.1</v>
      </c>
      <c r="N718">
        <v>31527.27</v>
      </c>
      <c r="O718">
        <v>22918.7</v>
      </c>
      <c r="P718">
        <v>8608.57</v>
      </c>
      <c r="Q718" t="s">
        <v>46</v>
      </c>
      <c r="R718">
        <v>0.27305155187873859</v>
      </c>
      <c r="S718">
        <v>2024</v>
      </c>
      <c r="T718" t="s">
        <v>1519</v>
      </c>
      <c r="U718">
        <v>8</v>
      </c>
      <c r="V718" t="s">
        <v>1385</v>
      </c>
    </row>
    <row r="719" spans="1:22" x14ac:dyDescent="0.3">
      <c r="A719" t="s">
        <v>1526</v>
      </c>
      <c r="B719" s="1">
        <v>45507</v>
      </c>
      <c r="C719" t="s">
        <v>915</v>
      </c>
      <c r="D719" t="s">
        <v>644</v>
      </c>
      <c r="E719" t="s">
        <v>61</v>
      </c>
      <c r="F719" t="s">
        <v>62</v>
      </c>
      <c r="G719" t="s">
        <v>63</v>
      </c>
      <c r="H719" t="s">
        <v>84</v>
      </c>
      <c r="I719" t="s">
        <v>85</v>
      </c>
      <c r="J719" t="s">
        <v>145</v>
      </c>
      <c r="K719">
        <v>1</v>
      </c>
      <c r="L719">
        <v>3427.85</v>
      </c>
      <c r="M719">
        <v>0.1</v>
      </c>
      <c r="N719">
        <v>3085.07</v>
      </c>
      <c r="O719">
        <v>1946.14</v>
      </c>
      <c r="P719">
        <v>1138.93</v>
      </c>
      <c r="Q719" t="s">
        <v>53</v>
      </c>
      <c r="R719">
        <v>0.36917476750932721</v>
      </c>
      <c r="S719">
        <v>2024</v>
      </c>
      <c r="T719" t="s">
        <v>1519</v>
      </c>
      <c r="U719">
        <v>8</v>
      </c>
      <c r="V719" t="s">
        <v>1385</v>
      </c>
    </row>
    <row r="720" spans="1:22" x14ac:dyDescent="0.3">
      <c r="A720" t="s">
        <v>1527</v>
      </c>
      <c r="B720" s="1">
        <v>45507</v>
      </c>
      <c r="C720" t="s">
        <v>666</v>
      </c>
      <c r="D720" t="s">
        <v>449</v>
      </c>
      <c r="E720" t="s">
        <v>61</v>
      </c>
      <c r="F720" t="s">
        <v>78</v>
      </c>
      <c r="G720" t="s">
        <v>216</v>
      </c>
      <c r="H720" t="s">
        <v>84</v>
      </c>
      <c r="I720" t="s">
        <v>85</v>
      </c>
      <c r="J720" t="s">
        <v>86</v>
      </c>
      <c r="K720">
        <v>2</v>
      </c>
      <c r="L720">
        <v>1763.78</v>
      </c>
      <c r="M720">
        <v>0.1</v>
      </c>
      <c r="N720">
        <v>3174.8</v>
      </c>
      <c r="O720">
        <v>1865.03</v>
      </c>
      <c r="P720">
        <v>1309.77</v>
      </c>
      <c r="Q720" t="s">
        <v>31</v>
      </c>
      <c r="R720">
        <v>0.41255197177774983</v>
      </c>
      <c r="S720">
        <v>2024</v>
      </c>
      <c r="T720" t="s">
        <v>1519</v>
      </c>
      <c r="U720">
        <v>8</v>
      </c>
      <c r="V720" t="s">
        <v>1385</v>
      </c>
    </row>
    <row r="721" spans="1:22" x14ac:dyDescent="0.3">
      <c r="A721" t="s">
        <v>1528</v>
      </c>
      <c r="B721" s="1">
        <v>45507</v>
      </c>
      <c r="C721" t="s">
        <v>1145</v>
      </c>
      <c r="D721" t="s">
        <v>752</v>
      </c>
      <c r="E721" t="s">
        <v>25</v>
      </c>
      <c r="F721" t="s">
        <v>26</v>
      </c>
      <c r="G721" t="s">
        <v>27</v>
      </c>
      <c r="H721" t="s">
        <v>43</v>
      </c>
      <c r="I721" t="s">
        <v>51</v>
      </c>
      <c r="J721" t="s">
        <v>96</v>
      </c>
      <c r="K721">
        <v>1</v>
      </c>
      <c r="L721">
        <v>511.22</v>
      </c>
      <c r="M721">
        <v>0.1</v>
      </c>
      <c r="N721">
        <v>460.1</v>
      </c>
      <c r="O721">
        <v>228.42</v>
      </c>
      <c r="P721">
        <v>231.68</v>
      </c>
      <c r="Q721" t="s">
        <v>53</v>
      </c>
      <c r="R721">
        <v>0.50354270810693325</v>
      </c>
      <c r="S721">
        <v>2024</v>
      </c>
      <c r="T721" t="s">
        <v>1519</v>
      </c>
      <c r="U721">
        <v>8</v>
      </c>
      <c r="V721" t="s">
        <v>1385</v>
      </c>
    </row>
    <row r="722" spans="1:22" x14ac:dyDescent="0.3">
      <c r="A722" t="s">
        <v>1529</v>
      </c>
      <c r="B722" s="1">
        <v>45507</v>
      </c>
      <c r="C722" t="s">
        <v>1176</v>
      </c>
      <c r="D722" t="s">
        <v>1530</v>
      </c>
      <c r="E722" t="s">
        <v>25</v>
      </c>
      <c r="F722" t="s">
        <v>26</v>
      </c>
      <c r="G722" t="s">
        <v>27</v>
      </c>
      <c r="H722" t="s">
        <v>43</v>
      </c>
      <c r="I722" t="s">
        <v>51</v>
      </c>
      <c r="J722" t="s">
        <v>52</v>
      </c>
      <c r="K722">
        <v>5</v>
      </c>
      <c r="L722">
        <v>726.49</v>
      </c>
      <c r="M722">
        <v>0.05</v>
      </c>
      <c r="N722">
        <v>3450.83</v>
      </c>
      <c r="O722">
        <v>1665.48</v>
      </c>
      <c r="P722">
        <v>1785.35</v>
      </c>
      <c r="Q722" t="s">
        <v>31</v>
      </c>
      <c r="R722">
        <v>0.51736828531107004</v>
      </c>
      <c r="S722">
        <v>2024</v>
      </c>
      <c r="T722" t="s">
        <v>1519</v>
      </c>
      <c r="U722">
        <v>8</v>
      </c>
      <c r="V722" t="s">
        <v>1385</v>
      </c>
    </row>
    <row r="723" spans="1:22" x14ac:dyDescent="0.3">
      <c r="A723" t="s">
        <v>1531</v>
      </c>
      <c r="B723" s="1">
        <v>45508</v>
      </c>
      <c r="C723" t="s">
        <v>1532</v>
      </c>
      <c r="D723" t="s">
        <v>406</v>
      </c>
      <c r="E723" t="s">
        <v>25</v>
      </c>
      <c r="F723" t="s">
        <v>26</v>
      </c>
      <c r="G723" t="s">
        <v>37</v>
      </c>
      <c r="H723" t="s">
        <v>64</v>
      </c>
      <c r="I723" t="s">
        <v>108</v>
      </c>
      <c r="J723" t="s">
        <v>155</v>
      </c>
      <c r="K723">
        <v>4</v>
      </c>
      <c r="L723">
        <v>8461.08</v>
      </c>
      <c r="M723">
        <v>0.05</v>
      </c>
      <c r="N723">
        <v>32152.1</v>
      </c>
      <c r="O723">
        <v>23392.93</v>
      </c>
      <c r="P723">
        <v>8759.17</v>
      </c>
      <c r="Q723" t="s">
        <v>46</v>
      </c>
      <c r="R723">
        <v>0.27242917258903782</v>
      </c>
      <c r="S723">
        <v>2024</v>
      </c>
      <c r="T723" t="s">
        <v>1519</v>
      </c>
      <c r="U723">
        <v>8</v>
      </c>
      <c r="V723" t="s">
        <v>1385</v>
      </c>
    </row>
    <row r="724" spans="1:22" x14ac:dyDescent="0.3">
      <c r="A724" t="s">
        <v>1533</v>
      </c>
      <c r="B724" s="1">
        <v>45508</v>
      </c>
      <c r="C724" t="s">
        <v>262</v>
      </c>
      <c r="D724" t="s">
        <v>847</v>
      </c>
      <c r="E724" t="s">
        <v>61</v>
      </c>
      <c r="F724" t="s">
        <v>71</v>
      </c>
      <c r="G724" t="s">
        <v>201</v>
      </c>
      <c r="H724" t="s">
        <v>43</v>
      </c>
      <c r="I724" t="s">
        <v>44</v>
      </c>
      <c r="J724" t="s">
        <v>248</v>
      </c>
      <c r="K724">
        <v>1</v>
      </c>
      <c r="L724">
        <v>307.17</v>
      </c>
      <c r="M724">
        <v>0.2</v>
      </c>
      <c r="N724">
        <v>245.74</v>
      </c>
      <c r="O724">
        <v>125.16</v>
      </c>
      <c r="P724">
        <v>120.58</v>
      </c>
      <c r="Q724" t="s">
        <v>31</v>
      </c>
      <c r="R724">
        <v>0.49068120778058111</v>
      </c>
      <c r="S724">
        <v>2024</v>
      </c>
      <c r="T724" t="s">
        <v>1519</v>
      </c>
      <c r="U724">
        <v>8</v>
      </c>
      <c r="V724" t="s">
        <v>1385</v>
      </c>
    </row>
    <row r="725" spans="1:22" x14ac:dyDescent="0.3">
      <c r="A725" t="s">
        <v>1534</v>
      </c>
      <c r="B725" s="1">
        <v>45508</v>
      </c>
      <c r="C725" t="s">
        <v>496</v>
      </c>
      <c r="D725" t="s">
        <v>626</v>
      </c>
      <c r="E725" t="s">
        <v>61</v>
      </c>
      <c r="F725" t="s">
        <v>71</v>
      </c>
      <c r="G725" t="s">
        <v>72</v>
      </c>
      <c r="H725" t="s">
        <v>28</v>
      </c>
      <c r="I725" t="s">
        <v>29</v>
      </c>
      <c r="J725" t="s">
        <v>57</v>
      </c>
      <c r="K725">
        <v>2</v>
      </c>
      <c r="L725">
        <v>15643.22</v>
      </c>
      <c r="M725">
        <v>0</v>
      </c>
      <c r="N725">
        <v>31286.44</v>
      </c>
      <c r="O725">
        <v>24174.240000000002</v>
      </c>
      <c r="P725">
        <v>7112.2</v>
      </c>
      <c r="Q725" t="s">
        <v>53</v>
      </c>
      <c r="R725">
        <v>0.2273253204902827</v>
      </c>
      <c r="S725">
        <v>2024</v>
      </c>
      <c r="T725" t="s">
        <v>1519</v>
      </c>
      <c r="U725">
        <v>8</v>
      </c>
      <c r="V725" t="s">
        <v>1385</v>
      </c>
    </row>
    <row r="726" spans="1:22" x14ac:dyDescent="0.3">
      <c r="A726" t="s">
        <v>1535</v>
      </c>
      <c r="B726" s="1">
        <v>45508</v>
      </c>
      <c r="C726" t="s">
        <v>749</v>
      </c>
      <c r="D726" t="s">
        <v>471</v>
      </c>
      <c r="E726" t="s">
        <v>61</v>
      </c>
      <c r="F726" t="s">
        <v>71</v>
      </c>
      <c r="G726" t="s">
        <v>201</v>
      </c>
      <c r="H726" t="s">
        <v>28</v>
      </c>
      <c r="I726" t="s">
        <v>91</v>
      </c>
      <c r="J726" t="s">
        <v>92</v>
      </c>
      <c r="K726">
        <v>4</v>
      </c>
      <c r="L726">
        <v>3117.52</v>
      </c>
      <c r="M726">
        <v>0</v>
      </c>
      <c r="N726">
        <v>12470.08</v>
      </c>
      <c r="O726">
        <v>6703.19</v>
      </c>
      <c r="P726">
        <v>5766.89</v>
      </c>
      <c r="Q726" t="s">
        <v>31</v>
      </c>
      <c r="R726">
        <v>0.46245813980343348</v>
      </c>
      <c r="S726">
        <v>2024</v>
      </c>
      <c r="T726" t="s">
        <v>1519</v>
      </c>
      <c r="U726">
        <v>8</v>
      </c>
      <c r="V726" t="s">
        <v>1385</v>
      </c>
    </row>
    <row r="727" spans="1:22" x14ac:dyDescent="0.3">
      <c r="A727" t="s">
        <v>1536</v>
      </c>
      <c r="B727" s="1">
        <v>45509</v>
      </c>
      <c r="C727" t="s">
        <v>915</v>
      </c>
      <c r="D727" t="s">
        <v>265</v>
      </c>
      <c r="E727" t="s">
        <v>120</v>
      </c>
      <c r="F727" t="s">
        <v>121</v>
      </c>
      <c r="G727" t="s">
        <v>122</v>
      </c>
      <c r="H727" t="s">
        <v>64</v>
      </c>
      <c r="I727" t="s">
        <v>65</v>
      </c>
      <c r="J727" t="s">
        <v>232</v>
      </c>
      <c r="K727">
        <v>4</v>
      </c>
      <c r="L727">
        <v>4210.84</v>
      </c>
      <c r="M727">
        <v>0</v>
      </c>
      <c r="N727">
        <v>16843.36</v>
      </c>
      <c r="O727">
        <v>10464.51</v>
      </c>
      <c r="P727">
        <v>6378.85</v>
      </c>
      <c r="Q727" t="s">
        <v>67</v>
      </c>
      <c r="R727">
        <v>0.37871600440767161</v>
      </c>
      <c r="S727">
        <v>2024</v>
      </c>
      <c r="T727" t="s">
        <v>1519</v>
      </c>
      <c r="U727">
        <v>8</v>
      </c>
      <c r="V727" t="s">
        <v>1385</v>
      </c>
    </row>
    <row r="728" spans="1:22" x14ac:dyDescent="0.3">
      <c r="A728" t="s">
        <v>1537</v>
      </c>
      <c r="B728" s="1">
        <v>45509</v>
      </c>
      <c r="C728" t="s">
        <v>102</v>
      </c>
      <c r="D728" t="s">
        <v>966</v>
      </c>
      <c r="E728" t="s">
        <v>41</v>
      </c>
      <c r="F728" t="s">
        <v>42</v>
      </c>
      <c r="G728" t="s">
        <v>50</v>
      </c>
      <c r="H728" t="s">
        <v>84</v>
      </c>
      <c r="I728" t="s">
        <v>85</v>
      </c>
      <c r="J728" t="s">
        <v>86</v>
      </c>
      <c r="K728">
        <v>3</v>
      </c>
      <c r="L728">
        <v>1853.47</v>
      </c>
      <c r="M728">
        <v>0.1</v>
      </c>
      <c r="N728">
        <v>5004.37</v>
      </c>
      <c r="O728">
        <v>3068.35</v>
      </c>
      <c r="P728">
        <v>1936.02</v>
      </c>
      <c r="Q728" t="s">
        <v>113</v>
      </c>
      <c r="R728">
        <v>0.38686587922156029</v>
      </c>
      <c r="S728">
        <v>2024</v>
      </c>
      <c r="T728" t="s">
        <v>1519</v>
      </c>
      <c r="U728">
        <v>8</v>
      </c>
      <c r="V728" t="s">
        <v>1385</v>
      </c>
    </row>
    <row r="729" spans="1:22" x14ac:dyDescent="0.3">
      <c r="A729" t="s">
        <v>1538</v>
      </c>
      <c r="B729" s="1">
        <v>45509</v>
      </c>
      <c r="C729" t="s">
        <v>312</v>
      </c>
      <c r="D729" t="s">
        <v>1121</v>
      </c>
      <c r="E729" t="s">
        <v>120</v>
      </c>
      <c r="F729" t="s">
        <v>121</v>
      </c>
      <c r="G729" t="s">
        <v>122</v>
      </c>
      <c r="H729" t="s">
        <v>64</v>
      </c>
      <c r="I729" t="s">
        <v>65</v>
      </c>
      <c r="J729" t="s">
        <v>232</v>
      </c>
      <c r="K729">
        <v>1</v>
      </c>
      <c r="L729">
        <v>4227.74</v>
      </c>
      <c r="M729">
        <v>0.1</v>
      </c>
      <c r="N729">
        <v>3804.97</v>
      </c>
      <c r="O729">
        <v>2624.77</v>
      </c>
      <c r="P729">
        <v>1180.2</v>
      </c>
      <c r="Q729" t="s">
        <v>31</v>
      </c>
      <c r="R729">
        <v>0.31017327337666267</v>
      </c>
      <c r="S729">
        <v>2024</v>
      </c>
      <c r="T729" t="s">
        <v>1519</v>
      </c>
      <c r="U729">
        <v>8</v>
      </c>
      <c r="V729" t="s">
        <v>1385</v>
      </c>
    </row>
    <row r="730" spans="1:22" x14ac:dyDescent="0.3">
      <c r="A730" t="s">
        <v>1539</v>
      </c>
      <c r="B730" s="1">
        <v>45509</v>
      </c>
      <c r="C730" t="s">
        <v>106</v>
      </c>
      <c r="D730" t="s">
        <v>366</v>
      </c>
      <c r="E730" t="s">
        <v>61</v>
      </c>
      <c r="F730" t="s">
        <v>78</v>
      </c>
      <c r="G730" t="s">
        <v>104</v>
      </c>
      <c r="H730" t="s">
        <v>43</v>
      </c>
      <c r="I730" t="s">
        <v>44</v>
      </c>
      <c r="J730" t="s">
        <v>248</v>
      </c>
      <c r="K730">
        <v>2</v>
      </c>
      <c r="L730">
        <v>282.05</v>
      </c>
      <c r="M730">
        <v>0.15</v>
      </c>
      <c r="N730">
        <v>479.49</v>
      </c>
      <c r="O730">
        <v>242.18</v>
      </c>
      <c r="P730">
        <v>237.31</v>
      </c>
      <c r="Q730" t="s">
        <v>53</v>
      </c>
      <c r="R730">
        <v>0.4949216876264364</v>
      </c>
      <c r="S730">
        <v>2024</v>
      </c>
      <c r="T730" t="s">
        <v>1519</v>
      </c>
      <c r="U730">
        <v>8</v>
      </c>
      <c r="V730" t="s">
        <v>1385</v>
      </c>
    </row>
    <row r="731" spans="1:22" x14ac:dyDescent="0.3">
      <c r="A731" t="s">
        <v>1540</v>
      </c>
      <c r="B731" s="1">
        <v>45510</v>
      </c>
      <c r="C731" t="s">
        <v>1001</v>
      </c>
      <c r="D731" t="s">
        <v>440</v>
      </c>
      <c r="E731" t="s">
        <v>61</v>
      </c>
      <c r="F731" t="s">
        <v>78</v>
      </c>
      <c r="G731" t="s">
        <v>216</v>
      </c>
      <c r="H731" t="s">
        <v>43</v>
      </c>
      <c r="I731" t="s">
        <v>51</v>
      </c>
      <c r="J731" t="s">
        <v>52</v>
      </c>
      <c r="K731">
        <v>5</v>
      </c>
      <c r="L731">
        <v>676.26</v>
      </c>
      <c r="M731">
        <v>0.2</v>
      </c>
      <c r="N731">
        <v>2705.04</v>
      </c>
      <c r="O731">
        <v>1637.58</v>
      </c>
      <c r="P731">
        <v>1067.46</v>
      </c>
      <c r="Q731" t="s">
        <v>31</v>
      </c>
      <c r="R731">
        <v>0.3946189335462692</v>
      </c>
      <c r="S731">
        <v>2024</v>
      </c>
      <c r="T731" t="s">
        <v>1519</v>
      </c>
      <c r="U731">
        <v>8</v>
      </c>
      <c r="V731" t="s">
        <v>1385</v>
      </c>
    </row>
    <row r="732" spans="1:22" x14ac:dyDescent="0.3">
      <c r="A732" t="s">
        <v>1541</v>
      </c>
      <c r="B732" s="1">
        <v>45510</v>
      </c>
      <c r="C732" t="s">
        <v>1542</v>
      </c>
      <c r="D732" t="s">
        <v>457</v>
      </c>
      <c r="E732" t="s">
        <v>41</v>
      </c>
      <c r="F732" t="s">
        <v>42</v>
      </c>
      <c r="G732" t="s">
        <v>50</v>
      </c>
      <c r="H732" t="s">
        <v>28</v>
      </c>
      <c r="I732" t="s">
        <v>29</v>
      </c>
      <c r="J732" t="s">
        <v>30</v>
      </c>
      <c r="K732">
        <v>6</v>
      </c>
      <c r="L732">
        <v>59074.73</v>
      </c>
      <c r="M732">
        <v>0.05</v>
      </c>
      <c r="N732">
        <v>336725.96</v>
      </c>
      <c r="O732">
        <v>309081.71999999997</v>
      </c>
      <c r="P732">
        <v>27644.240000000002</v>
      </c>
      <c r="Q732" t="s">
        <v>113</v>
      </c>
      <c r="R732">
        <v>8.2097145108740652E-2</v>
      </c>
      <c r="S732">
        <v>2024</v>
      </c>
      <c r="T732" t="s">
        <v>1519</v>
      </c>
      <c r="U732">
        <v>8</v>
      </c>
      <c r="V732" t="s">
        <v>1385</v>
      </c>
    </row>
    <row r="733" spans="1:22" x14ac:dyDescent="0.3">
      <c r="A733" t="s">
        <v>1543</v>
      </c>
      <c r="B733" s="1">
        <v>45510</v>
      </c>
      <c r="C733" t="s">
        <v>534</v>
      </c>
      <c r="D733" t="s">
        <v>411</v>
      </c>
      <c r="E733" t="s">
        <v>25</v>
      </c>
      <c r="F733" t="s">
        <v>26</v>
      </c>
      <c r="G733" t="s">
        <v>37</v>
      </c>
      <c r="H733" t="s">
        <v>84</v>
      </c>
      <c r="I733" t="s">
        <v>85</v>
      </c>
      <c r="J733" t="s">
        <v>86</v>
      </c>
      <c r="K733">
        <v>1</v>
      </c>
      <c r="L733">
        <v>1811.33</v>
      </c>
      <c r="M733">
        <v>0.1</v>
      </c>
      <c r="N733">
        <v>1630.2</v>
      </c>
      <c r="O733">
        <v>956.78</v>
      </c>
      <c r="P733">
        <v>673.42</v>
      </c>
      <c r="Q733" t="s">
        <v>113</v>
      </c>
      <c r="R733">
        <v>0.41309041835357618</v>
      </c>
      <c r="S733">
        <v>2024</v>
      </c>
      <c r="T733" t="s">
        <v>1519</v>
      </c>
      <c r="U733">
        <v>8</v>
      </c>
      <c r="V733" t="s">
        <v>1385</v>
      </c>
    </row>
    <row r="734" spans="1:22" x14ac:dyDescent="0.3">
      <c r="A734" t="s">
        <v>1544</v>
      </c>
      <c r="B734" s="1">
        <v>45511</v>
      </c>
      <c r="C734" t="s">
        <v>898</v>
      </c>
      <c r="D734" t="s">
        <v>535</v>
      </c>
      <c r="E734" t="s">
        <v>61</v>
      </c>
      <c r="F734" t="s">
        <v>62</v>
      </c>
      <c r="G734" t="s">
        <v>134</v>
      </c>
      <c r="H734" t="s">
        <v>84</v>
      </c>
      <c r="I734" t="s">
        <v>85</v>
      </c>
      <c r="J734" t="s">
        <v>145</v>
      </c>
      <c r="K734">
        <v>1</v>
      </c>
      <c r="L734">
        <v>3484.17</v>
      </c>
      <c r="M734">
        <v>0.05</v>
      </c>
      <c r="N734">
        <v>3309.96</v>
      </c>
      <c r="O734">
        <v>2040.82</v>
      </c>
      <c r="P734">
        <v>1269.1400000000001</v>
      </c>
      <c r="Q734" t="s">
        <v>46</v>
      </c>
      <c r="R734">
        <v>0.38343061547571572</v>
      </c>
      <c r="S734">
        <v>2024</v>
      </c>
      <c r="T734" t="s">
        <v>1519</v>
      </c>
      <c r="U734">
        <v>8</v>
      </c>
      <c r="V734" t="s">
        <v>1385</v>
      </c>
    </row>
    <row r="735" spans="1:22" x14ac:dyDescent="0.3">
      <c r="A735" t="s">
        <v>1545</v>
      </c>
      <c r="B735" s="1">
        <v>45511</v>
      </c>
      <c r="C735" t="s">
        <v>1546</v>
      </c>
      <c r="D735" t="s">
        <v>227</v>
      </c>
      <c r="E735" t="s">
        <v>61</v>
      </c>
      <c r="F735" t="s">
        <v>71</v>
      </c>
      <c r="G735" t="s">
        <v>72</v>
      </c>
      <c r="H735" t="s">
        <v>84</v>
      </c>
      <c r="I735" t="s">
        <v>138</v>
      </c>
      <c r="J735" t="s">
        <v>220</v>
      </c>
      <c r="K735">
        <v>1</v>
      </c>
      <c r="L735">
        <v>7410.27</v>
      </c>
      <c r="M735">
        <v>0.1</v>
      </c>
      <c r="N735">
        <v>6669.24</v>
      </c>
      <c r="O735">
        <v>4675.7299999999996</v>
      </c>
      <c r="P735">
        <v>1993.51</v>
      </c>
      <c r="Q735" t="s">
        <v>31</v>
      </c>
      <c r="R735">
        <v>0.29891112030756128</v>
      </c>
      <c r="S735">
        <v>2024</v>
      </c>
      <c r="T735" t="s">
        <v>1519</v>
      </c>
      <c r="U735">
        <v>8</v>
      </c>
      <c r="V735" t="s">
        <v>1385</v>
      </c>
    </row>
    <row r="736" spans="1:22" x14ac:dyDescent="0.3">
      <c r="A736" t="s">
        <v>1547</v>
      </c>
      <c r="B736" s="1">
        <v>45511</v>
      </c>
      <c r="C736" t="s">
        <v>1548</v>
      </c>
      <c r="D736" t="s">
        <v>1530</v>
      </c>
      <c r="E736" t="s">
        <v>61</v>
      </c>
      <c r="F736" t="s">
        <v>62</v>
      </c>
      <c r="G736" t="s">
        <v>134</v>
      </c>
      <c r="H736" t="s">
        <v>64</v>
      </c>
      <c r="I736" t="s">
        <v>108</v>
      </c>
      <c r="J736" t="s">
        <v>155</v>
      </c>
      <c r="K736">
        <v>3</v>
      </c>
      <c r="L736">
        <v>8458.48</v>
      </c>
      <c r="M736">
        <v>0.05</v>
      </c>
      <c r="N736">
        <v>24106.67</v>
      </c>
      <c r="O736">
        <v>17455.27</v>
      </c>
      <c r="P736">
        <v>6651.4</v>
      </c>
      <c r="Q736" t="s">
        <v>67</v>
      </c>
      <c r="R736">
        <v>0.27591533795418449</v>
      </c>
      <c r="S736">
        <v>2024</v>
      </c>
      <c r="T736" t="s">
        <v>1519</v>
      </c>
      <c r="U736">
        <v>8</v>
      </c>
      <c r="V736" t="s">
        <v>1385</v>
      </c>
    </row>
    <row r="737" spans="1:22" x14ac:dyDescent="0.3">
      <c r="A737" t="s">
        <v>1549</v>
      </c>
      <c r="B737" s="1">
        <v>45512</v>
      </c>
      <c r="C737" t="s">
        <v>1131</v>
      </c>
      <c r="D737" t="s">
        <v>454</v>
      </c>
      <c r="E737" t="s">
        <v>61</v>
      </c>
      <c r="F737" t="s">
        <v>78</v>
      </c>
      <c r="G737" t="s">
        <v>83</v>
      </c>
      <c r="H737" t="s">
        <v>43</v>
      </c>
      <c r="I737" t="s">
        <v>44</v>
      </c>
      <c r="J737" t="s">
        <v>248</v>
      </c>
      <c r="K737">
        <v>1</v>
      </c>
      <c r="L737">
        <v>296.52999999999997</v>
      </c>
      <c r="M737">
        <v>0.1</v>
      </c>
      <c r="N737">
        <v>266.88</v>
      </c>
      <c r="O737">
        <v>121.59</v>
      </c>
      <c r="P737">
        <v>145.29</v>
      </c>
      <c r="Q737" t="s">
        <v>53</v>
      </c>
      <c r="R737">
        <v>0.54440197841726612</v>
      </c>
      <c r="S737">
        <v>2024</v>
      </c>
      <c r="T737" t="s">
        <v>1519</v>
      </c>
      <c r="U737">
        <v>8</v>
      </c>
      <c r="V737" t="s">
        <v>1385</v>
      </c>
    </row>
    <row r="738" spans="1:22" x14ac:dyDescent="0.3">
      <c r="A738" t="s">
        <v>1550</v>
      </c>
      <c r="B738" s="1">
        <v>45512</v>
      </c>
      <c r="C738" t="s">
        <v>1551</v>
      </c>
      <c r="D738" t="s">
        <v>89</v>
      </c>
      <c r="E738" t="s">
        <v>61</v>
      </c>
      <c r="F738" t="s">
        <v>78</v>
      </c>
      <c r="G738" t="s">
        <v>79</v>
      </c>
      <c r="H738" t="s">
        <v>84</v>
      </c>
      <c r="I738" t="s">
        <v>85</v>
      </c>
      <c r="J738" t="s">
        <v>145</v>
      </c>
      <c r="K738">
        <v>6</v>
      </c>
      <c r="L738">
        <v>3108.11</v>
      </c>
      <c r="M738">
        <v>0.05</v>
      </c>
      <c r="N738">
        <v>17716.23</v>
      </c>
      <c r="O738">
        <v>10576.38</v>
      </c>
      <c r="P738">
        <v>7139.85</v>
      </c>
      <c r="Q738" t="s">
        <v>31</v>
      </c>
      <c r="R738">
        <v>0.40301181459035018</v>
      </c>
      <c r="S738">
        <v>2024</v>
      </c>
      <c r="T738" t="s">
        <v>1519</v>
      </c>
      <c r="U738">
        <v>8</v>
      </c>
      <c r="V738" t="s">
        <v>1385</v>
      </c>
    </row>
    <row r="739" spans="1:22" x14ac:dyDescent="0.3">
      <c r="A739" t="s">
        <v>1552</v>
      </c>
      <c r="B739" s="1">
        <v>45512</v>
      </c>
      <c r="C739" t="s">
        <v>1553</v>
      </c>
      <c r="D739" t="s">
        <v>1413</v>
      </c>
      <c r="E739" t="s">
        <v>25</v>
      </c>
      <c r="F739" t="s">
        <v>26</v>
      </c>
      <c r="G739" t="s">
        <v>37</v>
      </c>
      <c r="H739" t="s">
        <v>43</v>
      </c>
      <c r="I739" t="s">
        <v>44</v>
      </c>
      <c r="J739" t="s">
        <v>45</v>
      </c>
      <c r="K739">
        <v>5</v>
      </c>
      <c r="L739">
        <v>234.65</v>
      </c>
      <c r="M739">
        <v>0.05</v>
      </c>
      <c r="N739">
        <v>1114.5899999999999</v>
      </c>
      <c r="O739">
        <v>433.05</v>
      </c>
      <c r="P739">
        <v>681.54</v>
      </c>
      <c r="Q739" t="s">
        <v>46</v>
      </c>
      <c r="R739">
        <v>0.61147148278739272</v>
      </c>
      <c r="S739">
        <v>2024</v>
      </c>
      <c r="T739" t="s">
        <v>1519</v>
      </c>
      <c r="U739">
        <v>8</v>
      </c>
      <c r="V739" t="s">
        <v>1385</v>
      </c>
    </row>
    <row r="740" spans="1:22" x14ac:dyDescent="0.3">
      <c r="A740" t="s">
        <v>1554</v>
      </c>
      <c r="B740" s="1">
        <v>45512</v>
      </c>
      <c r="C740" t="s">
        <v>840</v>
      </c>
      <c r="D740" t="s">
        <v>1375</v>
      </c>
      <c r="E740" t="s">
        <v>61</v>
      </c>
      <c r="F740" t="s">
        <v>71</v>
      </c>
      <c r="G740" t="s">
        <v>201</v>
      </c>
      <c r="H740" t="s">
        <v>64</v>
      </c>
      <c r="I740" t="s">
        <v>65</v>
      </c>
      <c r="J740" t="s">
        <v>232</v>
      </c>
      <c r="K740">
        <v>2</v>
      </c>
      <c r="L740">
        <v>4184.05</v>
      </c>
      <c r="M740">
        <v>0.1</v>
      </c>
      <c r="N740">
        <v>7531.29</v>
      </c>
      <c r="O740">
        <v>5188.28</v>
      </c>
      <c r="P740">
        <v>2343.0100000000002</v>
      </c>
      <c r="Q740" t="s">
        <v>113</v>
      </c>
      <c r="R740">
        <v>0.31110340990720048</v>
      </c>
      <c r="S740">
        <v>2024</v>
      </c>
      <c r="T740" t="s">
        <v>1519</v>
      </c>
      <c r="U740">
        <v>8</v>
      </c>
      <c r="V740" t="s">
        <v>1385</v>
      </c>
    </row>
    <row r="741" spans="1:22" x14ac:dyDescent="0.3">
      <c r="A741" t="s">
        <v>1555</v>
      </c>
      <c r="B741" s="1">
        <v>45513</v>
      </c>
      <c r="C741" t="s">
        <v>467</v>
      </c>
      <c r="D741" t="s">
        <v>1066</v>
      </c>
      <c r="E741" t="s">
        <v>61</v>
      </c>
      <c r="F741" t="s">
        <v>62</v>
      </c>
      <c r="G741" t="s">
        <v>228</v>
      </c>
      <c r="H741" t="s">
        <v>28</v>
      </c>
      <c r="I741" t="s">
        <v>91</v>
      </c>
      <c r="J741" t="s">
        <v>92</v>
      </c>
      <c r="K741">
        <v>3</v>
      </c>
      <c r="L741">
        <v>2946.9</v>
      </c>
      <c r="M741">
        <v>0.05</v>
      </c>
      <c r="N741">
        <v>8398.67</v>
      </c>
      <c r="O741">
        <v>4541.58</v>
      </c>
      <c r="P741">
        <v>3857.09</v>
      </c>
      <c r="Q741" t="s">
        <v>31</v>
      </c>
      <c r="R741">
        <v>0.45925009555084317</v>
      </c>
      <c r="S741">
        <v>2024</v>
      </c>
      <c r="T741" t="s">
        <v>1519</v>
      </c>
      <c r="U741">
        <v>8</v>
      </c>
      <c r="V741" t="s">
        <v>1385</v>
      </c>
    </row>
    <row r="742" spans="1:22" x14ac:dyDescent="0.3">
      <c r="A742" t="s">
        <v>1556</v>
      </c>
      <c r="B742" s="1">
        <v>45513</v>
      </c>
      <c r="C742" t="s">
        <v>1128</v>
      </c>
      <c r="D742" t="s">
        <v>587</v>
      </c>
      <c r="E742" t="s">
        <v>61</v>
      </c>
      <c r="F742" t="s">
        <v>71</v>
      </c>
      <c r="G742" t="s">
        <v>317</v>
      </c>
      <c r="H742" t="s">
        <v>64</v>
      </c>
      <c r="I742" t="s">
        <v>108</v>
      </c>
      <c r="J742" t="s">
        <v>155</v>
      </c>
      <c r="K742">
        <v>1</v>
      </c>
      <c r="L742">
        <v>8254.83</v>
      </c>
      <c r="M742">
        <v>0.05</v>
      </c>
      <c r="N742">
        <v>7842.09</v>
      </c>
      <c r="O742">
        <v>5534.67</v>
      </c>
      <c r="P742">
        <v>2307.42</v>
      </c>
      <c r="Q742" t="s">
        <v>53</v>
      </c>
      <c r="R742">
        <v>0.29423533777347621</v>
      </c>
      <c r="S742">
        <v>2024</v>
      </c>
      <c r="T742" t="s">
        <v>1519</v>
      </c>
      <c r="U742">
        <v>8</v>
      </c>
      <c r="V742" t="s">
        <v>1385</v>
      </c>
    </row>
    <row r="743" spans="1:22" x14ac:dyDescent="0.3">
      <c r="A743" t="s">
        <v>1557</v>
      </c>
      <c r="B743" s="1">
        <v>45513</v>
      </c>
      <c r="C743" t="s">
        <v>1553</v>
      </c>
      <c r="D743" t="s">
        <v>775</v>
      </c>
      <c r="E743" t="s">
        <v>120</v>
      </c>
      <c r="F743" t="s">
        <v>121</v>
      </c>
      <c r="G743" t="s">
        <v>130</v>
      </c>
      <c r="H743" t="s">
        <v>64</v>
      </c>
      <c r="I743" t="s">
        <v>108</v>
      </c>
      <c r="J743" t="s">
        <v>155</v>
      </c>
      <c r="K743">
        <v>3</v>
      </c>
      <c r="L743">
        <v>8281.35</v>
      </c>
      <c r="M743">
        <v>0.05</v>
      </c>
      <c r="N743">
        <v>23601.85</v>
      </c>
      <c r="O743">
        <v>17354.939999999999</v>
      </c>
      <c r="P743">
        <v>6246.91</v>
      </c>
      <c r="Q743" t="s">
        <v>31</v>
      </c>
      <c r="R743">
        <v>0.26467882814270921</v>
      </c>
      <c r="S743">
        <v>2024</v>
      </c>
      <c r="T743" t="s">
        <v>1519</v>
      </c>
      <c r="U743">
        <v>8</v>
      </c>
      <c r="V743" t="s">
        <v>1385</v>
      </c>
    </row>
    <row r="744" spans="1:22" x14ac:dyDescent="0.3">
      <c r="A744" t="s">
        <v>1558</v>
      </c>
      <c r="B744" s="1">
        <v>45513</v>
      </c>
      <c r="C744" t="s">
        <v>166</v>
      </c>
      <c r="D744" t="s">
        <v>1203</v>
      </c>
      <c r="E744" t="s">
        <v>61</v>
      </c>
      <c r="F744" t="s">
        <v>78</v>
      </c>
      <c r="G744" t="s">
        <v>79</v>
      </c>
      <c r="H744" t="s">
        <v>43</v>
      </c>
      <c r="I744" t="s">
        <v>51</v>
      </c>
      <c r="J744" t="s">
        <v>96</v>
      </c>
      <c r="K744">
        <v>1</v>
      </c>
      <c r="L744">
        <v>507.02</v>
      </c>
      <c r="M744">
        <v>0</v>
      </c>
      <c r="N744">
        <v>507.02</v>
      </c>
      <c r="O744">
        <v>234.89</v>
      </c>
      <c r="P744">
        <v>272.13</v>
      </c>
      <c r="Q744" t="s">
        <v>67</v>
      </c>
      <c r="R744">
        <v>0.53672438957043112</v>
      </c>
      <c r="S744">
        <v>2024</v>
      </c>
      <c r="T744" t="s">
        <v>1519</v>
      </c>
      <c r="U744">
        <v>8</v>
      </c>
      <c r="V744" t="s">
        <v>1385</v>
      </c>
    </row>
    <row r="745" spans="1:22" x14ac:dyDescent="0.3">
      <c r="A745" t="s">
        <v>1559</v>
      </c>
      <c r="B745" s="1">
        <v>45514</v>
      </c>
      <c r="C745" t="s">
        <v>1560</v>
      </c>
      <c r="D745" t="s">
        <v>794</v>
      </c>
      <c r="E745" t="s">
        <v>61</v>
      </c>
      <c r="F745" t="s">
        <v>62</v>
      </c>
      <c r="G745" t="s">
        <v>228</v>
      </c>
      <c r="H745" t="s">
        <v>28</v>
      </c>
      <c r="I745" t="s">
        <v>91</v>
      </c>
      <c r="J745" t="s">
        <v>92</v>
      </c>
      <c r="K745">
        <v>5</v>
      </c>
      <c r="L745">
        <v>2935.93</v>
      </c>
      <c r="M745">
        <v>0</v>
      </c>
      <c r="N745">
        <v>14679.65</v>
      </c>
      <c r="O745">
        <v>7650.79</v>
      </c>
      <c r="P745">
        <v>7028.86</v>
      </c>
      <c r="Q745" t="s">
        <v>31</v>
      </c>
      <c r="R745">
        <v>0.47881659303866242</v>
      </c>
      <c r="S745">
        <v>2024</v>
      </c>
      <c r="T745" t="s">
        <v>1519</v>
      </c>
      <c r="U745">
        <v>8</v>
      </c>
      <c r="V745" t="s">
        <v>1385</v>
      </c>
    </row>
    <row r="746" spans="1:22" x14ac:dyDescent="0.3">
      <c r="A746" t="s">
        <v>1561</v>
      </c>
      <c r="B746" s="1">
        <v>45514</v>
      </c>
      <c r="C746" t="s">
        <v>258</v>
      </c>
      <c r="D746" t="s">
        <v>99</v>
      </c>
      <c r="E746" t="s">
        <v>61</v>
      </c>
      <c r="F746" t="s">
        <v>78</v>
      </c>
      <c r="G746" t="s">
        <v>104</v>
      </c>
      <c r="H746" t="s">
        <v>43</v>
      </c>
      <c r="I746" t="s">
        <v>51</v>
      </c>
      <c r="J746" t="s">
        <v>96</v>
      </c>
      <c r="K746">
        <v>4</v>
      </c>
      <c r="L746">
        <v>509.64</v>
      </c>
      <c r="M746">
        <v>0</v>
      </c>
      <c r="N746">
        <v>2038.56</v>
      </c>
      <c r="O746">
        <v>905.77</v>
      </c>
      <c r="P746">
        <v>1132.79</v>
      </c>
      <c r="Q746" t="s">
        <v>31</v>
      </c>
      <c r="R746">
        <v>0.55568146142375008</v>
      </c>
      <c r="S746">
        <v>2024</v>
      </c>
      <c r="T746" t="s">
        <v>1519</v>
      </c>
      <c r="U746">
        <v>8</v>
      </c>
      <c r="V746" t="s">
        <v>1385</v>
      </c>
    </row>
    <row r="747" spans="1:22" x14ac:dyDescent="0.3">
      <c r="A747" t="s">
        <v>1562</v>
      </c>
      <c r="B747" s="1">
        <v>45514</v>
      </c>
      <c r="C747" t="s">
        <v>1563</v>
      </c>
      <c r="D747" t="s">
        <v>615</v>
      </c>
      <c r="E747" t="s">
        <v>61</v>
      </c>
      <c r="F747" t="s">
        <v>78</v>
      </c>
      <c r="G747" t="s">
        <v>83</v>
      </c>
      <c r="H747" t="s">
        <v>43</v>
      </c>
      <c r="I747" t="s">
        <v>44</v>
      </c>
      <c r="J747" t="s">
        <v>248</v>
      </c>
      <c r="K747">
        <v>2</v>
      </c>
      <c r="L747">
        <v>298.17</v>
      </c>
      <c r="M747">
        <v>0.15</v>
      </c>
      <c r="N747">
        <v>506.89</v>
      </c>
      <c r="O747">
        <v>243.53</v>
      </c>
      <c r="P747">
        <v>263.36</v>
      </c>
      <c r="Q747" t="s">
        <v>67</v>
      </c>
      <c r="R747">
        <v>0.51956045690386476</v>
      </c>
      <c r="S747">
        <v>2024</v>
      </c>
      <c r="T747" t="s">
        <v>1519</v>
      </c>
      <c r="U747">
        <v>8</v>
      </c>
      <c r="V747" t="s">
        <v>1385</v>
      </c>
    </row>
    <row r="748" spans="1:22" x14ac:dyDescent="0.3">
      <c r="A748" t="s">
        <v>1564</v>
      </c>
      <c r="B748" s="1">
        <v>45514</v>
      </c>
      <c r="C748" t="s">
        <v>643</v>
      </c>
      <c r="D748" t="s">
        <v>265</v>
      </c>
      <c r="E748" t="s">
        <v>61</v>
      </c>
      <c r="F748" t="s">
        <v>71</v>
      </c>
      <c r="G748" t="s">
        <v>72</v>
      </c>
      <c r="H748" t="s">
        <v>84</v>
      </c>
      <c r="I748" t="s">
        <v>85</v>
      </c>
      <c r="J748" t="s">
        <v>145</v>
      </c>
      <c r="K748">
        <v>4</v>
      </c>
      <c r="L748">
        <v>3169.15</v>
      </c>
      <c r="M748">
        <v>0.1</v>
      </c>
      <c r="N748">
        <v>11408.94</v>
      </c>
      <c r="O748">
        <v>7220.33</v>
      </c>
      <c r="P748">
        <v>4188.6099999999997</v>
      </c>
      <c r="Q748" t="s">
        <v>46</v>
      </c>
      <c r="R748">
        <v>0.36713401946193069</v>
      </c>
      <c r="S748">
        <v>2024</v>
      </c>
      <c r="T748" t="s">
        <v>1519</v>
      </c>
      <c r="U748">
        <v>8</v>
      </c>
      <c r="V748" t="s">
        <v>1385</v>
      </c>
    </row>
    <row r="749" spans="1:22" x14ac:dyDescent="0.3">
      <c r="A749" t="s">
        <v>1565</v>
      </c>
      <c r="B749" s="1">
        <v>45514</v>
      </c>
      <c r="C749" t="s">
        <v>1488</v>
      </c>
      <c r="D749" t="s">
        <v>188</v>
      </c>
      <c r="E749" t="s">
        <v>61</v>
      </c>
      <c r="F749" t="s">
        <v>78</v>
      </c>
      <c r="G749" t="s">
        <v>79</v>
      </c>
      <c r="H749" t="s">
        <v>84</v>
      </c>
      <c r="I749" t="s">
        <v>85</v>
      </c>
      <c r="J749" t="s">
        <v>86</v>
      </c>
      <c r="K749">
        <v>1</v>
      </c>
      <c r="L749">
        <v>1815.63</v>
      </c>
      <c r="M749">
        <v>0.1</v>
      </c>
      <c r="N749">
        <v>1634.07</v>
      </c>
      <c r="O749">
        <v>972.57</v>
      </c>
      <c r="P749">
        <v>661.5</v>
      </c>
      <c r="Q749" t="s">
        <v>31</v>
      </c>
      <c r="R749">
        <v>0.40481741908241392</v>
      </c>
      <c r="S749">
        <v>2024</v>
      </c>
      <c r="T749" t="s">
        <v>1519</v>
      </c>
      <c r="U749">
        <v>8</v>
      </c>
      <c r="V749" t="s">
        <v>1385</v>
      </c>
    </row>
    <row r="750" spans="1:22" x14ac:dyDescent="0.3">
      <c r="A750" t="s">
        <v>1566</v>
      </c>
      <c r="B750" s="1">
        <v>45514</v>
      </c>
      <c r="C750" t="s">
        <v>968</v>
      </c>
      <c r="D750" t="s">
        <v>219</v>
      </c>
      <c r="E750" t="s">
        <v>25</v>
      </c>
      <c r="F750" t="s">
        <v>26</v>
      </c>
      <c r="G750" t="s">
        <v>37</v>
      </c>
      <c r="H750" t="s">
        <v>28</v>
      </c>
      <c r="I750" t="s">
        <v>73</v>
      </c>
      <c r="J750" t="s">
        <v>74</v>
      </c>
      <c r="K750">
        <v>6</v>
      </c>
      <c r="L750">
        <v>2473.7199999999998</v>
      </c>
      <c r="M750">
        <v>0.1</v>
      </c>
      <c r="N750">
        <v>13358.09</v>
      </c>
      <c r="O750">
        <v>8221.41</v>
      </c>
      <c r="P750">
        <v>5136.68</v>
      </c>
      <c r="Q750" t="s">
        <v>31</v>
      </c>
      <c r="R750">
        <v>0.38453701090500209</v>
      </c>
      <c r="S750">
        <v>2024</v>
      </c>
      <c r="T750" t="s">
        <v>1519</v>
      </c>
      <c r="U750">
        <v>8</v>
      </c>
      <c r="V750" t="s">
        <v>1385</v>
      </c>
    </row>
    <row r="751" spans="1:22" x14ac:dyDescent="0.3">
      <c r="A751" t="s">
        <v>1567</v>
      </c>
      <c r="B751" s="1">
        <v>45515</v>
      </c>
      <c r="C751" t="s">
        <v>1568</v>
      </c>
      <c r="D751" t="s">
        <v>1373</v>
      </c>
      <c r="E751" t="s">
        <v>61</v>
      </c>
      <c r="F751" t="s">
        <v>78</v>
      </c>
      <c r="G751" t="s">
        <v>216</v>
      </c>
      <c r="H751" t="s">
        <v>28</v>
      </c>
      <c r="I751" t="s">
        <v>73</v>
      </c>
      <c r="J751" t="s">
        <v>74</v>
      </c>
      <c r="K751">
        <v>3</v>
      </c>
      <c r="L751">
        <v>2456.7800000000002</v>
      </c>
      <c r="M751">
        <v>0.15</v>
      </c>
      <c r="N751">
        <v>6264.79</v>
      </c>
      <c r="O751">
        <v>3895.09</v>
      </c>
      <c r="P751">
        <v>2369.6999999999998</v>
      </c>
      <c r="Q751" t="s">
        <v>31</v>
      </c>
      <c r="R751">
        <v>0.37825689288866821</v>
      </c>
      <c r="S751">
        <v>2024</v>
      </c>
      <c r="T751" t="s">
        <v>1519</v>
      </c>
      <c r="U751">
        <v>8</v>
      </c>
      <c r="V751" t="s">
        <v>1385</v>
      </c>
    </row>
    <row r="752" spans="1:22" x14ac:dyDescent="0.3">
      <c r="A752" t="s">
        <v>1569</v>
      </c>
      <c r="B752" s="1">
        <v>45515</v>
      </c>
      <c r="C752" t="s">
        <v>199</v>
      </c>
      <c r="D752" t="s">
        <v>1066</v>
      </c>
      <c r="E752" t="s">
        <v>61</v>
      </c>
      <c r="F752" t="s">
        <v>62</v>
      </c>
      <c r="G752" t="s">
        <v>90</v>
      </c>
      <c r="H752" t="s">
        <v>43</v>
      </c>
      <c r="I752" t="s">
        <v>51</v>
      </c>
      <c r="J752" t="s">
        <v>96</v>
      </c>
      <c r="K752">
        <v>2</v>
      </c>
      <c r="L752">
        <v>478.42</v>
      </c>
      <c r="M752">
        <v>0.05</v>
      </c>
      <c r="N752">
        <v>909</v>
      </c>
      <c r="O752">
        <v>433.8</v>
      </c>
      <c r="P752">
        <v>475.2</v>
      </c>
      <c r="Q752" t="s">
        <v>67</v>
      </c>
      <c r="R752">
        <v>0.52277227722772279</v>
      </c>
      <c r="S752">
        <v>2024</v>
      </c>
      <c r="T752" t="s">
        <v>1519</v>
      </c>
      <c r="U752">
        <v>8</v>
      </c>
      <c r="V752" t="s">
        <v>1385</v>
      </c>
    </row>
    <row r="753" spans="1:22" x14ac:dyDescent="0.3">
      <c r="A753" t="s">
        <v>1570</v>
      </c>
      <c r="B753" s="1">
        <v>45515</v>
      </c>
      <c r="C753" t="s">
        <v>746</v>
      </c>
      <c r="D753" t="s">
        <v>212</v>
      </c>
      <c r="E753" t="s">
        <v>120</v>
      </c>
      <c r="F753" t="s">
        <v>121</v>
      </c>
      <c r="G753" t="s">
        <v>224</v>
      </c>
      <c r="H753" t="s">
        <v>84</v>
      </c>
      <c r="I753" t="s">
        <v>138</v>
      </c>
      <c r="J753" t="s">
        <v>220</v>
      </c>
      <c r="K753">
        <v>1</v>
      </c>
      <c r="L753">
        <v>7778.47</v>
      </c>
      <c r="M753">
        <v>0.2</v>
      </c>
      <c r="N753">
        <v>6222.78</v>
      </c>
      <c r="O753">
        <v>4992.5600000000004</v>
      </c>
      <c r="P753">
        <v>1230.22</v>
      </c>
      <c r="Q753" t="s">
        <v>31</v>
      </c>
      <c r="R753">
        <v>0.19769620651863001</v>
      </c>
      <c r="S753">
        <v>2024</v>
      </c>
      <c r="T753" t="s">
        <v>1519</v>
      </c>
      <c r="U753">
        <v>8</v>
      </c>
      <c r="V753" t="s">
        <v>1385</v>
      </c>
    </row>
    <row r="754" spans="1:22" x14ac:dyDescent="0.3">
      <c r="A754" t="s">
        <v>1571</v>
      </c>
      <c r="B754" s="1">
        <v>45516</v>
      </c>
      <c r="C754" t="s">
        <v>118</v>
      </c>
      <c r="D754" t="s">
        <v>1449</v>
      </c>
      <c r="E754" t="s">
        <v>25</v>
      </c>
      <c r="F754" t="s">
        <v>26</v>
      </c>
      <c r="G754" t="s">
        <v>37</v>
      </c>
      <c r="H754" t="s">
        <v>84</v>
      </c>
      <c r="I754" t="s">
        <v>138</v>
      </c>
      <c r="J754" t="s">
        <v>220</v>
      </c>
      <c r="K754">
        <v>2</v>
      </c>
      <c r="L754">
        <v>7625.29</v>
      </c>
      <c r="M754">
        <v>0.1</v>
      </c>
      <c r="N754">
        <v>13725.52</v>
      </c>
      <c r="O754">
        <v>10141.07</v>
      </c>
      <c r="P754">
        <v>3584.45</v>
      </c>
      <c r="Q754" t="s">
        <v>31</v>
      </c>
      <c r="R754">
        <v>0.26115221864089672</v>
      </c>
      <c r="S754">
        <v>2024</v>
      </c>
      <c r="T754" t="s">
        <v>1519</v>
      </c>
      <c r="U754">
        <v>8</v>
      </c>
      <c r="V754" t="s">
        <v>1385</v>
      </c>
    </row>
    <row r="755" spans="1:22" x14ac:dyDescent="0.3">
      <c r="A755" t="s">
        <v>1572</v>
      </c>
      <c r="B755" s="1">
        <v>45516</v>
      </c>
      <c r="C755" t="s">
        <v>1365</v>
      </c>
      <c r="D755" t="s">
        <v>773</v>
      </c>
      <c r="E755" t="s">
        <v>25</v>
      </c>
      <c r="F755" t="s">
        <v>26</v>
      </c>
      <c r="G755" t="s">
        <v>260</v>
      </c>
      <c r="H755" t="s">
        <v>28</v>
      </c>
      <c r="I755" t="s">
        <v>29</v>
      </c>
      <c r="J755" t="s">
        <v>30</v>
      </c>
      <c r="K755">
        <v>3</v>
      </c>
      <c r="L755">
        <v>59594.19</v>
      </c>
      <c r="M755">
        <v>0</v>
      </c>
      <c r="N755">
        <v>178782.57</v>
      </c>
      <c r="O755">
        <v>155586.69</v>
      </c>
      <c r="P755">
        <v>23195.88</v>
      </c>
      <c r="Q755" t="s">
        <v>113</v>
      </c>
      <c r="R755">
        <v>0.129743520299546</v>
      </c>
      <c r="S755">
        <v>2024</v>
      </c>
      <c r="T755" t="s">
        <v>1519</v>
      </c>
      <c r="U755">
        <v>8</v>
      </c>
      <c r="V755" t="s">
        <v>1385</v>
      </c>
    </row>
    <row r="756" spans="1:22" x14ac:dyDescent="0.3">
      <c r="A756" t="s">
        <v>1573</v>
      </c>
      <c r="B756" s="1">
        <v>45516</v>
      </c>
      <c r="C756" t="s">
        <v>136</v>
      </c>
      <c r="D756" t="s">
        <v>1503</v>
      </c>
      <c r="E756" t="s">
        <v>25</v>
      </c>
      <c r="F756" t="s">
        <v>26</v>
      </c>
      <c r="G756" t="s">
        <v>260</v>
      </c>
      <c r="H756" t="s">
        <v>84</v>
      </c>
      <c r="I756" t="s">
        <v>85</v>
      </c>
      <c r="J756" t="s">
        <v>86</v>
      </c>
      <c r="K756">
        <v>3</v>
      </c>
      <c r="L756">
        <v>1787.85</v>
      </c>
      <c r="M756">
        <v>0.05</v>
      </c>
      <c r="N756">
        <v>5095.37</v>
      </c>
      <c r="O756">
        <v>2980.35</v>
      </c>
      <c r="P756">
        <v>2115.02</v>
      </c>
      <c r="Q756" t="s">
        <v>53</v>
      </c>
      <c r="R756">
        <v>0.41508663747676811</v>
      </c>
      <c r="S756">
        <v>2024</v>
      </c>
      <c r="T756" t="s">
        <v>1519</v>
      </c>
      <c r="U756">
        <v>8</v>
      </c>
      <c r="V756" t="s">
        <v>1385</v>
      </c>
    </row>
    <row r="757" spans="1:22" x14ac:dyDescent="0.3">
      <c r="A757" t="s">
        <v>1574</v>
      </c>
      <c r="B757" s="1">
        <v>45516</v>
      </c>
      <c r="C757" t="s">
        <v>1161</v>
      </c>
      <c r="D757" t="s">
        <v>164</v>
      </c>
      <c r="E757" t="s">
        <v>61</v>
      </c>
      <c r="F757" t="s">
        <v>78</v>
      </c>
      <c r="G757" t="s">
        <v>104</v>
      </c>
      <c r="H757" t="s">
        <v>84</v>
      </c>
      <c r="I757" t="s">
        <v>85</v>
      </c>
      <c r="J757" t="s">
        <v>86</v>
      </c>
      <c r="K757">
        <v>2</v>
      </c>
      <c r="L757">
        <v>1840.66</v>
      </c>
      <c r="M757">
        <v>0.05</v>
      </c>
      <c r="N757">
        <v>3497.25</v>
      </c>
      <c r="O757">
        <v>1977.54</v>
      </c>
      <c r="P757">
        <v>1519.71</v>
      </c>
      <c r="Q757" t="s">
        <v>31</v>
      </c>
      <c r="R757">
        <v>0.43454428479519619</v>
      </c>
      <c r="S757">
        <v>2024</v>
      </c>
      <c r="T757" t="s">
        <v>1519</v>
      </c>
      <c r="U757">
        <v>8</v>
      </c>
      <c r="V757" t="s">
        <v>1385</v>
      </c>
    </row>
    <row r="758" spans="1:22" x14ac:dyDescent="0.3">
      <c r="A758" t="s">
        <v>1575</v>
      </c>
      <c r="B758" s="1">
        <v>45517</v>
      </c>
      <c r="C758" t="s">
        <v>767</v>
      </c>
      <c r="D758" t="s">
        <v>806</v>
      </c>
      <c r="E758" t="s">
        <v>25</v>
      </c>
      <c r="F758" t="s">
        <v>26</v>
      </c>
      <c r="G758" t="s">
        <v>260</v>
      </c>
      <c r="H758" t="s">
        <v>43</v>
      </c>
      <c r="I758" t="s">
        <v>44</v>
      </c>
      <c r="J758" t="s">
        <v>45</v>
      </c>
      <c r="K758">
        <v>3</v>
      </c>
      <c r="L758">
        <v>249.96</v>
      </c>
      <c r="M758">
        <v>0.1</v>
      </c>
      <c r="N758">
        <v>674.89</v>
      </c>
      <c r="O758">
        <v>295.24</v>
      </c>
      <c r="P758">
        <v>379.65</v>
      </c>
      <c r="Q758" t="s">
        <v>31</v>
      </c>
      <c r="R758">
        <v>0.56253611699684392</v>
      </c>
      <c r="S758">
        <v>2024</v>
      </c>
      <c r="T758" t="s">
        <v>1519</v>
      </c>
      <c r="U758">
        <v>8</v>
      </c>
      <c r="V758" t="s">
        <v>1385</v>
      </c>
    </row>
    <row r="759" spans="1:22" x14ac:dyDescent="0.3">
      <c r="A759" t="s">
        <v>1576</v>
      </c>
      <c r="B759" s="1">
        <v>45517</v>
      </c>
      <c r="C759" t="s">
        <v>1577</v>
      </c>
      <c r="D759" t="s">
        <v>182</v>
      </c>
      <c r="E759" t="s">
        <v>61</v>
      </c>
      <c r="F759" t="s">
        <v>71</v>
      </c>
      <c r="G759" t="s">
        <v>100</v>
      </c>
      <c r="H759" t="s">
        <v>84</v>
      </c>
      <c r="I759" t="s">
        <v>138</v>
      </c>
      <c r="J759" t="s">
        <v>139</v>
      </c>
      <c r="K759">
        <v>5</v>
      </c>
      <c r="L759">
        <v>12866.58</v>
      </c>
      <c r="M759">
        <v>0</v>
      </c>
      <c r="N759">
        <v>64332.9</v>
      </c>
      <c r="O759">
        <v>46871.25</v>
      </c>
      <c r="P759">
        <v>17461.650000000001</v>
      </c>
      <c r="Q759" t="s">
        <v>46</v>
      </c>
      <c r="R759">
        <v>0.27142643965995628</v>
      </c>
      <c r="S759">
        <v>2024</v>
      </c>
      <c r="T759" t="s">
        <v>1519</v>
      </c>
      <c r="U759">
        <v>8</v>
      </c>
      <c r="V759" t="s">
        <v>1385</v>
      </c>
    </row>
    <row r="760" spans="1:22" x14ac:dyDescent="0.3">
      <c r="A760" t="s">
        <v>1578</v>
      </c>
      <c r="B760" s="1">
        <v>45517</v>
      </c>
      <c r="C760" t="s">
        <v>840</v>
      </c>
      <c r="D760" t="s">
        <v>957</v>
      </c>
      <c r="E760" t="s">
        <v>120</v>
      </c>
      <c r="F760" t="s">
        <v>121</v>
      </c>
      <c r="G760" t="s">
        <v>224</v>
      </c>
      <c r="H760" t="s">
        <v>64</v>
      </c>
      <c r="I760" t="s">
        <v>108</v>
      </c>
      <c r="J760" t="s">
        <v>109</v>
      </c>
      <c r="K760">
        <v>1</v>
      </c>
      <c r="L760">
        <v>6858.25</v>
      </c>
      <c r="M760">
        <v>0.05</v>
      </c>
      <c r="N760">
        <v>6515.34</v>
      </c>
      <c r="O760">
        <v>4519.21</v>
      </c>
      <c r="P760">
        <v>1996.13</v>
      </c>
      <c r="Q760" t="s">
        <v>31</v>
      </c>
      <c r="R760">
        <v>0.30637388071842758</v>
      </c>
      <c r="S760">
        <v>2024</v>
      </c>
      <c r="T760" t="s">
        <v>1519</v>
      </c>
      <c r="U760">
        <v>8</v>
      </c>
      <c r="V760" t="s">
        <v>1385</v>
      </c>
    </row>
    <row r="761" spans="1:22" x14ac:dyDescent="0.3">
      <c r="A761" t="s">
        <v>1579</v>
      </c>
      <c r="B761" s="1">
        <v>45518</v>
      </c>
      <c r="C761" t="s">
        <v>1124</v>
      </c>
      <c r="D761" t="s">
        <v>609</v>
      </c>
      <c r="E761" t="s">
        <v>120</v>
      </c>
      <c r="F761" t="s">
        <v>121</v>
      </c>
      <c r="G761" t="s">
        <v>130</v>
      </c>
      <c r="H761" t="s">
        <v>43</v>
      </c>
      <c r="I761" t="s">
        <v>51</v>
      </c>
      <c r="J761" t="s">
        <v>96</v>
      </c>
      <c r="K761">
        <v>2</v>
      </c>
      <c r="L761">
        <v>482.7</v>
      </c>
      <c r="M761">
        <v>0.15</v>
      </c>
      <c r="N761">
        <v>820.59</v>
      </c>
      <c r="O761">
        <v>431.01</v>
      </c>
      <c r="P761">
        <v>389.58</v>
      </c>
      <c r="Q761" t="s">
        <v>46</v>
      </c>
      <c r="R761">
        <v>0.47475596826673488</v>
      </c>
      <c r="S761">
        <v>2024</v>
      </c>
      <c r="T761" t="s">
        <v>1519</v>
      </c>
      <c r="U761">
        <v>8</v>
      </c>
      <c r="V761" t="s">
        <v>1385</v>
      </c>
    </row>
    <row r="762" spans="1:22" x14ac:dyDescent="0.3">
      <c r="A762" t="s">
        <v>1580</v>
      </c>
      <c r="B762" s="1">
        <v>45518</v>
      </c>
      <c r="C762" t="s">
        <v>811</v>
      </c>
      <c r="D762" t="s">
        <v>56</v>
      </c>
      <c r="E762" t="s">
        <v>61</v>
      </c>
      <c r="F762" t="s">
        <v>78</v>
      </c>
      <c r="G762" t="s">
        <v>216</v>
      </c>
      <c r="H762" t="s">
        <v>43</v>
      </c>
      <c r="I762" t="s">
        <v>44</v>
      </c>
      <c r="J762" t="s">
        <v>248</v>
      </c>
      <c r="K762">
        <v>3</v>
      </c>
      <c r="L762">
        <v>285.17</v>
      </c>
      <c r="M762">
        <v>0.15</v>
      </c>
      <c r="N762">
        <v>727.18</v>
      </c>
      <c r="O762">
        <v>362.81</v>
      </c>
      <c r="P762">
        <v>364.37</v>
      </c>
      <c r="Q762" t="s">
        <v>46</v>
      </c>
      <c r="R762">
        <v>0.50107263676118707</v>
      </c>
      <c r="S762">
        <v>2024</v>
      </c>
      <c r="T762" t="s">
        <v>1519</v>
      </c>
      <c r="U762">
        <v>8</v>
      </c>
      <c r="V762" t="s">
        <v>1385</v>
      </c>
    </row>
    <row r="763" spans="1:22" x14ac:dyDescent="0.3">
      <c r="A763" t="s">
        <v>1581</v>
      </c>
      <c r="B763" s="1">
        <v>45518</v>
      </c>
      <c r="C763" t="s">
        <v>1582</v>
      </c>
      <c r="D763" t="s">
        <v>972</v>
      </c>
      <c r="E763" t="s">
        <v>61</v>
      </c>
      <c r="F763" t="s">
        <v>71</v>
      </c>
      <c r="G763" t="s">
        <v>201</v>
      </c>
      <c r="H763" t="s">
        <v>28</v>
      </c>
      <c r="I763" t="s">
        <v>91</v>
      </c>
      <c r="J763" t="s">
        <v>126</v>
      </c>
      <c r="K763">
        <v>2</v>
      </c>
      <c r="L763">
        <v>2000.42</v>
      </c>
      <c r="M763">
        <v>0.2</v>
      </c>
      <c r="N763">
        <v>3200.67</v>
      </c>
      <c r="O763">
        <v>2320.1799999999998</v>
      </c>
      <c r="P763">
        <v>880.49</v>
      </c>
      <c r="Q763" t="s">
        <v>31</v>
      </c>
      <c r="R763">
        <v>0.27509552687406069</v>
      </c>
      <c r="S763">
        <v>2024</v>
      </c>
      <c r="T763" t="s">
        <v>1519</v>
      </c>
      <c r="U763">
        <v>8</v>
      </c>
      <c r="V763" t="s">
        <v>1385</v>
      </c>
    </row>
    <row r="764" spans="1:22" x14ac:dyDescent="0.3">
      <c r="A764" t="s">
        <v>1583</v>
      </c>
      <c r="B764" s="1">
        <v>45518</v>
      </c>
      <c r="C764" t="s">
        <v>805</v>
      </c>
      <c r="D764" t="s">
        <v>798</v>
      </c>
      <c r="E764" t="s">
        <v>41</v>
      </c>
      <c r="F764" t="s">
        <v>42</v>
      </c>
      <c r="G764" t="s">
        <v>42</v>
      </c>
      <c r="H764" t="s">
        <v>28</v>
      </c>
      <c r="I764" t="s">
        <v>73</v>
      </c>
      <c r="J764" t="s">
        <v>80</v>
      </c>
      <c r="K764">
        <v>3</v>
      </c>
      <c r="L764">
        <v>751.42</v>
      </c>
      <c r="M764">
        <v>0.05</v>
      </c>
      <c r="N764">
        <v>2141.5500000000002</v>
      </c>
      <c r="O764">
        <v>1453.25</v>
      </c>
      <c r="P764">
        <v>688.3</v>
      </c>
      <c r="Q764" t="s">
        <v>46</v>
      </c>
      <c r="R764">
        <v>0.32140272232728628</v>
      </c>
      <c r="S764">
        <v>2024</v>
      </c>
      <c r="T764" t="s">
        <v>1519</v>
      </c>
      <c r="U764">
        <v>8</v>
      </c>
      <c r="V764" t="s">
        <v>1385</v>
      </c>
    </row>
    <row r="765" spans="1:22" x14ac:dyDescent="0.3">
      <c r="A765" t="s">
        <v>1584</v>
      </c>
      <c r="B765" s="1">
        <v>45519</v>
      </c>
      <c r="C765" t="s">
        <v>948</v>
      </c>
      <c r="D765" t="s">
        <v>1585</v>
      </c>
      <c r="E765" t="s">
        <v>61</v>
      </c>
      <c r="F765" t="s">
        <v>62</v>
      </c>
      <c r="G765" t="s">
        <v>134</v>
      </c>
      <c r="H765" t="s">
        <v>84</v>
      </c>
      <c r="I765" t="s">
        <v>85</v>
      </c>
      <c r="J765" t="s">
        <v>145</v>
      </c>
      <c r="K765">
        <v>2</v>
      </c>
      <c r="L765">
        <v>3123.02</v>
      </c>
      <c r="M765">
        <v>0.1</v>
      </c>
      <c r="N765">
        <v>5621.44</v>
      </c>
      <c r="O765">
        <v>3693.23</v>
      </c>
      <c r="P765">
        <v>1928.21</v>
      </c>
      <c r="Q765" t="s">
        <v>31</v>
      </c>
      <c r="R765">
        <v>0.34300997609153527</v>
      </c>
      <c r="S765">
        <v>2024</v>
      </c>
      <c r="T765" t="s">
        <v>1519</v>
      </c>
      <c r="U765">
        <v>8</v>
      </c>
      <c r="V765" t="s">
        <v>1385</v>
      </c>
    </row>
    <row r="766" spans="1:22" x14ac:dyDescent="0.3">
      <c r="A766" t="s">
        <v>1586</v>
      </c>
      <c r="B766" s="1">
        <v>45519</v>
      </c>
      <c r="C766" t="s">
        <v>922</v>
      </c>
      <c r="D766" t="s">
        <v>978</v>
      </c>
      <c r="E766" t="s">
        <v>41</v>
      </c>
      <c r="F766" t="s">
        <v>42</v>
      </c>
      <c r="G766" t="s">
        <v>50</v>
      </c>
      <c r="H766" t="s">
        <v>64</v>
      </c>
      <c r="I766" t="s">
        <v>65</v>
      </c>
      <c r="J766" t="s">
        <v>66</v>
      </c>
      <c r="K766">
        <v>2</v>
      </c>
      <c r="L766">
        <v>4857.03</v>
      </c>
      <c r="M766">
        <v>0.1</v>
      </c>
      <c r="N766">
        <v>8742.65</v>
      </c>
      <c r="O766">
        <v>6093.62</v>
      </c>
      <c r="P766">
        <v>2649.03</v>
      </c>
      <c r="Q766" t="s">
        <v>46</v>
      </c>
      <c r="R766">
        <v>0.30300080639165472</v>
      </c>
      <c r="S766">
        <v>2024</v>
      </c>
      <c r="T766" t="s">
        <v>1519</v>
      </c>
      <c r="U766">
        <v>8</v>
      </c>
      <c r="V766" t="s">
        <v>1385</v>
      </c>
    </row>
    <row r="767" spans="1:22" x14ac:dyDescent="0.3">
      <c r="A767" t="s">
        <v>1587</v>
      </c>
      <c r="B767" s="1">
        <v>45519</v>
      </c>
      <c r="C767" t="s">
        <v>1588</v>
      </c>
      <c r="D767" t="s">
        <v>1263</v>
      </c>
      <c r="E767" t="s">
        <v>61</v>
      </c>
      <c r="F767" t="s">
        <v>71</v>
      </c>
      <c r="G767" t="s">
        <v>100</v>
      </c>
      <c r="H767" t="s">
        <v>64</v>
      </c>
      <c r="I767" t="s">
        <v>108</v>
      </c>
      <c r="J767" t="s">
        <v>155</v>
      </c>
      <c r="K767">
        <v>5</v>
      </c>
      <c r="L767">
        <v>8989.4599999999991</v>
      </c>
      <c r="M767">
        <v>0</v>
      </c>
      <c r="N767">
        <v>44947.3</v>
      </c>
      <c r="O767">
        <v>31385.56</v>
      </c>
      <c r="P767">
        <v>13561.74</v>
      </c>
      <c r="Q767" t="s">
        <v>46</v>
      </c>
      <c r="R767">
        <v>0.30172535391447308</v>
      </c>
      <c r="S767">
        <v>2024</v>
      </c>
      <c r="T767" t="s">
        <v>1519</v>
      </c>
      <c r="U767">
        <v>8</v>
      </c>
      <c r="V767" t="s">
        <v>1385</v>
      </c>
    </row>
    <row r="768" spans="1:22" x14ac:dyDescent="0.3">
      <c r="A768" t="s">
        <v>1589</v>
      </c>
      <c r="B768" s="1">
        <v>45519</v>
      </c>
      <c r="C768" t="s">
        <v>1001</v>
      </c>
      <c r="D768" t="s">
        <v>550</v>
      </c>
      <c r="E768" t="s">
        <v>41</v>
      </c>
      <c r="F768" t="s">
        <v>42</v>
      </c>
      <c r="G768" t="s">
        <v>50</v>
      </c>
      <c r="H768" t="s">
        <v>43</v>
      </c>
      <c r="I768" t="s">
        <v>44</v>
      </c>
      <c r="J768" t="s">
        <v>45</v>
      </c>
      <c r="K768">
        <v>1</v>
      </c>
      <c r="L768">
        <v>244</v>
      </c>
      <c r="M768">
        <v>0.05</v>
      </c>
      <c r="N768">
        <v>231.8</v>
      </c>
      <c r="O768">
        <v>93.71</v>
      </c>
      <c r="P768">
        <v>138.09</v>
      </c>
      <c r="Q768" t="s">
        <v>31</v>
      </c>
      <c r="R768">
        <v>0.59572907679033649</v>
      </c>
      <c r="S768">
        <v>2024</v>
      </c>
      <c r="T768" t="s">
        <v>1519</v>
      </c>
      <c r="U768">
        <v>8</v>
      </c>
      <c r="V768" t="s">
        <v>1385</v>
      </c>
    </row>
    <row r="769" spans="1:22" x14ac:dyDescent="0.3">
      <c r="A769" t="s">
        <v>1590</v>
      </c>
      <c r="B769" s="1">
        <v>45520</v>
      </c>
      <c r="C769" t="s">
        <v>1591</v>
      </c>
      <c r="D769" t="s">
        <v>997</v>
      </c>
      <c r="E769" t="s">
        <v>120</v>
      </c>
      <c r="F769" t="s">
        <v>121</v>
      </c>
      <c r="G769" t="s">
        <v>122</v>
      </c>
      <c r="H769" t="s">
        <v>84</v>
      </c>
      <c r="I769" t="s">
        <v>85</v>
      </c>
      <c r="J769" t="s">
        <v>145</v>
      </c>
      <c r="K769">
        <v>4</v>
      </c>
      <c r="L769">
        <v>3286.65</v>
      </c>
      <c r="M769">
        <v>0.05</v>
      </c>
      <c r="N769">
        <v>12489.27</v>
      </c>
      <c r="O769">
        <v>7468.86</v>
      </c>
      <c r="P769">
        <v>5020.41</v>
      </c>
      <c r="Q769" t="s">
        <v>31</v>
      </c>
      <c r="R769">
        <v>0.40197785779312961</v>
      </c>
      <c r="S769">
        <v>2024</v>
      </c>
      <c r="T769" t="s">
        <v>1519</v>
      </c>
      <c r="U769">
        <v>8</v>
      </c>
      <c r="V769" t="s">
        <v>1385</v>
      </c>
    </row>
    <row r="770" spans="1:22" x14ac:dyDescent="0.3">
      <c r="A770" t="s">
        <v>1592</v>
      </c>
      <c r="B770" s="1">
        <v>45520</v>
      </c>
      <c r="C770" t="s">
        <v>1243</v>
      </c>
      <c r="D770" t="s">
        <v>901</v>
      </c>
      <c r="E770" t="s">
        <v>61</v>
      </c>
      <c r="F770" t="s">
        <v>71</v>
      </c>
      <c r="G770" t="s">
        <v>72</v>
      </c>
      <c r="H770" t="s">
        <v>28</v>
      </c>
      <c r="I770" t="s">
        <v>91</v>
      </c>
      <c r="J770" t="s">
        <v>92</v>
      </c>
      <c r="K770">
        <v>2</v>
      </c>
      <c r="L770">
        <v>3136.17</v>
      </c>
      <c r="M770">
        <v>0.1</v>
      </c>
      <c r="N770">
        <v>5645.11</v>
      </c>
      <c r="O770">
        <v>3144.62</v>
      </c>
      <c r="P770">
        <v>2500.4899999999998</v>
      </c>
      <c r="Q770" t="s">
        <v>31</v>
      </c>
      <c r="R770">
        <v>0.44294796735581771</v>
      </c>
      <c r="S770">
        <v>2024</v>
      </c>
      <c r="T770" t="s">
        <v>1519</v>
      </c>
      <c r="U770">
        <v>8</v>
      </c>
      <c r="V770" t="s">
        <v>1385</v>
      </c>
    </row>
    <row r="771" spans="1:22" x14ac:dyDescent="0.3">
      <c r="A771" t="s">
        <v>1593</v>
      </c>
      <c r="B771" s="1">
        <v>45520</v>
      </c>
      <c r="C771" t="s">
        <v>417</v>
      </c>
      <c r="D771" t="s">
        <v>1138</v>
      </c>
      <c r="E771" t="s">
        <v>61</v>
      </c>
      <c r="F771" t="s">
        <v>71</v>
      </c>
      <c r="G771" t="s">
        <v>317</v>
      </c>
      <c r="H771" t="s">
        <v>28</v>
      </c>
      <c r="I771" t="s">
        <v>29</v>
      </c>
      <c r="J771" t="s">
        <v>57</v>
      </c>
      <c r="K771">
        <v>1</v>
      </c>
      <c r="L771">
        <v>15993.24</v>
      </c>
      <c r="M771">
        <v>0</v>
      </c>
      <c r="N771">
        <v>15993.24</v>
      </c>
      <c r="O771">
        <v>11696.01</v>
      </c>
      <c r="P771">
        <v>4297.2299999999996</v>
      </c>
      <c r="Q771" t="s">
        <v>67</v>
      </c>
      <c r="R771">
        <v>0.26869039669260258</v>
      </c>
      <c r="S771">
        <v>2024</v>
      </c>
      <c r="T771" t="s">
        <v>1519</v>
      </c>
      <c r="U771">
        <v>8</v>
      </c>
      <c r="V771" t="s">
        <v>1385</v>
      </c>
    </row>
    <row r="772" spans="1:22" x14ac:dyDescent="0.3">
      <c r="A772" t="s">
        <v>1594</v>
      </c>
      <c r="B772" s="1">
        <v>45520</v>
      </c>
      <c r="C772" t="s">
        <v>1518</v>
      </c>
      <c r="D772" t="s">
        <v>587</v>
      </c>
      <c r="E772" t="s">
        <v>61</v>
      </c>
      <c r="F772" t="s">
        <v>71</v>
      </c>
      <c r="G772" t="s">
        <v>100</v>
      </c>
      <c r="H772" t="s">
        <v>84</v>
      </c>
      <c r="I772" t="s">
        <v>138</v>
      </c>
      <c r="J772" t="s">
        <v>220</v>
      </c>
      <c r="K772">
        <v>6</v>
      </c>
      <c r="L772">
        <v>7094.92</v>
      </c>
      <c r="M772">
        <v>0.15</v>
      </c>
      <c r="N772">
        <v>36184.089999999997</v>
      </c>
      <c r="O772">
        <v>28621.53</v>
      </c>
      <c r="P772">
        <v>7562.56</v>
      </c>
      <c r="Q772" t="s">
        <v>53</v>
      </c>
      <c r="R772">
        <v>0.2090023543496603</v>
      </c>
      <c r="S772">
        <v>2024</v>
      </c>
      <c r="T772" t="s">
        <v>1519</v>
      </c>
      <c r="U772">
        <v>8</v>
      </c>
      <c r="V772" t="s">
        <v>1385</v>
      </c>
    </row>
    <row r="773" spans="1:22" x14ac:dyDescent="0.3">
      <c r="A773" t="s">
        <v>1595</v>
      </c>
      <c r="B773" s="1">
        <v>45521</v>
      </c>
      <c r="C773" t="s">
        <v>546</v>
      </c>
      <c r="D773" t="s">
        <v>313</v>
      </c>
      <c r="E773" t="s">
        <v>120</v>
      </c>
      <c r="F773" t="s">
        <v>121</v>
      </c>
      <c r="G773" t="s">
        <v>224</v>
      </c>
      <c r="H773" t="s">
        <v>28</v>
      </c>
      <c r="I773" t="s">
        <v>91</v>
      </c>
      <c r="J773" t="s">
        <v>92</v>
      </c>
      <c r="K773">
        <v>1</v>
      </c>
      <c r="L773">
        <v>2976.98</v>
      </c>
      <c r="M773">
        <v>0</v>
      </c>
      <c r="N773">
        <v>2976.98</v>
      </c>
      <c r="O773">
        <v>1523.63</v>
      </c>
      <c r="P773">
        <v>1453.35</v>
      </c>
      <c r="Q773" t="s">
        <v>46</v>
      </c>
      <c r="R773">
        <v>0.48819609134088898</v>
      </c>
      <c r="S773">
        <v>2024</v>
      </c>
      <c r="T773" t="s">
        <v>1519</v>
      </c>
      <c r="U773">
        <v>8</v>
      </c>
      <c r="V773" t="s">
        <v>1385</v>
      </c>
    </row>
    <row r="774" spans="1:22" x14ac:dyDescent="0.3">
      <c r="A774" t="s">
        <v>1596</v>
      </c>
      <c r="B774" s="1">
        <v>45521</v>
      </c>
      <c r="C774" t="s">
        <v>1405</v>
      </c>
      <c r="D774" t="s">
        <v>334</v>
      </c>
      <c r="E774" t="s">
        <v>25</v>
      </c>
      <c r="F774" t="s">
        <v>26</v>
      </c>
      <c r="G774" t="s">
        <v>171</v>
      </c>
      <c r="H774" t="s">
        <v>43</v>
      </c>
      <c r="I774" t="s">
        <v>51</v>
      </c>
      <c r="J774" t="s">
        <v>52</v>
      </c>
      <c r="K774">
        <v>2</v>
      </c>
      <c r="L774">
        <v>666.08</v>
      </c>
      <c r="M774">
        <v>0.2</v>
      </c>
      <c r="N774">
        <v>1065.73</v>
      </c>
      <c r="O774">
        <v>640.94000000000005</v>
      </c>
      <c r="P774">
        <v>424.79</v>
      </c>
      <c r="Q774" t="s">
        <v>31</v>
      </c>
      <c r="R774">
        <v>0.39859063740346989</v>
      </c>
      <c r="S774">
        <v>2024</v>
      </c>
      <c r="T774" t="s">
        <v>1519</v>
      </c>
      <c r="U774">
        <v>8</v>
      </c>
      <c r="V774" t="s">
        <v>1385</v>
      </c>
    </row>
    <row r="775" spans="1:22" x14ac:dyDescent="0.3">
      <c r="A775" t="s">
        <v>1597</v>
      </c>
      <c r="B775" s="1">
        <v>45521</v>
      </c>
      <c r="C775" t="s">
        <v>1598</v>
      </c>
      <c r="D775" t="s">
        <v>1235</v>
      </c>
      <c r="E775" t="s">
        <v>120</v>
      </c>
      <c r="F775" t="s">
        <v>121</v>
      </c>
      <c r="G775" t="s">
        <v>130</v>
      </c>
      <c r="H775" t="s">
        <v>43</v>
      </c>
      <c r="I775" t="s">
        <v>44</v>
      </c>
      <c r="J775" t="s">
        <v>45</v>
      </c>
      <c r="K775">
        <v>2</v>
      </c>
      <c r="L775">
        <v>240.18</v>
      </c>
      <c r="M775">
        <v>0.15</v>
      </c>
      <c r="N775">
        <v>408.31</v>
      </c>
      <c r="O775">
        <v>181.51</v>
      </c>
      <c r="P775">
        <v>226.8</v>
      </c>
      <c r="Q775" t="s">
        <v>67</v>
      </c>
      <c r="R775">
        <v>0.55546031201782964</v>
      </c>
      <c r="S775">
        <v>2024</v>
      </c>
      <c r="T775" t="s">
        <v>1519</v>
      </c>
      <c r="U775">
        <v>8</v>
      </c>
      <c r="V775" t="s">
        <v>1385</v>
      </c>
    </row>
    <row r="776" spans="1:22" x14ac:dyDescent="0.3">
      <c r="A776" t="s">
        <v>1599</v>
      </c>
      <c r="B776" s="1">
        <v>45521</v>
      </c>
      <c r="C776" t="s">
        <v>351</v>
      </c>
      <c r="D776" t="s">
        <v>474</v>
      </c>
      <c r="E776" t="s">
        <v>120</v>
      </c>
      <c r="F776" t="s">
        <v>121</v>
      </c>
      <c r="G776" t="s">
        <v>122</v>
      </c>
      <c r="H776" t="s">
        <v>84</v>
      </c>
      <c r="I776" t="s">
        <v>85</v>
      </c>
      <c r="J776" t="s">
        <v>145</v>
      </c>
      <c r="K776">
        <v>2</v>
      </c>
      <c r="L776">
        <v>3482.96</v>
      </c>
      <c r="M776">
        <v>0.05</v>
      </c>
      <c r="N776">
        <v>6617.62</v>
      </c>
      <c r="O776">
        <v>3969.51</v>
      </c>
      <c r="P776">
        <v>2648.11</v>
      </c>
      <c r="Q776" t="s">
        <v>31</v>
      </c>
      <c r="R776">
        <v>0.40016048065618759</v>
      </c>
      <c r="S776">
        <v>2024</v>
      </c>
      <c r="T776" t="s">
        <v>1519</v>
      </c>
      <c r="U776">
        <v>8</v>
      </c>
      <c r="V776" t="s">
        <v>1385</v>
      </c>
    </row>
    <row r="777" spans="1:22" x14ac:dyDescent="0.3">
      <c r="A777" t="s">
        <v>1600</v>
      </c>
      <c r="B777" s="1">
        <v>45522</v>
      </c>
      <c r="C777" t="s">
        <v>815</v>
      </c>
      <c r="D777" t="s">
        <v>313</v>
      </c>
      <c r="E777" t="s">
        <v>25</v>
      </c>
      <c r="F777" t="s">
        <v>26</v>
      </c>
      <c r="G777" t="s">
        <v>260</v>
      </c>
      <c r="H777" t="s">
        <v>64</v>
      </c>
      <c r="I777" t="s">
        <v>65</v>
      </c>
      <c r="J777" t="s">
        <v>232</v>
      </c>
      <c r="K777">
        <v>4</v>
      </c>
      <c r="L777">
        <v>4017.09</v>
      </c>
      <c r="M777">
        <v>0.1</v>
      </c>
      <c r="N777">
        <v>14461.52</v>
      </c>
      <c r="O777">
        <v>9757.7099999999991</v>
      </c>
      <c r="P777">
        <v>4703.8100000000004</v>
      </c>
      <c r="Q777" t="s">
        <v>46</v>
      </c>
      <c r="R777">
        <v>0.32526387267728429</v>
      </c>
      <c r="S777">
        <v>2024</v>
      </c>
      <c r="T777" t="s">
        <v>1519</v>
      </c>
      <c r="U777">
        <v>8</v>
      </c>
      <c r="V777" t="s">
        <v>1385</v>
      </c>
    </row>
    <row r="778" spans="1:22" x14ac:dyDescent="0.3">
      <c r="A778" t="s">
        <v>1601</v>
      </c>
      <c r="B778" s="1">
        <v>45522</v>
      </c>
      <c r="C778" t="s">
        <v>991</v>
      </c>
      <c r="D778" t="s">
        <v>704</v>
      </c>
      <c r="E778" t="s">
        <v>61</v>
      </c>
      <c r="F778" t="s">
        <v>78</v>
      </c>
      <c r="G778" t="s">
        <v>83</v>
      </c>
      <c r="H778" t="s">
        <v>84</v>
      </c>
      <c r="I778" t="s">
        <v>138</v>
      </c>
      <c r="J778" t="s">
        <v>139</v>
      </c>
      <c r="K778">
        <v>2</v>
      </c>
      <c r="L778">
        <v>12857.06</v>
      </c>
      <c r="M778">
        <v>0.15</v>
      </c>
      <c r="N778">
        <v>21857</v>
      </c>
      <c r="O778">
        <v>18287.09</v>
      </c>
      <c r="P778">
        <v>3569.91</v>
      </c>
      <c r="Q778" t="s">
        <v>31</v>
      </c>
      <c r="R778">
        <v>0.16333028320446541</v>
      </c>
      <c r="S778">
        <v>2024</v>
      </c>
      <c r="T778" t="s">
        <v>1519</v>
      </c>
      <c r="U778">
        <v>8</v>
      </c>
      <c r="V778" t="s">
        <v>1385</v>
      </c>
    </row>
    <row r="779" spans="1:22" x14ac:dyDescent="0.3">
      <c r="A779" t="s">
        <v>1602</v>
      </c>
      <c r="B779" s="1">
        <v>45523</v>
      </c>
      <c r="C779" t="s">
        <v>1553</v>
      </c>
      <c r="D779" t="s">
        <v>125</v>
      </c>
      <c r="E779" t="s">
        <v>25</v>
      </c>
      <c r="F779" t="s">
        <v>26</v>
      </c>
      <c r="G779" t="s">
        <v>260</v>
      </c>
      <c r="H779" t="s">
        <v>28</v>
      </c>
      <c r="I779" t="s">
        <v>91</v>
      </c>
      <c r="J779" t="s">
        <v>126</v>
      </c>
      <c r="K779">
        <v>5</v>
      </c>
      <c r="L779">
        <v>2051.83</v>
      </c>
      <c r="M779">
        <v>0.1</v>
      </c>
      <c r="N779">
        <v>9233.24</v>
      </c>
      <c r="O779">
        <v>6022.72</v>
      </c>
      <c r="P779">
        <v>3210.52</v>
      </c>
      <c r="Q779" t="s">
        <v>67</v>
      </c>
      <c r="R779">
        <v>0.34771326208351572</v>
      </c>
      <c r="S779">
        <v>2024</v>
      </c>
      <c r="T779" t="s">
        <v>1519</v>
      </c>
      <c r="U779">
        <v>8</v>
      </c>
      <c r="V779" t="s">
        <v>1385</v>
      </c>
    </row>
    <row r="780" spans="1:22" x14ac:dyDescent="0.3">
      <c r="A780" t="s">
        <v>1603</v>
      </c>
      <c r="B780" s="1">
        <v>45523</v>
      </c>
      <c r="C780" t="s">
        <v>537</v>
      </c>
      <c r="D780" t="s">
        <v>1490</v>
      </c>
      <c r="E780" t="s">
        <v>41</v>
      </c>
      <c r="F780" t="s">
        <v>42</v>
      </c>
      <c r="G780" t="s">
        <v>42</v>
      </c>
      <c r="H780" t="s">
        <v>84</v>
      </c>
      <c r="I780" t="s">
        <v>85</v>
      </c>
      <c r="J780" t="s">
        <v>86</v>
      </c>
      <c r="K780">
        <v>2</v>
      </c>
      <c r="L780">
        <v>1851.97</v>
      </c>
      <c r="M780">
        <v>0.15</v>
      </c>
      <c r="N780">
        <v>3148.35</v>
      </c>
      <c r="O780">
        <v>2049.48</v>
      </c>
      <c r="P780">
        <v>1098.8699999999999</v>
      </c>
      <c r="Q780" t="s">
        <v>46</v>
      </c>
      <c r="R780">
        <v>0.3490304445185573</v>
      </c>
      <c r="S780">
        <v>2024</v>
      </c>
      <c r="T780" t="s">
        <v>1519</v>
      </c>
      <c r="U780">
        <v>8</v>
      </c>
      <c r="V780" t="s">
        <v>1385</v>
      </c>
    </row>
    <row r="781" spans="1:22" x14ac:dyDescent="0.3">
      <c r="A781" t="s">
        <v>1604</v>
      </c>
      <c r="B781" s="1">
        <v>45523</v>
      </c>
      <c r="C781" t="s">
        <v>994</v>
      </c>
      <c r="D781" t="s">
        <v>638</v>
      </c>
      <c r="E781" t="s">
        <v>61</v>
      </c>
      <c r="F781" t="s">
        <v>71</v>
      </c>
      <c r="G781" t="s">
        <v>317</v>
      </c>
      <c r="H781" t="s">
        <v>28</v>
      </c>
      <c r="I781" t="s">
        <v>73</v>
      </c>
      <c r="J781" t="s">
        <v>80</v>
      </c>
      <c r="K781">
        <v>5</v>
      </c>
      <c r="L781">
        <v>788.56</v>
      </c>
      <c r="M781">
        <v>0</v>
      </c>
      <c r="N781">
        <v>3942.8</v>
      </c>
      <c r="O781">
        <v>2357.3200000000002</v>
      </c>
      <c r="P781">
        <v>1585.48</v>
      </c>
      <c r="Q781" t="s">
        <v>53</v>
      </c>
      <c r="R781">
        <v>0.40212032058435632</v>
      </c>
      <c r="S781">
        <v>2024</v>
      </c>
      <c r="T781" t="s">
        <v>1519</v>
      </c>
      <c r="U781">
        <v>8</v>
      </c>
      <c r="V781" t="s">
        <v>1385</v>
      </c>
    </row>
    <row r="782" spans="1:22" x14ac:dyDescent="0.3">
      <c r="A782" t="s">
        <v>1605</v>
      </c>
      <c r="B782" s="1">
        <v>45524</v>
      </c>
      <c r="C782" t="s">
        <v>1606</v>
      </c>
      <c r="D782" t="s">
        <v>116</v>
      </c>
      <c r="E782" t="s">
        <v>120</v>
      </c>
      <c r="F782" t="s">
        <v>121</v>
      </c>
      <c r="G782" t="s">
        <v>122</v>
      </c>
      <c r="H782" t="s">
        <v>28</v>
      </c>
      <c r="I782" t="s">
        <v>29</v>
      </c>
      <c r="J782" t="s">
        <v>57</v>
      </c>
      <c r="K782">
        <v>3</v>
      </c>
      <c r="L782">
        <v>15738.82</v>
      </c>
      <c r="M782">
        <v>0.15</v>
      </c>
      <c r="N782">
        <v>40133.99</v>
      </c>
      <c r="O782">
        <v>36082.26</v>
      </c>
      <c r="P782">
        <v>4051.73</v>
      </c>
      <c r="Q782" t="s">
        <v>46</v>
      </c>
      <c r="R782">
        <v>0.10095507573505649</v>
      </c>
      <c r="S782">
        <v>2024</v>
      </c>
      <c r="T782" t="s">
        <v>1519</v>
      </c>
      <c r="U782">
        <v>8</v>
      </c>
      <c r="V782" t="s">
        <v>1385</v>
      </c>
    </row>
    <row r="783" spans="1:22" x14ac:dyDescent="0.3">
      <c r="A783" t="s">
        <v>1607</v>
      </c>
      <c r="B783" s="1">
        <v>45524</v>
      </c>
      <c r="C783" t="s">
        <v>1608</v>
      </c>
      <c r="D783" t="s">
        <v>385</v>
      </c>
      <c r="E783" t="s">
        <v>120</v>
      </c>
      <c r="F783" t="s">
        <v>121</v>
      </c>
      <c r="G783" t="s">
        <v>130</v>
      </c>
      <c r="H783" t="s">
        <v>28</v>
      </c>
      <c r="I783" t="s">
        <v>73</v>
      </c>
      <c r="J783" t="s">
        <v>80</v>
      </c>
      <c r="K783">
        <v>4</v>
      </c>
      <c r="L783">
        <v>785.13</v>
      </c>
      <c r="M783">
        <v>0.1</v>
      </c>
      <c r="N783">
        <v>2826.47</v>
      </c>
      <c r="O783">
        <v>1962</v>
      </c>
      <c r="P783">
        <v>864.47</v>
      </c>
      <c r="Q783" t="s">
        <v>53</v>
      </c>
      <c r="R783">
        <v>0.3058479304574257</v>
      </c>
      <c r="S783">
        <v>2024</v>
      </c>
      <c r="T783" t="s">
        <v>1519</v>
      </c>
      <c r="U783">
        <v>8</v>
      </c>
      <c r="V783" t="s">
        <v>1385</v>
      </c>
    </row>
    <row r="784" spans="1:22" x14ac:dyDescent="0.3">
      <c r="A784" t="s">
        <v>1609</v>
      </c>
      <c r="B784" s="1">
        <v>45525</v>
      </c>
      <c r="C784" t="s">
        <v>178</v>
      </c>
      <c r="D784" t="s">
        <v>1044</v>
      </c>
      <c r="E784" t="s">
        <v>120</v>
      </c>
      <c r="F784" t="s">
        <v>121</v>
      </c>
      <c r="G784" t="s">
        <v>224</v>
      </c>
      <c r="H784" t="s">
        <v>28</v>
      </c>
      <c r="I784" t="s">
        <v>91</v>
      </c>
      <c r="J784" t="s">
        <v>126</v>
      </c>
      <c r="K784">
        <v>4</v>
      </c>
      <c r="L784">
        <v>1983.67</v>
      </c>
      <c r="M784">
        <v>0.1</v>
      </c>
      <c r="N784">
        <v>7141.21</v>
      </c>
      <c r="O784">
        <v>4656.9799999999996</v>
      </c>
      <c r="P784">
        <v>2484.23</v>
      </c>
      <c r="Q784" t="s">
        <v>31</v>
      </c>
      <c r="R784">
        <v>0.34787241937990898</v>
      </c>
      <c r="S784">
        <v>2024</v>
      </c>
      <c r="T784" t="s">
        <v>1519</v>
      </c>
      <c r="U784">
        <v>8</v>
      </c>
      <c r="V784" t="s">
        <v>1385</v>
      </c>
    </row>
    <row r="785" spans="1:22" x14ac:dyDescent="0.3">
      <c r="A785" t="s">
        <v>1610</v>
      </c>
      <c r="B785" s="1">
        <v>45525</v>
      </c>
      <c r="C785" t="s">
        <v>1611</v>
      </c>
      <c r="D785" t="s">
        <v>1235</v>
      </c>
      <c r="E785" t="s">
        <v>25</v>
      </c>
      <c r="F785" t="s">
        <v>26</v>
      </c>
      <c r="G785" t="s">
        <v>37</v>
      </c>
      <c r="H785" t="s">
        <v>84</v>
      </c>
      <c r="I785" t="s">
        <v>138</v>
      </c>
      <c r="J785" t="s">
        <v>220</v>
      </c>
      <c r="K785">
        <v>4</v>
      </c>
      <c r="L785">
        <v>7149.33</v>
      </c>
      <c r="M785">
        <v>0</v>
      </c>
      <c r="N785">
        <v>28597.32</v>
      </c>
      <c r="O785">
        <v>18029.52</v>
      </c>
      <c r="P785">
        <v>10567.8</v>
      </c>
      <c r="Q785" t="s">
        <v>31</v>
      </c>
      <c r="R785">
        <v>0.3695381245515314</v>
      </c>
      <c r="S785">
        <v>2024</v>
      </c>
      <c r="T785" t="s">
        <v>1519</v>
      </c>
      <c r="U785">
        <v>8</v>
      </c>
      <c r="V785" t="s">
        <v>1385</v>
      </c>
    </row>
    <row r="786" spans="1:22" x14ac:dyDescent="0.3">
      <c r="A786" t="s">
        <v>1612</v>
      </c>
      <c r="B786" s="1">
        <v>45526</v>
      </c>
      <c r="C786" t="s">
        <v>434</v>
      </c>
      <c r="D786" t="s">
        <v>1613</v>
      </c>
      <c r="E786" t="s">
        <v>61</v>
      </c>
      <c r="F786" t="s">
        <v>71</v>
      </c>
      <c r="G786" t="s">
        <v>72</v>
      </c>
      <c r="H786" t="s">
        <v>43</v>
      </c>
      <c r="I786" t="s">
        <v>44</v>
      </c>
      <c r="J786" t="s">
        <v>45</v>
      </c>
      <c r="K786">
        <v>3</v>
      </c>
      <c r="L786">
        <v>247.05</v>
      </c>
      <c r="M786">
        <v>0.1</v>
      </c>
      <c r="N786">
        <v>667.04</v>
      </c>
      <c r="O786">
        <v>275.52</v>
      </c>
      <c r="P786">
        <v>391.52</v>
      </c>
      <c r="Q786" t="s">
        <v>67</v>
      </c>
      <c r="R786">
        <v>0.58695130726792999</v>
      </c>
      <c r="S786">
        <v>2024</v>
      </c>
      <c r="T786" t="s">
        <v>1519</v>
      </c>
      <c r="U786">
        <v>8</v>
      </c>
      <c r="V786" t="s">
        <v>1385</v>
      </c>
    </row>
    <row r="787" spans="1:22" x14ac:dyDescent="0.3">
      <c r="A787" t="s">
        <v>1614</v>
      </c>
      <c r="B787" s="1">
        <v>45526</v>
      </c>
      <c r="C787" t="s">
        <v>1221</v>
      </c>
      <c r="D787" t="s">
        <v>310</v>
      </c>
      <c r="E787" t="s">
        <v>61</v>
      </c>
      <c r="F787" t="s">
        <v>71</v>
      </c>
      <c r="G787" t="s">
        <v>317</v>
      </c>
      <c r="H787" t="s">
        <v>64</v>
      </c>
      <c r="I787" t="s">
        <v>65</v>
      </c>
      <c r="J787" t="s">
        <v>232</v>
      </c>
      <c r="K787">
        <v>3</v>
      </c>
      <c r="L787">
        <v>4010.06</v>
      </c>
      <c r="M787">
        <v>0.15</v>
      </c>
      <c r="N787">
        <v>10225.65</v>
      </c>
      <c r="O787">
        <v>7366.55</v>
      </c>
      <c r="P787">
        <v>2859.1</v>
      </c>
      <c r="Q787" t="s">
        <v>67</v>
      </c>
      <c r="R787">
        <v>0.27960080777261098</v>
      </c>
      <c r="S787">
        <v>2024</v>
      </c>
      <c r="T787" t="s">
        <v>1519</v>
      </c>
      <c r="U787">
        <v>8</v>
      </c>
      <c r="V787" t="s">
        <v>1385</v>
      </c>
    </row>
    <row r="788" spans="1:22" x14ac:dyDescent="0.3">
      <c r="A788" t="s">
        <v>1615</v>
      </c>
      <c r="B788" s="1">
        <v>45526</v>
      </c>
      <c r="C788" t="s">
        <v>651</v>
      </c>
      <c r="D788" t="s">
        <v>680</v>
      </c>
      <c r="E788" t="s">
        <v>61</v>
      </c>
      <c r="F788" t="s">
        <v>71</v>
      </c>
      <c r="G788" t="s">
        <v>201</v>
      </c>
      <c r="H788" t="s">
        <v>64</v>
      </c>
      <c r="I788" t="s">
        <v>108</v>
      </c>
      <c r="J788" t="s">
        <v>155</v>
      </c>
      <c r="K788">
        <v>2</v>
      </c>
      <c r="L788">
        <v>8085.58</v>
      </c>
      <c r="M788">
        <v>0.05</v>
      </c>
      <c r="N788">
        <v>15362.6</v>
      </c>
      <c r="O788">
        <v>10702.62</v>
      </c>
      <c r="P788">
        <v>4659.9799999999996</v>
      </c>
      <c r="Q788" t="s">
        <v>31</v>
      </c>
      <c r="R788">
        <v>0.30333276919271468</v>
      </c>
      <c r="S788">
        <v>2024</v>
      </c>
      <c r="T788" t="s">
        <v>1519</v>
      </c>
      <c r="U788">
        <v>8</v>
      </c>
      <c r="V788" t="s">
        <v>1385</v>
      </c>
    </row>
    <row r="789" spans="1:22" x14ac:dyDescent="0.3">
      <c r="A789" t="s">
        <v>1616</v>
      </c>
      <c r="B789" s="1">
        <v>45526</v>
      </c>
      <c r="C789" t="s">
        <v>853</v>
      </c>
      <c r="D789" t="s">
        <v>209</v>
      </c>
      <c r="E789" t="s">
        <v>61</v>
      </c>
      <c r="F789" t="s">
        <v>78</v>
      </c>
      <c r="G789" t="s">
        <v>83</v>
      </c>
      <c r="H789" t="s">
        <v>43</v>
      </c>
      <c r="I789" t="s">
        <v>44</v>
      </c>
      <c r="J789" t="s">
        <v>248</v>
      </c>
      <c r="K789">
        <v>4</v>
      </c>
      <c r="L789">
        <v>292.19</v>
      </c>
      <c r="M789">
        <v>0</v>
      </c>
      <c r="N789">
        <v>1168.76</v>
      </c>
      <c r="O789">
        <v>501.77</v>
      </c>
      <c r="P789">
        <v>666.99</v>
      </c>
      <c r="Q789" t="s">
        <v>31</v>
      </c>
      <c r="R789">
        <v>0.57068174817755568</v>
      </c>
      <c r="S789">
        <v>2024</v>
      </c>
      <c r="T789" t="s">
        <v>1519</v>
      </c>
      <c r="U789">
        <v>8</v>
      </c>
      <c r="V789" t="s">
        <v>1385</v>
      </c>
    </row>
    <row r="790" spans="1:22" x14ac:dyDescent="0.3">
      <c r="A790" t="s">
        <v>1617</v>
      </c>
      <c r="B790" s="1">
        <v>45526</v>
      </c>
      <c r="C790" t="s">
        <v>1196</v>
      </c>
      <c r="D790" t="s">
        <v>524</v>
      </c>
      <c r="E790" t="s">
        <v>61</v>
      </c>
      <c r="F790" t="s">
        <v>78</v>
      </c>
      <c r="G790" t="s">
        <v>83</v>
      </c>
      <c r="H790" t="s">
        <v>43</v>
      </c>
      <c r="I790" t="s">
        <v>44</v>
      </c>
      <c r="J790" t="s">
        <v>45</v>
      </c>
      <c r="K790">
        <v>3</v>
      </c>
      <c r="L790">
        <v>241.4</v>
      </c>
      <c r="M790">
        <v>0.1</v>
      </c>
      <c r="N790">
        <v>651.78</v>
      </c>
      <c r="O790">
        <v>282.04000000000002</v>
      </c>
      <c r="P790">
        <v>369.74</v>
      </c>
      <c r="Q790" t="s">
        <v>31</v>
      </c>
      <c r="R790">
        <v>0.56727730215716965</v>
      </c>
      <c r="S790">
        <v>2024</v>
      </c>
      <c r="T790" t="s">
        <v>1519</v>
      </c>
      <c r="U790">
        <v>8</v>
      </c>
      <c r="V790" t="s">
        <v>1385</v>
      </c>
    </row>
    <row r="791" spans="1:22" x14ac:dyDescent="0.3">
      <c r="A791" t="s">
        <v>1618</v>
      </c>
      <c r="B791" s="1">
        <v>45527</v>
      </c>
      <c r="C791" t="s">
        <v>1619</v>
      </c>
      <c r="D791" t="s">
        <v>1118</v>
      </c>
      <c r="E791" t="s">
        <v>61</v>
      </c>
      <c r="F791" t="s">
        <v>71</v>
      </c>
      <c r="G791" t="s">
        <v>317</v>
      </c>
      <c r="H791" t="s">
        <v>28</v>
      </c>
      <c r="I791" t="s">
        <v>29</v>
      </c>
      <c r="J791" t="s">
        <v>30</v>
      </c>
      <c r="K791">
        <v>3</v>
      </c>
      <c r="L791">
        <v>57327.13</v>
      </c>
      <c r="M791">
        <v>0</v>
      </c>
      <c r="N791">
        <v>171981.39</v>
      </c>
      <c r="O791">
        <v>146515.23000000001</v>
      </c>
      <c r="P791">
        <v>25466.16</v>
      </c>
      <c r="Q791" t="s">
        <v>53</v>
      </c>
      <c r="R791">
        <v>0.1480750911479434</v>
      </c>
      <c r="S791">
        <v>2024</v>
      </c>
      <c r="T791" t="s">
        <v>1519</v>
      </c>
      <c r="U791">
        <v>8</v>
      </c>
      <c r="V791" t="s">
        <v>1385</v>
      </c>
    </row>
    <row r="792" spans="1:22" x14ac:dyDescent="0.3">
      <c r="A792" t="s">
        <v>1620</v>
      </c>
      <c r="B792" s="1">
        <v>45527</v>
      </c>
      <c r="C792" t="s">
        <v>1621</v>
      </c>
      <c r="D792" t="s">
        <v>390</v>
      </c>
      <c r="E792" t="s">
        <v>41</v>
      </c>
      <c r="F792" t="s">
        <v>42</v>
      </c>
      <c r="G792" t="s">
        <v>42</v>
      </c>
      <c r="H792" t="s">
        <v>28</v>
      </c>
      <c r="I792" t="s">
        <v>29</v>
      </c>
      <c r="J792" t="s">
        <v>57</v>
      </c>
      <c r="K792">
        <v>3</v>
      </c>
      <c r="L792">
        <v>16549.669999999998</v>
      </c>
      <c r="M792">
        <v>0.05</v>
      </c>
      <c r="N792">
        <v>47166.559999999998</v>
      </c>
      <c r="O792">
        <v>35756.46</v>
      </c>
      <c r="P792">
        <v>11410.1</v>
      </c>
      <c r="Q792" t="s">
        <v>67</v>
      </c>
      <c r="R792">
        <v>0.24191079442723831</v>
      </c>
      <c r="S792">
        <v>2024</v>
      </c>
      <c r="T792" t="s">
        <v>1519</v>
      </c>
      <c r="U792">
        <v>8</v>
      </c>
      <c r="V792" t="s">
        <v>1385</v>
      </c>
    </row>
    <row r="793" spans="1:22" x14ac:dyDescent="0.3">
      <c r="A793" t="s">
        <v>1622</v>
      </c>
      <c r="B793" s="1">
        <v>45527</v>
      </c>
      <c r="C793" t="s">
        <v>443</v>
      </c>
      <c r="D793" t="s">
        <v>1455</v>
      </c>
      <c r="E793" t="s">
        <v>25</v>
      </c>
      <c r="F793" t="s">
        <v>26</v>
      </c>
      <c r="G793" t="s">
        <v>37</v>
      </c>
      <c r="H793" t="s">
        <v>84</v>
      </c>
      <c r="I793" t="s">
        <v>138</v>
      </c>
      <c r="J793" t="s">
        <v>139</v>
      </c>
      <c r="K793">
        <v>2</v>
      </c>
      <c r="L793">
        <v>13560.51</v>
      </c>
      <c r="M793">
        <v>0.1</v>
      </c>
      <c r="N793">
        <v>24408.92</v>
      </c>
      <c r="O793">
        <v>20203.45</v>
      </c>
      <c r="P793">
        <v>4205.47</v>
      </c>
      <c r="Q793" t="s">
        <v>113</v>
      </c>
      <c r="R793">
        <v>0.1722923423076482</v>
      </c>
      <c r="S793">
        <v>2024</v>
      </c>
      <c r="T793" t="s">
        <v>1519</v>
      </c>
      <c r="U793">
        <v>8</v>
      </c>
      <c r="V793" t="s">
        <v>1385</v>
      </c>
    </row>
    <row r="794" spans="1:22" x14ac:dyDescent="0.3">
      <c r="A794" t="s">
        <v>1623</v>
      </c>
      <c r="B794" s="1">
        <v>45527</v>
      </c>
      <c r="C794" t="s">
        <v>1624</v>
      </c>
      <c r="D794" t="s">
        <v>497</v>
      </c>
      <c r="E794" t="s">
        <v>61</v>
      </c>
      <c r="F794" t="s">
        <v>62</v>
      </c>
      <c r="G794" t="s">
        <v>90</v>
      </c>
      <c r="H794" t="s">
        <v>43</v>
      </c>
      <c r="I794" t="s">
        <v>51</v>
      </c>
      <c r="J794" t="s">
        <v>52</v>
      </c>
      <c r="K794">
        <v>3</v>
      </c>
      <c r="L794">
        <v>740.33</v>
      </c>
      <c r="M794">
        <v>0.15</v>
      </c>
      <c r="N794">
        <v>1887.84</v>
      </c>
      <c r="O794">
        <v>1036.9100000000001</v>
      </c>
      <c r="P794">
        <v>850.93</v>
      </c>
      <c r="Q794" t="s">
        <v>46</v>
      </c>
      <c r="R794">
        <v>0.45074264768200689</v>
      </c>
      <c r="S794">
        <v>2024</v>
      </c>
      <c r="T794" t="s">
        <v>1519</v>
      </c>
      <c r="U794">
        <v>8</v>
      </c>
      <c r="V794" t="s">
        <v>1385</v>
      </c>
    </row>
    <row r="795" spans="1:22" x14ac:dyDescent="0.3">
      <c r="A795" t="s">
        <v>1625</v>
      </c>
      <c r="B795" s="1">
        <v>45528</v>
      </c>
      <c r="C795" t="s">
        <v>1626</v>
      </c>
      <c r="D795" t="s">
        <v>929</v>
      </c>
      <c r="E795" t="s">
        <v>61</v>
      </c>
      <c r="F795" t="s">
        <v>78</v>
      </c>
      <c r="G795" t="s">
        <v>104</v>
      </c>
      <c r="H795" t="s">
        <v>28</v>
      </c>
      <c r="I795" t="s">
        <v>73</v>
      </c>
      <c r="J795" t="s">
        <v>74</v>
      </c>
      <c r="K795">
        <v>1</v>
      </c>
      <c r="L795">
        <v>2491.7399999999998</v>
      </c>
      <c r="M795">
        <v>0.05</v>
      </c>
      <c r="N795">
        <v>2367.15</v>
      </c>
      <c r="O795">
        <v>1413.8</v>
      </c>
      <c r="P795">
        <v>953.35</v>
      </c>
      <c r="Q795" t="s">
        <v>31</v>
      </c>
      <c r="R795">
        <v>0.40274169359778639</v>
      </c>
      <c r="S795">
        <v>2024</v>
      </c>
      <c r="T795" t="s">
        <v>1519</v>
      </c>
      <c r="U795">
        <v>8</v>
      </c>
      <c r="V795" t="s">
        <v>1385</v>
      </c>
    </row>
    <row r="796" spans="1:22" x14ac:dyDescent="0.3">
      <c r="A796" t="s">
        <v>1627</v>
      </c>
      <c r="B796" s="1">
        <v>45528</v>
      </c>
      <c r="C796" t="s">
        <v>1251</v>
      </c>
      <c r="D796" t="s">
        <v>683</v>
      </c>
      <c r="E796" t="s">
        <v>61</v>
      </c>
      <c r="F796" t="s">
        <v>62</v>
      </c>
      <c r="G796" t="s">
        <v>134</v>
      </c>
      <c r="H796" t="s">
        <v>28</v>
      </c>
      <c r="I796" t="s">
        <v>29</v>
      </c>
      <c r="J796" t="s">
        <v>57</v>
      </c>
      <c r="K796">
        <v>4</v>
      </c>
      <c r="L796">
        <v>15860.09</v>
      </c>
      <c r="M796">
        <v>0.1</v>
      </c>
      <c r="N796">
        <v>57096.32</v>
      </c>
      <c r="O796">
        <v>46232.160000000003</v>
      </c>
      <c r="P796">
        <v>10864.16</v>
      </c>
      <c r="Q796" t="s">
        <v>31</v>
      </c>
      <c r="R796">
        <v>0.19027776220954351</v>
      </c>
      <c r="S796">
        <v>2024</v>
      </c>
      <c r="T796" t="s">
        <v>1519</v>
      </c>
      <c r="U796">
        <v>8</v>
      </c>
      <c r="V796" t="s">
        <v>1385</v>
      </c>
    </row>
    <row r="797" spans="1:22" x14ac:dyDescent="0.3">
      <c r="A797" t="s">
        <v>1628</v>
      </c>
      <c r="B797" s="1">
        <v>45528</v>
      </c>
      <c r="C797" t="s">
        <v>1629</v>
      </c>
      <c r="D797" t="s">
        <v>688</v>
      </c>
      <c r="E797" t="s">
        <v>41</v>
      </c>
      <c r="F797" t="s">
        <v>42</v>
      </c>
      <c r="G797" t="s">
        <v>42</v>
      </c>
      <c r="H797" t="s">
        <v>43</v>
      </c>
      <c r="I797" t="s">
        <v>44</v>
      </c>
      <c r="J797" t="s">
        <v>45</v>
      </c>
      <c r="K797">
        <v>3</v>
      </c>
      <c r="L797">
        <v>244.1</v>
      </c>
      <c r="M797">
        <v>0.1</v>
      </c>
      <c r="N797">
        <v>659.07</v>
      </c>
      <c r="O797">
        <v>270.74</v>
      </c>
      <c r="P797">
        <v>388.33</v>
      </c>
      <c r="Q797" t="s">
        <v>113</v>
      </c>
      <c r="R797">
        <v>0.58920903697634541</v>
      </c>
      <c r="S797">
        <v>2024</v>
      </c>
      <c r="T797" t="s">
        <v>1519</v>
      </c>
      <c r="U797">
        <v>8</v>
      </c>
      <c r="V797" t="s">
        <v>1385</v>
      </c>
    </row>
    <row r="798" spans="1:22" x14ac:dyDescent="0.3">
      <c r="A798" t="s">
        <v>1630</v>
      </c>
      <c r="B798" s="1">
        <v>45528</v>
      </c>
      <c r="C798" t="s">
        <v>846</v>
      </c>
      <c r="D798" t="s">
        <v>292</v>
      </c>
      <c r="E798" t="s">
        <v>61</v>
      </c>
      <c r="F798" t="s">
        <v>78</v>
      </c>
      <c r="G798" t="s">
        <v>83</v>
      </c>
      <c r="H798" t="s">
        <v>28</v>
      </c>
      <c r="I798" t="s">
        <v>29</v>
      </c>
      <c r="J798" t="s">
        <v>30</v>
      </c>
      <c r="K798">
        <v>2</v>
      </c>
      <c r="L798">
        <v>58291.51</v>
      </c>
      <c r="M798">
        <v>0.05</v>
      </c>
      <c r="N798">
        <v>110753.87</v>
      </c>
      <c r="O798">
        <v>102976.98</v>
      </c>
      <c r="P798">
        <v>7776.89</v>
      </c>
      <c r="Q798" t="s">
        <v>31</v>
      </c>
      <c r="R798">
        <v>7.0217772074239945E-2</v>
      </c>
      <c r="S798">
        <v>2024</v>
      </c>
      <c r="T798" t="s">
        <v>1519</v>
      </c>
      <c r="U798">
        <v>8</v>
      </c>
      <c r="V798" t="s">
        <v>1385</v>
      </c>
    </row>
    <row r="799" spans="1:22" x14ac:dyDescent="0.3">
      <c r="A799" t="s">
        <v>1631</v>
      </c>
      <c r="B799" s="1">
        <v>45528</v>
      </c>
      <c r="C799" t="s">
        <v>716</v>
      </c>
      <c r="D799" t="s">
        <v>167</v>
      </c>
      <c r="E799" t="s">
        <v>120</v>
      </c>
      <c r="F799" t="s">
        <v>121</v>
      </c>
      <c r="G799" t="s">
        <v>122</v>
      </c>
      <c r="H799" t="s">
        <v>43</v>
      </c>
      <c r="I799" t="s">
        <v>51</v>
      </c>
      <c r="J799" t="s">
        <v>52</v>
      </c>
      <c r="K799">
        <v>3</v>
      </c>
      <c r="L799">
        <v>681.52</v>
      </c>
      <c r="M799">
        <v>0</v>
      </c>
      <c r="N799">
        <v>2044.56</v>
      </c>
      <c r="O799">
        <v>939.12</v>
      </c>
      <c r="P799">
        <v>1105.44</v>
      </c>
      <c r="Q799" t="s">
        <v>31</v>
      </c>
      <c r="R799">
        <v>0.5406737880032868</v>
      </c>
      <c r="S799">
        <v>2024</v>
      </c>
      <c r="T799" t="s">
        <v>1519</v>
      </c>
      <c r="U799">
        <v>8</v>
      </c>
      <c r="V799" t="s">
        <v>1385</v>
      </c>
    </row>
    <row r="800" spans="1:22" x14ac:dyDescent="0.3">
      <c r="A800" t="s">
        <v>1632</v>
      </c>
      <c r="B800" s="1">
        <v>45528</v>
      </c>
      <c r="C800" t="s">
        <v>338</v>
      </c>
      <c r="D800" t="s">
        <v>701</v>
      </c>
      <c r="E800" t="s">
        <v>120</v>
      </c>
      <c r="F800" t="s">
        <v>121</v>
      </c>
      <c r="G800" t="s">
        <v>130</v>
      </c>
      <c r="H800" t="s">
        <v>84</v>
      </c>
      <c r="I800" t="s">
        <v>85</v>
      </c>
      <c r="J800" t="s">
        <v>145</v>
      </c>
      <c r="K800">
        <v>3</v>
      </c>
      <c r="L800">
        <v>3154.33</v>
      </c>
      <c r="M800">
        <v>0.15</v>
      </c>
      <c r="N800">
        <v>8043.54</v>
      </c>
      <c r="O800">
        <v>5409.47</v>
      </c>
      <c r="P800">
        <v>2634.07</v>
      </c>
      <c r="Q800" t="s">
        <v>53</v>
      </c>
      <c r="R800">
        <v>0.32747645936987951</v>
      </c>
      <c r="S800">
        <v>2024</v>
      </c>
      <c r="T800" t="s">
        <v>1519</v>
      </c>
      <c r="U800">
        <v>8</v>
      </c>
      <c r="V800" t="s">
        <v>1385</v>
      </c>
    </row>
    <row r="801" spans="1:22" x14ac:dyDescent="0.3">
      <c r="A801" t="s">
        <v>1633</v>
      </c>
      <c r="B801" s="1">
        <v>45528</v>
      </c>
      <c r="C801" t="s">
        <v>436</v>
      </c>
      <c r="D801" t="s">
        <v>604</v>
      </c>
      <c r="E801" t="s">
        <v>120</v>
      </c>
      <c r="F801" t="s">
        <v>121</v>
      </c>
      <c r="G801" t="s">
        <v>224</v>
      </c>
      <c r="H801" t="s">
        <v>84</v>
      </c>
      <c r="I801" t="s">
        <v>85</v>
      </c>
      <c r="J801" t="s">
        <v>86</v>
      </c>
      <c r="K801">
        <v>4</v>
      </c>
      <c r="L801">
        <v>1835.25</v>
      </c>
      <c r="M801">
        <v>0.1</v>
      </c>
      <c r="N801">
        <v>6606.9</v>
      </c>
      <c r="O801">
        <v>4097.46</v>
      </c>
      <c r="P801">
        <v>2509.44</v>
      </c>
      <c r="Q801" t="s">
        <v>31</v>
      </c>
      <c r="R801">
        <v>0.37982109612677661</v>
      </c>
      <c r="S801">
        <v>2024</v>
      </c>
      <c r="T801" t="s">
        <v>1519</v>
      </c>
      <c r="U801">
        <v>8</v>
      </c>
      <c r="V801" t="s">
        <v>1385</v>
      </c>
    </row>
    <row r="802" spans="1:22" x14ac:dyDescent="0.3">
      <c r="A802" t="s">
        <v>1634</v>
      </c>
      <c r="B802" s="1">
        <v>45528</v>
      </c>
      <c r="C802" t="s">
        <v>1635</v>
      </c>
      <c r="D802" t="s">
        <v>437</v>
      </c>
      <c r="E802" t="s">
        <v>25</v>
      </c>
      <c r="F802" t="s">
        <v>26</v>
      </c>
      <c r="G802" t="s">
        <v>37</v>
      </c>
      <c r="H802" t="s">
        <v>43</v>
      </c>
      <c r="I802" t="s">
        <v>51</v>
      </c>
      <c r="J802" t="s">
        <v>52</v>
      </c>
      <c r="K802">
        <v>4</v>
      </c>
      <c r="L802">
        <v>665.6</v>
      </c>
      <c r="M802">
        <v>0.15</v>
      </c>
      <c r="N802">
        <v>2263.04</v>
      </c>
      <c r="O802">
        <v>1295.3499999999999</v>
      </c>
      <c r="P802">
        <v>967.69</v>
      </c>
      <c r="Q802" t="s">
        <v>113</v>
      </c>
      <c r="R802">
        <v>0.42760622878959281</v>
      </c>
      <c r="S802">
        <v>2024</v>
      </c>
      <c r="T802" t="s">
        <v>1519</v>
      </c>
      <c r="U802">
        <v>8</v>
      </c>
      <c r="V802" t="s">
        <v>1385</v>
      </c>
    </row>
    <row r="803" spans="1:22" x14ac:dyDescent="0.3">
      <c r="A803" t="s">
        <v>1636</v>
      </c>
      <c r="B803" s="1">
        <v>45529</v>
      </c>
      <c r="C803" t="s">
        <v>838</v>
      </c>
      <c r="D803" t="s">
        <v>1066</v>
      </c>
      <c r="E803" t="s">
        <v>41</v>
      </c>
      <c r="F803" t="s">
        <v>42</v>
      </c>
      <c r="G803" t="s">
        <v>42</v>
      </c>
      <c r="H803" t="s">
        <v>28</v>
      </c>
      <c r="I803" t="s">
        <v>73</v>
      </c>
      <c r="J803" t="s">
        <v>74</v>
      </c>
      <c r="K803">
        <v>1</v>
      </c>
      <c r="L803">
        <v>2473.17</v>
      </c>
      <c r="M803">
        <v>0.1</v>
      </c>
      <c r="N803">
        <v>2225.85</v>
      </c>
      <c r="O803">
        <v>1397.53</v>
      </c>
      <c r="P803">
        <v>828.32</v>
      </c>
      <c r="Q803" t="s">
        <v>31</v>
      </c>
      <c r="R803">
        <v>0.37213648718467113</v>
      </c>
      <c r="S803">
        <v>2024</v>
      </c>
      <c r="T803" t="s">
        <v>1519</v>
      </c>
      <c r="U803">
        <v>8</v>
      </c>
      <c r="V803" t="s">
        <v>1385</v>
      </c>
    </row>
    <row r="804" spans="1:22" x14ac:dyDescent="0.3">
      <c r="A804" t="s">
        <v>1637</v>
      </c>
      <c r="B804" s="1">
        <v>45529</v>
      </c>
      <c r="C804" t="s">
        <v>596</v>
      </c>
      <c r="D804" t="s">
        <v>1490</v>
      </c>
      <c r="E804" t="s">
        <v>61</v>
      </c>
      <c r="F804" t="s">
        <v>78</v>
      </c>
      <c r="G804" t="s">
        <v>104</v>
      </c>
      <c r="H804" t="s">
        <v>64</v>
      </c>
      <c r="I804" t="s">
        <v>108</v>
      </c>
      <c r="J804" t="s">
        <v>155</v>
      </c>
      <c r="K804">
        <v>2</v>
      </c>
      <c r="L804">
        <v>8787.44</v>
      </c>
      <c r="M804">
        <v>0</v>
      </c>
      <c r="N804">
        <v>17574.88</v>
      </c>
      <c r="O804">
        <v>12373.89</v>
      </c>
      <c r="P804">
        <v>5200.99</v>
      </c>
      <c r="Q804" t="s">
        <v>46</v>
      </c>
      <c r="R804">
        <v>0.29593317280117981</v>
      </c>
      <c r="S804">
        <v>2024</v>
      </c>
      <c r="T804" t="s">
        <v>1519</v>
      </c>
      <c r="U804">
        <v>8</v>
      </c>
      <c r="V804" t="s">
        <v>1385</v>
      </c>
    </row>
    <row r="805" spans="1:22" x14ac:dyDescent="0.3">
      <c r="A805" t="s">
        <v>1638</v>
      </c>
      <c r="B805" s="1">
        <v>45530</v>
      </c>
      <c r="C805" t="s">
        <v>714</v>
      </c>
      <c r="D805" t="s">
        <v>393</v>
      </c>
      <c r="E805" t="s">
        <v>41</v>
      </c>
      <c r="F805" t="s">
        <v>42</v>
      </c>
      <c r="G805" t="s">
        <v>50</v>
      </c>
      <c r="H805" t="s">
        <v>64</v>
      </c>
      <c r="I805" t="s">
        <v>65</v>
      </c>
      <c r="J805" t="s">
        <v>66</v>
      </c>
      <c r="K805">
        <v>5</v>
      </c>
      <c r="L805">
        <v>5226.3999999999996</v>
      </c>
      <c r="M805">
        <v>0</v>
      </c>
      <c r="N805">
        <v>26132</v>
      </c>
      <c r="O805">
        <v>15425.44</v>
      </c>
      <c r="P805">
        <v>10706.56</v>
      </c>
      <c r="Q805" t="s">
        <v>31</v>
      </c>
      <c r="R805">
        <v>0.409710699525486</v>
      </c>
      <c r="S805">
        <v>2024</v>
      </c>
      <c r="T805" t="s">
        <v>1519</v>
      </c>
      <c r="U805">
        <v>8</v>
      </c>
      <c r="V805" t="s">
        <v>1385</v>
      </c>
    </row>
    <row r="806" spans="1:22" x14ac:dyDescent="0.3">
      <c r="A806" t="s">
        <v>1639</v>
      </c>
      <c r="B806" s="1">
        <v>45531</v>
      </c>
      <c r="C806" t="s">
        <v>968</v>
      </c>
      <c r="D806" t="s">
        <v>142</v>
      </c>
      <c r="E806" t="s">
        <v>61</v>
      </c>
      <c r="F806" t="s">
        <v>78</v>
      </c>
      <c r="G806" t="s">
        <v>83</v>
      </c>
      <c r="H806" t="s">
        <v>28</v>
      </c>
      <c r="I806" t="s">
        <v>73</v>
      </c>
      <c r="J806" t="s">
        <v>80</v>
      </c>
      <c r="K806">
        <v>2</v>
      </c>
      <c r="L806">
        <v>827.44</v>
      </c>
      <c r="M806">
        <v>0</v>
      </c>
      <c r="N806">
        <v>1654.88</v>
      </c>
      <c r="O806">
        <v>989.53</v>
      </c>
      <c r="P806">
        <v>665.35</v>
      </c>
      <c r="Q806" t="s">
        <v>53</v>
      </c>
      <c r="R806">
        <v>0.40205332108672531</v>
      </c>
      <c r="S806">
        <v>2024</v>
      </c>
      <c r="T806" t="s">
        <v>1519</v>
      </c>
      <c r="U806">
        <v>8</v>
      </c>
      <c r="V806" t="s">
        <v>1385</v>
      </c>
    </row>
    <row r="807" spans="1:22" x14ac:dyDescent="0.3">
      <c r="A807" t="s">
        <v>1640</v>
      </c>
      <c r="B807" s="1">
        <v>45531</v>
      </c>
      <c r="C807" t="s">
        <v>716</v>
      </c>
      <c r="D807" t="s">
        <v>599</v>
      </c>
      <c r="E807" t="s">
        <v>61</v>
      </c>
      <c r="F807" t="s">
        <v>78</v>
      </c>
      <c r="G807" t="s">
        <v>83</v>
      </c>
      <c r="H807" t="s">
        <v>28</v>
      </c>
      <c r="I807" t="s">
        <v>91</v>
      </c>
      <c r="J807" t="s">
        <v>92</v>
      </c>
      <c r="K807">
        <v>1</v>
      </c>
      <c r="L807">
        <v>3148.51</v>
      </c>
      <c r="M807">
        <v>0.15</v>
      </c>
      <c r="N807">
        <v>2676.23</v>
      </c>
      <c r="O807">
        <v>1624.91</v>
      </c>
      <c r="P807">
        <v>1051.32</v>
      </c>
      <c r="Q807" t="s">
        <v>46</v>
      </c>
      <c r="R807">
        <v>0.39283619120927571</v>
      </c>
      <c r="S807">
        <v>2024</v>
      </c>
      <c r="T807" t="s">
        <v>1519</v>
      </c>
      <c r="U807">
        <v>8</v>
      </c>
      <c r="V807" t="s">
        <v>1385</v>
      </c>
    </row>
    <row r="808" spans="1:22" x14ac:dyDescent="0.3">
      <c r="A808" t="s">
        <v>1641</v>
      </c>
      <c r="B808" s="1">
        <v>45531</v>
      </c>
      <c r="C808" t="s">
        <v>598</v>
      </c>
      <c r="D808" t="s">
        <v>278</v>
      </c>
      <c r="E808" t="s">
        <v>61</v>
      </c>
      <c r="F808" t="s">
        <v>62</v>
      </c>
      <c r="G808" t="s">
        <v>90</v>
      </c>
      <c r="H808" t="s">
        <v>28</v>
      </c>
      <c r="I808" t="s">
        <v>73</v>
      </c>
      <c r="J808" t="s">
        <v>74</v>
      </c>
      <c r="K808">
        <v>1</v>
      </c>
      <c r="L808">
        <v>2647.14</v>
      </c>
      <c r="M808">
        <v>0.1</v>
      </c>
      <c r="N808">
        <v>2382.4299999999998</v>
      </c>
      <c r="O808">
        <v>1429.9</v>
      </c>
      <c r="P808">
        <v>952.53</v>
      </c>
      <c r="Q808" t="s">
        <v>113</v>
      </c>
      <c r="R808">
        <v>0.39981447513673019</v>
      </c>
      <c r="S808">
        <v>2024</v>
      </c>
      <c r="T808" t="s">
        <v>1519</v>
      </c>
      <c r="U808">
        <v>8</v>
      </c>
      <c r="V808" t="s">
        <v>1385</v>
      </c>
    </row>
    <row r="809" spans="1:22" x14ac:dyDescent="0.3">
      <c r="A809" t="s">
        <v>1642</v>
      </c>
      <c r="B809" s="1">
        <v>45531</v>
      </c>
      <c r="C809" t="s">
        <v>1180</v>
      </c>
      <c r="D809" t="s">
        <v>587</v>
      </c>
      <c r="E809" t="s">
        <v>61</v>
      </c>
      <c r="F809" t="s">
        <v>62</v>
      </c>
      <c r="G809" t="s">
        <v>134</v>
      </c>
      <c r="H809" t="s">
        <v>64</v>
      </c>
      <c r="I809" t="s">
        <v>108</v>
      </c>
      <c r="J809" t="s">
        <v>155</v>
      </c>
      <c r="K809">
        <v>2</v>
      </c>
      <c r="L809">
        <v>8931.0499999999993</v>
      </c>
      <c r="M809">
        <v>0.1</v>
      </c>
      <c r="N809">
        <v>16075.89</v>
      </c>
      <c r="O809">
        <v>11918.52</v>
      </c>
      <c r="P809">
        <v>4157.37</v>
      </c>
      <c r="Q809" t="s">
        <v>113</v>
      </c>
      <c r="R809">
        <v>0.25860901013878551</v>
      </c>
      <c r="S809">
        <v>2024</v>
      </c>
      <c r="T809" t="s">
        <v>1519</v>
      </c>
      <c r="U809">
        <v>8</v>
      </c>
      <c r="V809" t="s">
        <v>1385</v>
      </c>
    </row>
    <row r="810" spans="1:22" x14ac:dyDescent="0.3">
      <c r="A810" t="s">
        <v>1643</v>
      </c>
      <c r="B810" s="1">
        <v>45532</v>
      </c>
      <c r="C810" t="s">
        <v>1390</v>
      </c>
      <c r="D810" t="s">
        <v>580</v>
      </c>
      <c r="E810" t="s">
        <v>61</v>
      </c>
      <c r="F810" t="s">
        <v>71</v>
      </c>
      <c r="G810" t="s">
        <v>201</v>
      </c>
      <c r="H810" t="s">
        <v>64</v>
      </c>
      <c r="I810" t="s">
        <v>65</v>
      </c>
      <c r="J810" t="s">
        <v>232</v>
      </c>
      <c r="K810">
        <v>1</v>
      </c>
      <c r="L810">
        <v>4053.89</v>
      </c>
      <c r="M810">
        <v>0</v>
      </c>
      <c r="N810">
        <v>4053.89</v>
      </c>
      <c r="O810">
        <v>2528.15</v>
      </c>
      <c r="P810">
        <v>1525.74</v>
      </c>
      <c r="Q810" t="s">
        <v>31</v>
      </c>
      <c r="R810">
        <v>0.37636443021394272</v>
      </c>
      <c r="S810">
        <v>2024</v>
      </c>
      <c r="T810" t="s">
        <v>1519</v>
      </c>
      <c r="U810">
        <v>8</v>
      </c>
      <c r="V810" t="s">
        <v>1385</v>
      </c>
    </row>
    <row r="811" spans="1:22" x14ac:dyDescent="0.3">
      <c r="A811" t="s">
        <v>1644</v>
      </c>
      <c r="B811" s="1">
        <v>45532</v>
      </c>
      <c r="C811" t="s">
        <v>1645</v>
      </c>
      <c r="D811" t="s">
        <v>1516</v>
      </c>
      <c r="E811" t="s">
        <v>25</v>
      </c>
      <c r="F811" t="s">
        <v>26</v>
      </c>
      <c r="G811" t="s">
        <v>171</v>
      </c>
      <c r="H811" t="s">
        <v>28</v>
      </c>
      <c r="I811" t="s">
        <v>73</v>
      </c>
      <c r="J811" t="s">
        <v>80</v>
      </c>
      <c r="K811">
        <v>2</v>
      </c>
      <c r="L811">
        <v>846.21</v>
      </c>
      <c r="M811">
        <v>0</v>
      </c>
      <c r="N811">
        <v>1692.42</v>
      </c>
      <c r="O811">
        <v>1086.45</v>
      </c>
      <c r="P811">
        <v>605.97</v>
      </c>
      <c r="Q811" t="s">
        <v>46</v>
      </c>
      <c r="R811">
        <v>0.35804942035664911</v>
      </c>
      <c r="S811">
        <v>2024</v>
      </c>
      <c r="T811" t="s">
        <v>1519</v>
      </c>
      <c r="U811">
        <v>8</v>
      </c>
      <c r="V811" t="s">
        <v>1385</v>
      </c>
    </row>
    <row r="812" spans="1:22" x14ac:dyDescent="0.3">
      <c r="A812" t="s">
        <v>1646</v>
      </c>
      <c r="B812" s="1">
        <v>45532</v>
      </c>
      <c r="C812" t="s">
        <v>264</v>
      </c>
      <c r="D812" t="s">
        <v>1647</v>
      </c>
      <c r="E812" t="s">
        <v>61</v>
      </c>
      <c r="F812" t="s">
        <v>62</v>
      </c>
      <c r="G812" t="s">
        <v>90</v>
      </c>
      <c r="H812" t="s">
        <v>43</v>
      </c>
      <c r="I812" t="s">
        <v>44</v>
      </c>
      <c r="J812" t="s">
        <v>45</v>
      </c>
      <c r="K812">
        <v>3</v>
      </c>
      <c r="L812">
        <v>239.01</v>
      </c>
      <c r="M812">
        <v>0</v>
      </c>
      <c r="N812">
        <v>717.03</v>
      </c>
      <c r="O812">
        <v>262.55</v>
      </c>
      <c r="P812">
        <v>454.48</v>
      </c>
      <c r="Q812" t="s">
        <v>31</v>
      </c>
      <c r="R812">
        <v>0.63383679901817225</v>
      </c>
      <c r="S812">
        <v>2024</v>
      </c>
      <c r="T812" t="s">
        <v>1519</v>
      </c>
      <c r="U812">
        <v>8</v>
      </c>
      <c r="V812" t="s">
        <v>1385</v>
      </c>
    </row>
    <row r="813" spans="1:22" x14ac:dyDescent="0.3">
      <c r="A813" t="s">
        <v>1648</v>
      </c>
      <c r="B813" s="1">
        <v>45533</v>
      </c>
      <c r="C813" t="s">
        <v>554</v>
      </c>
      <c r="D813" t="s">
        <v>806</v>
      </c>
      <c r="E813" t="s">
        <v>41</v>
      </c>
      <c r="F813" t="s">
        <v>42</v>
      </c>
      <c r="G813" t="s">
        <v>42</v>
      </c>
      <c r="H813" t="s">
        <v>43</v>
      </c>
      <c r="I813" t="s">
        <v>51</v>
      </c>
      <c r="J813" t="s">
        <v>96</v>
      </c>
      <c r="K813">
        <v>3</v>
      </c>
      <c r="L813">
        <v>473.72</v>
      </c>
      <c r="M813">
        <v>0.15</v>
      </c>
      <c r="N813">
        <v>1207.99</v>
      </c>
      <c r="O813">
        <v>653.08000000000004</v>
      </c>
      <c r="P813">
        <v>554.91</v>
      </c>
      <c r="Q813" t="s">
        <v>46</v>
      </c>
      <c r="R813">
        <v>0.45936638548332348</v>
      </c>
      <c r="S813">
        <v>2024</v>
      </c>
      <c r="T813" t="s">
        <v>1519</v>
      </c>
      <c r="U813">
        <v>8</v>
      </c>
      <c r="V813" t="s">
        <v>1385</v>
      </c>
    </row>
    <row r="814" spans="1:22" x14ac:dyDescent="0.3">
      <c r="A814" t="s">
        <v>1649</v>
      </c>
      <c r="B814" s="1">
        <v>45533</v>
      </c>
      <c r="C814" t="s">
        <v>1650</v>
      </c>
      <c r="D814" t="s">
        <v>542</v>
      </c>
      <c r="E814" t="s">
        <v>61</v>
      </c>
      <c r="F814" t="s">
        <v>78</v>
      </c>
      <c r="G814" t="s">
        <v>83</v>
      </c>
      <c r="H814" t="s">
        <v>43</v>
      </c>
      <c r="I814" t="s">
        <v>51</v>
      </c>
      <c r="J814" t="s">
        <v>52</v>
      </c>
      <c r="K814">
        <v>6</v>
      </c>
      <c r="L814">
        <v>674.57</v>
      </c>
      <c r="M814">
        <v>0.05</v>
      </c>
      <c r="N814">
        <v>3845.05</v>
      </c>
      <c r="O814">
        <v>1872.59</v>
      </c>
      <c r="P814">
        <v>1972.46</v>
      </c>
      <c r="Q814" t="s">
        <v>31</v>
      </c>
      <c r="R814">
        <v>0.51298682721941191</v>
      </c>
      <c r="S814">
        <v>2024</v>
      </c>
      <c r="T814" t="s">
        <v>1519</v>
      </c>
      <c r="U814">
        <v>8</v>
      </c>
      <c r="V814" t="s">
        <v>1385</v>
      </c>
    </row>
    <row r="815" spans="1:22" x14ac:dyDescent="0.3">
      <c r="A815" t="s">
        <v>1651</v>
      </c>
      <c r="B815" s="1">
        <v>45533</v>
      </c>
      <c r="C815" t="s">
        <v>1474</v>
      </c>
      <c r="D815" t="s">
        <v>354</v>
      </c>
      <c r="E815" t="s">
        <v>25</v>
      </c>
      <c r="F815" t="s">
        <v>26</v>
      </c>
      <c r="G815" t="s">
        <v>171</v>
      </c>
      <c r="H815" t="s">
        <v>28</v>
      </c>
      <c r="I815" t="s">
        <v>73</v>
      </c>
      <c r="J815" t="s">
        <v>74</v>
      </c>
      <c r="K815">
        <v>1</v>
      </c>
      <c r="L815">
        <v>2610.85</v>
      </c>
      <c r="M815">
        <v>0.1</v>
      </c>
      <c r="N815">
        <v>2349.7600000000002</v>
      </c>
      <c r="O815">
        <v>1456.54</v>
      </c>
      <c r="P815">
        <v>893.22</v>
      </c>
      <c r="Q815" t="s">
        <v>31</v>
      </c>
      <c r="R815">
        <v>0.38013243905760591</v>
      </c>
      <c r="S815">
        <v>2024</v>
      </c>
      <c r="T815" t="s">
        <v>1519</v>
      </c>
      <c r="U815">
        <v>8</v>
      </c>
      <c r="V815" t="s">
        <v>1385</v>
      </c>
    </row>
    <row r="816" spans="1:22" x14ac:dyDescent="0.3">
      <c r="A816" t="s">
        <v>1652</v>
      </c>
      <c r="B816" s="1">
        <v>45533</v>
      </c>
      <c r="C816" t="s">
        <v>1653</v>
      </c>
      <c r="D816" t="s">
        <v>540</v>
      </c>
      <c r="E816" t="s">
        <v>61</v>
      </c>
      <c r="F816" t="s">
        <v>71</v>
      </c>
      <c r="G816" t="s">
        <v>317</v>
      </c>
      <c r="H816" t="s">
        <v>64</v>
      </c>
      <c r="I816" t="s">
        <v>108</v>
      </c>
      <c r="J816" t="s">
        <v>109</v>
      </c>
      <c r="K816">
        <v>3</v>
      </c>
      <c r="L816">
        <v>7006.5</v>
      </c>
      <c r="M816">
        <v>0.1</v>
      </c>
      <c r="N816">
        <v>18917.55</v>
      </c>
      <c r="O816">
        <v>13890.59</v>
      </c>
      <c r="P816">
        <v>5026.96</v>
      </c>
      <c r="Q816" t="s">
        <v>31</v>
      </c>
      <c r="R816">
        <v>0.26572997031856671</v>
      </c>
      <c r="S816">
        <v>2024</v>
      </c>
      <c r="T816" t="s">
        <v>1519</v>
      </c>
      <c r="U816">
        <v>8</v>
      </c>
      <c r="V816" t="s">
        <v>1385</v>
      </c>
    </row>
    <row r="817" spans="1:22" x14ac:dyDescent="0.3">
      <c r="A817" t="s">
        <v>1654</v>
      </c>
      <c r="B817" s="1">
        <v>45534</v>
      </c>
      <c r="C817" t="s">
        <v>1655</v>
      </c>
      <c r="D817" t="s">
        <v>77</v>
      </c>
      <c r="E817" t="s">
        <v>61</v>
      </c>
      <c r="F817" t="s">
        <v>62</v>
      </c>
      <c r="G817" t="s">
        <v>90</v>
      </c>
      <c r="H817" t="s">
        <v>84</v>
      </c>
      <c r="I817" t="s">
        <v>85</v>
      </c>
      <c r="J817" t="s">
        <v>86</v>
      </c>
      <c r="K817">
        <v>3</v>
      </c>
      <c r="L817">
        <v>1871.8</v>
      </c>
      <c r="M817">
        <v>0.1</v>
      </c>
      <c r="N817">
        <v>5053.8599999999997</v>
      </c>
      <c r="O817">
        <v>2922.39</v>
      </c>
      <c r="P817">
        <v>2131.4699999999998</v>
      </c>
      <c r="Q817" t="s">
        <v>31</v>
      </c>
      <c r="R817">
        <v>0.42175089931260462</v>
      </c>
      <c r="S817">
        <v>2024</v>
      </c>
      <c r="T817" t="s">
        <v>1519</v>
      </c>
      <c r="U817">
        <v>8</v>
      </c>
      <c r="V817" t="s">
        <v>1385</v>
      </c>
    </row>
    <row r="818" spans="1:22" x14ac:dyDescent="0.3">
      <c r="A818" t="s">
        <v>1656</v>
      </c>
      <c r="B818" s="1">
        <v>45534</v>
      </c>
      <c r="C818" t="s">
        <v>1657</v>
      </c>
      <c r="D818" t="s">
        <v>1658</v>
      </c>
      <c r="E818" t="s">
        <v>120</v>
      </c>
      <c r="F818" t="s">
        <v>121</v>
      </c>
      <c r="G818" t="s">
        <v>130</v>
      </c>
      <c r="H818" t="s">
        <v>28</v>
      </c>
      <c r="I818" t="s">
        <v>91</v>
      </c>
      <c r="J818" t="s">
        <v>92</v>
      </c>
      <c r="K818">
        <v>4</v>
      </c>
      <c r="L818">
        <v>3157.65</v>
      </c>
      <c r="M818">
        <v>0.05</v>
      </c>
      <c r="N818">
        <v>11999.07</v>
      </c>
      <c r="O818">
        <v>6474.04</v>
      </c>
      <c r="P818">
        <v>5525.03</v>
      </c>
      <c r="Q818" t="s">
        <v>31</v>
      </c>
      <c r="R818">
        <v>0.46045485191769031</v>
      </c>
      <c r="S818">
        <v>2024</v>
      </c>
      <c r="T818" t="s">
        <v>1519</v>
      </c>
      <c r="U818">
        <v>8</v>
      </c>
      <c r="V818" t="s">
        <v>1385</v>
      </c>
    </row>
    <row r="819" spans="1:22" x14ac:dyDescent="0.3">
      <c r="A819" t="s">
        <v>1659</v>
      </c>
      <c r="B819" s="1">
        <v>45534</v>
      </c>
      <c r="C819" t="s">
        <v>289</v>
      </c>
      <c r="D819" t="s">
        <v>641</v>
      </c>
      <c r="E819" t="s">
        <v>120</v>
      </c>
      <c r="F819" t="s">
        <v>121</v>
      </c>
      <c r="G819" t="s">
        <v>224</v>
      </c>
      <c r="H819" t="s">
        <v>28</v>
      </c>
      <c r="I819" t="s">
        <v>73</v>
      </c>
      <c r="J819" t="s">
        <v>74</v>
      </c>
      <c r="K819">
        <v>2</v>
      </c>
      <c r="L819">
        <v>2427.85</v>
      </c>
      <c r="M819">
        <v>0</v>
      </c>
      <c r="N819">
        <v>4855.7</v>
      </c>
      <c r="O819">
        <v>2774.48</v>
      </c>
      <c r="P819">
        <v>2081.2199999999998</v>
      </c>
      <c r="Q819" t="s">
        <v>53</v>
      </c>
      <c r="R819">
        <v>0.42861379409765837</v>
      </c>
      <c r="S819">
        <v>2024</v>
      </c>
      <c r="T819" t="s">
        <v>1519</v>
      </c>
      <c r="U819">
        <v>8</v>
      </c>
      <c r="V819" t="s">
        <v>1385</v>
      </c>
    </row>
    <row r="820" spans="1:22" x14ac:dyDescent="0.3">
      <c r="A820" t="s">
        <v>1660</v>
      </c>
      <c r="B820" s="1">
        <v>45535</v>
      </c>
      <c r="C820" t="s">
        <v>1135</v>
      </c>
      <c r="D820" t="s">
        <v>415</v>
      </c>
      <c r="E820" t="s">
        <v>61</v>
      </c>
      <c r="F820" t="s">
        <v>71</v>
      </c>
      <c r="G820" t="s">
        <v>201</v>
      </c>
      <c r="H820" t="s">
        <v>84</v>
      </c>
      <c r="I820" t="s">
        <v>138</v>
      </c>
      <c r="J820" t="s">
        <v>220</v>
      </c>
      <c r="K820">
        <v>2</v>
      </c>
      <c r="L820">
        <v>7097.12</v>
      </c>
      <c r="M820">
        <v>0.15</v>
      </c>
      <c r="N820">
        <v>12065.1</v>
      </c>
      <c r="O820">
        <v>9389.26</v>
      </c>
      <c r="P820">
        <v>2675.84</v>
      </c>
      <c r="Q820" t="s">
        <v>31</v>
      </c>
      <c r="R820">
        <v>0.2217834912267615</v>
      </c>
      <c r="S820">
        <v>2024</v>
      </c>
      <c r="T820" t="s">
        <v>1519</v>
      </c>
      <c r="U820">
        <v>8</v>
      </c>
      <c r="V820" t="s">
        <v>1385</v>
      </c>
    </row>
    <row r="821" spans="1:22" x14ac:dyDescent="0.3">
      <c r="A821" t="s">
        <v>1661</v>
      </c>
      <c r="B821" s="1">
        <v>45535</v>
      </c>
      <c r="C821" t="s">
        <v>1662</v>
      </c>
      <c r="D821" t="s">
        <v>158</v>
      </c>
      <c r="E821" t="s">
        <v>25</v>
      </c>
      <c r="F821" t="s">
        <v>26</v>
      </c>
      <c r="G821" t="s">
        <v>37</v>
      </c>
      <c r="H821" t="s">
        <v>84</v>
      </c>
      <c r="I821" t="s">
        <v>85</v>
      </c>
      <c r="J821" t="s">
        <v>145</v>
      </c>
      <c r="K821">
        <v>2</v>
      </c>
      <c r="L821">
        <v>3374.13</v>
      </c>
      <c r="M821">
        <v>0.1</v>
      </c>
      <c r="N821">
        <v>6073.43</v>
      </c>
      <c r="O821">
        <v>3747.84</v>
      </c>
      <c r="P821">
        <v>2325.59</v>
      </c>
      <c r="Q821" t="s">
        <v>31</v>
      </c>
      <c r="R821">
        <v>0.38291212708469508</v>
      </c>
      <c r="S821">
        <v>2024</v>
      </c>
      <c r="T821" t="s">
        <v>1519</v>
      </c>
      <c r="U821">
        <v>8</v>
      </c>
      <c r="V821" t="s">
        <v>1385</v>
      </c>
    </row>
    <row r="822" spans="1:22" x14ac:dyDescent="0.3">
      <c r="A822" t="s">
        <v>1663</v>
      </c>
      <c r="B822" s="1">
        <v>45535</v>
      </c>
      <c r="C822" t="s">
        <v>1664</v>
      </c>
      <c r="D822" t="s">
        <v>295</v>
      </c>
      <c r="E822" t="s">
        <v>120</v>
      </c>
      <c r="F822" t="s">
        <v>121</v>
      </c>
      <c r="G822" t="s">
        <v>122</v>
      </c>
      <c r="H822" t="s">
        <v>84</v>
      </c>
      <c r="I822" t="s">
        <v>85</v>
      </c>
      <c r="J822" t="s">
        <v>145</v>
      </c>
      <c r="K822">
        <v>3</v>
      </c>
      <c r="L822">
        <v>3139.22</v>
      </c>
      <c r="M822">
        <v>0.1</v>
      </c>
      <c r="N822">
        <v>8475.89</v>
      </c>
      <c r="O822">
        <v>5528.68</v>
      </c>
      <c r="P822">
        <v>2947.21</v>
      </c>
      <c r="Q822" t="s">
        <v>31</v>
      </c>
      <c r="R822">
        <v>0.34771687692973841</v>
      </c>
      <c r="S822">
        <v>2024</v>
      </c>
      <c r="T822" t="s">
        <v>1519</v>
      </c>
      <c r="U822">
        <v>8</v>
      </c>
      <c r="V822" t="s">
        <v>1385</v>
      </c>
    </row>
    <row r="823" spans="1:22" x14ac:dyDescent="0.3">
      <c r="A823" t="s">
        <v>1665</v>
      </c>
      <c r="B823" s="1">
        <v>45535</v>
      </c>
      <c r="C823" t="s">
        <v>157</v>
      </c>
      <c r="D823" t="s">
        <v>535</v>
      </c>
      <c r="E823" t="s">
        <v>61</v>
      </c>
      <c r="F823" t="s">
        <v>78</v>
      </c>
      <c r="G823" t="s">
        <v>79</v>
      </c>
      <c r="H823" t="s">
        <v>28</v>
      </c>
      <c r="I823" t="s">
        <v>91</v>
      </c>
      <c r="J823" t="s">
        <v>92</v>
      </c>
      <c r="K823">
        <v>1</v>
      </c>
      <c r="L823">
        <v>3037.91</v>
      </c>
      <c r="M823">
        <v>0.1</v>
      </c>
      <c r="N823">
        <v>2734.12</v>
      </c>
      <c r="O823">
        <v>1566.37</v>
      </c>
      <c r="P823">
        <v>1167.75</v>
      </c>
      <c r="Q823" t="s">
        <v>31</v>
      </c>
      <c r="R823">
        <v>0.42710268751920177</v>
      </c>
      <c r="S823">
        <v>2024</v>
      </c>
      <c r="T823" t="s">
        <v>1519</v>
      </c>
      <c r="U823">
        <v>8</v>
      </c>
      <c r="V823" t="s">
        <v>1385</v>
      </c>
    </row>
    <row r="824" spans="1:22" x14ac:dyDescent="0.3">
      <c r="A824" t="s">
        <v>1666</v>
      </c>
      <c r="B824" s="1">
        <v>45535</v>
      </c>
      <c r="C824" t="s">
        <v>88</v>
      </c>
      <c r="D824" t="s">
        <v>966</v>
      </c>
      <c r="E824" t="s">
        <v>120</v>
      </c>
      <c r="F824" t="s">
        <v>121</v>
      </c>
      <c r="G824" t="s">
        <v>224</v>
      </c>
      <c r="H824" t="s">
        <v>84</v>
      </c>
      <c r="I824" t="s">
        <v>138</v>
      </c>
      <c r="J824" t="s">
        <v>139</v>
      </c>
      <c r="K824">
        <v>2</v>
      </c>
      <c r="L824">
        <v>12476.68</v>
      </c>
      <c r="M824">
        <v>0.05</v>
      </c>
      <c r="N824">
        <v>23705.69</v>
      </c>
      <c r="O824">
        <v>18150.52</v>
      </c>
      <c r="P824">
        <v>5555.17</v>
      </c>
      <c r="Q824" t="s">
        <v>113</v>
      </c>
      <c r="R824">
        <v>0.23433909749094001</v>
      </c>
      <c r="S824">
        <v>2024</v>
      </c>
      <c r="T824" t="s">
        <v>1519</v>
      </c>
      <c r="U824">
        <v>8</v>
      </c>
      <c r="V824" t="s">
        <v>1385</v>
      </c>
    </row>
    <row r="825" spans="1:22" x14ac:dyDescent="0.3">
      <c r="A825" t="s">
        <v>1667</v>
      </c>
      <c r="B825" s="1">
        <v>45535</v>
      </c>
      <c r="C825" t="s">
        <v>1668</v>
      </c>
      <c r="D825" t="s">
        <v>510</v>
      </c>
      <c r="E825" t="s">
        <v>61</v>
      </c>
      <c r="F825" t="s">
        <v>78</v>
      </c>
      <c r="G825" t="s">
        <v>79</v>
      </c>
      <c r="H825" t="s">
        <v>28</v>
      </c>
      <c r="I825" t="s">
        <v>91</v>
      </c>
      <c r="J825" t="s">
        <v>92</v>
      </c>
      <c r="K825">
        <v>6</v>
      </c>
      <c r="L825">
        <v>2851.49</v>
      </c>
      <c r="M825">
        <v>0.1</v>
      </c>
      <c r="N825">
        <v>15398.05</v>
      </c>
      <c r="O825">
        <v>9034.14</v>
      </c>
      <c r="P825">
        <v>6363.91</v>
      </c>
      <c r="Q825" t="s">
        <v>31</v>
      </c>
      <c r="R825">
        <v>0.41329324167670578</v>
      </c>
      <c r="S825">
        <v>2024</v>
      </c>
      <c r="T825" t="s">
        <v>1519</v>
      </c>
      <c r="U825">
        <v>8</v>
      </c>
      <c r="V825" t="s">
        <v>1385</v>
      </c>
    </row>
    <row r="826" spans="1:22" x14ac:dyDescent="0.3">
      <c r="A826" t="s">
        <v>1669</v>
      </c>
      <c r="B826" s="1">
        <v>45536</v>
      </c>
      <c r="C826" t="s">
        <v>1670</v>
      </c>
      <c r="D826" t="s">
        <v>1415</v>
      </c>
      <c r="E826" t="s">
        <v>61</v>
      </c>
      <c r="F826" t="s">
        <v>62</v>
      </c>
      <c r="G826" t="s">
        <v>63</v>
      </c>
      <c r="H826" t="s">
        <v>28</v>
      </c>
      <c r="I826" t="s">
        <v>29</v>
      </c>
      <c r="J826" t="s">
        <v>30</v>
      </c>
      <c r="K826">
        <v>1</v>
      </c>
      <c r="L826">
        <v>55777.24</v>
      </c>
      <c r="M826">
        <v>0.1</v>
      </c>
      <c r="N826">
        <v>50199.519999999997</v>
      </c>
      <c r="O826">
        <v>50358.2</v>
      </c>
      <c r="P826">
        <v>-158.68</v>
      </c>
      <c r="Q826" t="s">
        <v>31</v>
      </c>
      <c r="R826">
        <v>-3.1609863998699589E-3</v>
      </c>
      <c r="S826">
        <v>2024</v>
      </c>
      <c r="T826" t="s">
        <v>1671</v>
      </c>
      <c r="U826">
        <v>9</v>
      </c>
      <c r="V826" t="s">
        <v>1385</v>
      </c>
    </row>
    <row r="827" spans="1:22" x14ac:dyDescent="0.3">
      <c r="A827" t="s">
        <v>1672</v>
      </c>
      <c r="B827" s="1">
        <v>45536</v>
      </c>
      <c r="C827" t="s">
        <v>1673</v>
      </c>
      <c r="D827" t="s">
        <v>701</v>
      </c>
      <c r="E827" t="s">
        <v>61</v>
      </c>
      <c r="F827" t="s">
        <v>71</v>
      </c>
      <c r="G827" t="s">
        <v>100</v>
      </c>
      <c r="H827" t="s">
        <v>28</v>
      </c>
      <c r="I827" t="s">
        <v>29</v>
      </c>
      <c r="J827" t="s">
        <v>30</v>
      </c>
      <c r="K827">
        <v>1</v>
      </c>
      <c r="L827">
        <v>61406.66</v>
      </c>
      <c r="M827">
        <v>0.05</v>
      </c>
      <c r="N827">
        <v>58336.33</v>
      </c>
      <c r="O827">
        <v>55066.73</v>
      </c>
      <c r="P827">
        <v>3269.6</v>
      </c>
      <c r="Q827" t="s">
        <v>31</v>
      </c>
      <c r="R827">
        <v>5.6047406478947161E-2</v>
      </c>
      <c r="S827">
        <v>2024</v>
      </c>
      <c r="T827" t="s">
        <v>1671</v>
      </c>
      <c r="U827">
        <v>9</v>
      </c>
      <c r="V827" t="s">
        <v>1385</v>
      </c>
    </row>
    <row r="828" spans="1:22" x14ac:dyDescent="0.3">
      <c r="A828" t="s">
        <v>1674</v>
      </c>
      <c r="B828" s="1">
        <v>45536</v>
      </c>
      <c r="C828" t="s">
        <v>824</v>
      </c>
      <c r="D828" t="s">
        <v>604</v>
      </c>
      <c r="E828" t="s">
        <v>61</v>
      </c>
      <c r="F828" t="s">
        <v>71</v>
      </c>
      <c r="G828" t="s">
        <v>317</v>
      </c>
      <c r="H828" t="s">
        <v>84</v>
      </c>
      <c r="I828" t="s">
        <v>85</v>
      </c>
      <c r="J828" t="s">
        <v>86</v>
      </c>
      <c r="K828">
        <v>3</v>
      </c>
      <c r="L828">
        <v>1727.26</v>
      </c>
      <c r="M828">
        <v>0</v>
      </c>
      <c r="N828">
        <v>5181.78</v>
      </c>
      <c r="O828">
        <v>2733.15</v>
      </c>
      <c r="P828">
        <v>2448.63</v>
      </c>
      <c r="Q828" t="s">
        <v>31</v>
      </c>
      <c r="R828">
        <v>0.47254611349767839</v>
      </c>
      <c r="S828">
        <v>2024</v>
      </c>
      <c r="T828" t="s">
        <v>1671</v>
      </c>
      <c r="U828">
        <v>9</v>
      </c>
      <c r="V828" t="s">
        <v>1385</v>
      </c>
    </row>
    <row r="829" spans="1:22" x14ac:dyDescent="0.3">
      <c r="A829" t="s">
        <v>1675</v>
      </c>
      <c r="B829" s="1">
        <v>45537</v>
      </c>
      <c r="C829" t="s">
        <v>439</v>
      </c>
      <c r="D829" t="s">
        <v>1676</v>
      </c>
      <c r="E829" t="s">
        <v>41</v>
      </c>
      <c r="F829" t="s">
        <v>42</v>
      </c>
      <c r="G829" t="s">
        <v>50</v>
      </c>
      <c r="H829" t="s">
        <v>84</v>
      </c>
      <c r="I829" t="s">
        <v>138</v>
      </c>
      <c r="J829" t="s">
        <v>220</v>
      </c>
      <c r="K829">
        <v>2</v>
      </c>
      <c r="L829">
        <v>7154.72</v>
      </c>
      <c r="M829">
        <v>0.05</v>
      </c>
      <c r="N829">
        <v>13593.97</v>
      </c>
      <c r="O829">
        <v>9083.3799999999992</v>
      </c>
      <c r="P829">
        <v>4510.59</v>
      </c>
      <c r="Q829" t="s">
        <v>31</v>
      </c>
      <c r="R829">
        <v>0.33180814728883468</v>
      </c>
      <c r="S829">
        <v>2024</v>
      </c>
      <c r="T829" t="s">
        <v>1671</v>
      </c>
      <c r="U829">
        <v>9</v>
      </c>
      <c r="V829" t="s">
        <v>1385</v>
      </c>
    </row>
    <row r="830" spans="1:22" x14ac:dyDescent="0.3">
      <c r="A830" t="s">
        <v>1677</v>
      </c>
      <c r="B830" s="1">
        <v>45537</v>
      </c>
      <c r="C830" t="s">
        <v>1499</v>
      </c>
      <c r="D830" t="s">
        <v>911</v>
      </c>
      <c r="E830" t="s">
        <v>61</v>
      </c>
      <c r="F830" t="s">
        <v>71</v>
      </c>
      <c r="G830" t="s">
        <v>317</v>
      </c>
      <c r="H830" t="s">
        <v>28</v>
      </c>
      <c r="I830" t="s">
        <v>91</v>
      </c>
      <c r="J830" t="s">
        <v>92</v>
      </c>
      <c r="K830">
        <v>1</v>
      </c>
      <c r="L830">
        <v>2827.79</v>
      </c>
      <c r="M830">
        <v>0.1</v>
      </c>
      <c r="N830">
        <v>2545.0100000000002</v>
      </c>
      <c r="O830">
        <v>1432.86</v>
      </c>
      <c r="P830">
        <v>1112.1500000000001</v>
      </c>
      <c r="Q830" t="s">
        <v>53</v>
      </c>
      <c r="R830">
        <v>0.43699238902794102</v>
      </c>
      <c r="S830">
        <v>2024</v>
      </c>
      <c r="T830" t="s">
        <v>1671</v>
      </c>
      <c r="U830">
        <v>9</v>
      </c>
      <c r="V830" t="s">
        <v>1385</v>
      </c>
    </row>
    <row r="831" spans="1:22" x14ac:dyDescent="0.3">
      <c r="A831" t="s">
        <v>1678</v>
      </c>
      <c r="B831" s="1">
        <v>45537</v>
      </c>
      <c r="C831" t="s">
        <v>1679</v>
      </c>
      <c r="D831" t="s">
        <v>424</v>
      </c>
      <c r="E831" t="s">
        <v>25</v>
      </c>
      <c r="F831" t="s">
        <v>26</v>
      </c>
      <c r="G831" t="s">
        <v>37</v>
      </c>
      <c r="H831" t="s">
        <v>43</v>
      </c>
      <c r="I831" t="s">
        <v>51</v>
      </c>
      <c r="J831" t="s">
        <v>96</v>
      </c>
      <c r="K831">
        <v>2</v>
      </c>
      <c r="L831">
        <v>516.46</v>
      </c>
      <c r="M831">
        <v>0.15</v>
      </c>
      <c r="N831">
        <v>877.98</v>
      </c>
      <c r="O831">
        <v>476.15</v>
      </c>
      <c r="P831">
        <v>401.83</v>
      </c>
      <c r="Q831" t="s">
        <v>46</v>
      </c>
      <c r="R831">
        <v>0.45767557347547783</v>
      </c>
      <c r="S831">
        <v>2024</v>
      </c>
      <c r="T831" t="s">
        <v>1671</v>
      </c>
      <c r="U831">
        <v>9</v>
      </c>
      <c r="V831" t="s">
        <v>1385</v>
      </c>
    </row>
    <row r="832" spans="1:22" x14ac:dyDescent="0.3">
      <c r="A832" t="s">
        <v>1680</v>
      </c>
      <c r="B832" s="1">
        <v>45537</v>
      </c>
      <c r="C832" t="s">
        <v>325</v>
      </c>
      <c r="D832" t="s">
        <v>215</v>
      </c>
      <c r="E832" t="s">
        <v>120</v>
      </c>
      <c r="F832" t="s">
        <v>121</v>
      </c>
      <c r="G832" t="s">
        <v>130</v>
      </c>
      <c r="H832" t="s">
        <v>43</v>
      </c>
      <c r="I832" t="s">
        <v>44</v>
      </c>
      <c r="J832" t="s">
        <v>248</v>
      </c>
      <c r="K832">
        <v>3</v>
      </c>
      <c r="L832">
        <v>308.98</v>
      </c>
      <c r="M832">
        <v>0.15</v>
      </c>
      <c r="N832">
        <v>787.9</v>
      </c>
      <c r="O832">
        <v>382.13</v>
      </c>
      <c r="P832">
        <v>405.77</v>
      </c>
      <c r="Q832" t="s">
        <v>53</v>
      </c>
      <c r="R832">
        <v>0.51500190379489785</v>
      </c>
      <c r="S832">
        <v>2024</v>
      </c>
      <c r="T832" t="s">
        <v>1671</v>
      </c>
      <c r="U832">
        <v>9</v>
      </c>
      <c r="V832" t="s">
        <v>1385</v>
      </c>
    </row>
    <row r="833" spans="1:22" x14ac:dyDescent="0.3">
      <c r="A833" t="s">
        <v>1681</v>
      </c>
      <c r="B833" s="1">
        <v>45538</v>
      </c>
      <c r="C833" t="s">
        <v>896</v>
      </c>
      <c r="D833" t="s">
        <v>876</v>
      </c>
      <c r="E833" t="s">
        <v>61</v>
      </c>
      <c r="F833" t="s">
        <v>71</v>
      </c>
      <c r="G833" t="s">
        <v>100</v>
      </c>
      <c r="H833" t="s">
        <v>84</v>
      </c>
      <c r="I833" t="s">
        <v>85</v>
      </c>
      <c r="J833" t="s">
        <v>145</v>
      </c>
      <c r="K833">
        <v>4</v>
      </c>
      <c r="L833">
        <v>3394.15</v>
      </c>
      <c r="M833">
        <v>0</v>
      </c>
      <c r="N833">
        <v>13576.6</v>
      </c>
      <c r="O833">
        <v>7603.98</v>
      </c>
      <c r="P833">
        <v>5972.62</v>
      </c>
      <c r="Q833" t="s">
        <v>53</v>
      </c>
      <c r="R833">
        <v>0.43992015674027368</v>
      </c>
      <c r="S833">
        <v>2024</v>
      </c>
      <c r="T833" t="s">
        <v>1671</v>
      </c>
      <c r="U833">
        <v>9</v>
      </c>
      <c r="V833" t="s">
        <v>1385</v>
      </c>
    </row>
    <row r="834" spans="1:22" x14ac:dyDescent="0.3">
      <c r="A834" t="s">
        <v>1682</v>
      </c>
      <c r="B834" s="1">
        <v>45538</v>
      </c>
      <c r="C834" t="s">
        <v>1629</v>
      </c>
      <c r="D834" t="s">
        <v>292</v>
      </c>
      <c r="E834" t="s">
        <v>41</v>
      </c>
      <c r="F834" t="s">
        <v>42</v>
      </c>
      <c r="G834" t="s">
        <v>42</v>
      </c>
      <c r="H834" t="s">
        <v>28</v>
      </c>
      <c r="I834" t="s">
        <v>29</v>
      </c>
      <c r="J834" t="s">
        <v>30</v>
      </c>
      <c r="K834">
        <v>3</v>
      </c>
      <c r="L834">
        <v>59162.48</v>
      </c>
      <c r="M834">
        <v>0.1</v>
      </c>
      <c r="N834">
        <v>159738.70000000001</v>
      </c>
      <c r="O834">
        <v>152297.1</v>
      </c>
      <c r="P834">
        <v>7441.6</v>
      </c>
      <c r="Q834" t="s">
        <v>46</v>
      </c>
      <c r="R834">
        <v>4.6586080893358972E-2</v>
      </c>
      <c r="S834">
        <v>2024</v>
      </c>
      <c r="T834" t="s">
        <v>1671</v>
      </c>
      <c r="U834">
        <v>9</v>
      </c>
      <c r="V834" t="s">
        <v>1385</v>
      </c>
    </row>
    <row r="835" spans="1:22" x14ac:dyDescent="0.3">
      <c r="A835" t="s">
        <v>1683</v>
      </c>
      <c r="B835" s="1">
        <v>45538</v>
      </c>
      <c r="C835" t="s">
        <v>373</v>
      </c>
      <c r="D835" t="s">
        <v>911</v>
      </c>
      <c r="E835" t="s">
        <v>25</v>
      </c>
      <c r="F835" t="s">
        <v>26</v>
      </c>
      <c r="G835" t="s">
        <v>171</v>
      </c>
      <c r="H835" t="s">
        <v>84</v>
      </c>
      <c r="I835" t="s">
        <v>85</v>
      </c>
      <c r="J835" t="s">
        <v>145</v>
      </c>
      <c r="K835">
        <v>2</v>
      </c>
      <c r="L835">
        <v>3307.78</v>
      </c>
      <c r="M835">
        <v>0</v>
      </c>
      <c r="N835">
        <v>6615.56</v>
      </c>
      <c r="O835">
        <v>3800.95</v>
      </c>
      <c r="P835">
        <v>2814.61</v>
      </c>
      <c r="Q835" t="s">
        <v>113</v>
      </c>
      <c r="R835">
        <v>0.42545302287334708</v>
      </c>
      <c r="S835">
        <v>2024</v>
      </c>
      <c r="T835" t="s">
        <v>1671</v>
      </c>
      <c r="U835">
        <v>9</v>
      </c>
      <c r="V835" t="s">
        <v>1385</v>
      </c>
    </row>
    <row r="836" spans="1:22" x14ac:dyDescent="0.3">
      <c r="A836" t="s">
        <v>1684</v>
      </c>
      <c r="B836" s="1">
        <v>45539</v>
      </c>
      <c r="C836" t="s">
        <v>1685</v>
      </c>
      <c r="D836" t="s">
        <v>313</v>
      </c>
      <c r="E836" t="s">
        <v>61</v>
      </c>
      <c r="F836" t="s">
        <v>71</v>
      </c>
      <c r="G836" t="s">
        <v>72</v>
      </c>
      <c r="H836" t="s">
        <v>28</v>
      </c>
      <c r="I836" t="s">
        <v>29</v>
      </c>
      <c r="J836" t="s">
        <v>57</v>
      </c>
      <c r="K836">
        <v>3</v>
      </c>
      <c r="L836">
        <v>15207.34</v>
      </c>
      <c r="M836">
        <v>0.05</v>
      </c>
      <c r="N836">
        <v>43340.92</v>
      </c>
      <c r="O836">
        <v>33170.870000000003</v>
      </c>
      <c r="P836">
        <v>10170.049999999999</v>
      </c>
      <c r="Q836" t="s">
        <v>46</v>
      </c>
      <c r="R836">
        <v>0.2346523793218972</v>
      </c>
      <c r="S836">
        <v>2024</v>
      </c>
      <c r="T836" t="s">
        <v>1671</v>
      </c>
      <c r="U836">
        <v>9</v>
      </c>
      <c r="V836" t="s">
        <v>1385</v>
      </c>
    </row>
    <row r="837" spans="1:22" x14ac:dyDescent="0.3">
      <c r="A837" t="s">
        <v>1686</v>
      </c>
      <c r="B837" s="1">
        <v>45539</v>
      </c>
      <c r="C837" t="s">
        <v>153</v>
      </c>
      <c r="D837" t="s">
        <v>535</v>
      </c>
      <c r="E837" t="s">
        <v>120</v>
      </c>
      <c r="F837" t="s">
        <v>121</v>
      </c>
      <c r="G837" t="s">
        <v>122</v>
      </c>
      <c r="H837" t="s">
        <v>28</v>
      </c>
      <c r="I837" t="s">
        <v>29</v>
      </c>
      <c r="J837" t="s">
        <v>30</v>
      </c>
      <c r="K837">
        <v>4</v>
      </c>
      <c r="L837">
        <v>60928.31</v>
      </c>
      <c r="M837">
        <v>0.05</v>
      </c>
      <c r="N837">
        <v>231527.58</v>
      </c>
      <c r="O837">
        <v>219661.29</v>
      </c>
      <c r="P837">
        <v>11866.29</v>
      </c>
      <c r="Q837" t="s">
        <v>67</v>
      </c>
      <c r="R837">
        <v>5.1252166156619448E-2</v>
      </c>
      <c r="S837">
        <v>2024</v>
      </c>
      <c r="T837" t="s">
        <v>1671</v>
      </c>
      <c r="U837">
        <v>9</v>
      </c>
      <c r="V837" t="s">
        <v>1385</v>
      </c>
    </row>
    <row r="838" spans="1:22" x14ac:dyDescent="0.3">
      <c r="A838" t="s">
        <v>1687</v>
      </c>
      <c r="B838" s="1">
        <v>45539</v>
      </c>
      <c r="C838" t="s">
        <v>1688</v>
      </c>
      <c r="D838" t="s">
        <v>116</v>
      </c>
      <c r="E838" t="s">
        <v>61</v>
      </c>
      <c r="F838" t="s">
        <v>71</v>
      </c>
      <c r="G838" t="s">
        <v>317</v>
      </c>
      <c r="H838" t="s">
        <v>84</v>
      </c>
      <c r="I838" t="s">
        <v>138</v>
      </c>
      <c r="J838" t="s">
        <v>139</v>
      </c>
      <c r="K838">
        <v>2</v>
      </c>
      <c r="L838">
        <v>12258.38</v>
      </c>
      <c r="M838">
        <v>0</v>
      </c>
      <c r="N838">
        <v>24516.76</v>
      </c>
      <c r="O838">
        <v>17231.400000000001</v>
      </c>
      <c r="P838">
        <v>7285.36</v>
      </c>
      <c r="Q838" t="s">
        <v>67</v>
      </c>
      <c r="R838">
        <v>0.2971583520824122</v>
      </c>
      <c r="S838">
        <v>2024</v>
      </c>
      <c r="T838" t="s">
        <v>1671</v>
      </c>
      <c r="U838">
        <v>9</v>
      </c>
      <c r="V838" t="s">
        <v>1385</v>
      </c>
    </row>
    <row r="839" spans="1:22" x14ac:dyDescent="0.3">
      <c r="A839" t="s">
        <v>1689</v>
      </c>
      <c r="B839" s="1">
        <v>45539</v>
      </c>
      <c r="C839" t="s">
        <v>635</v>
      </c>
      <c r="D839" t="s">
        <v>1307</v>
      </c>
      <c r="E839" t="s">
        <v>25</v>
      </c>
      <c r="F839" t="s">
        <v>26</v>
      </c>
      <c r="G839" t="s">
        <v>27</v>
      </c>
      <c r="H839" t="s">
        <v>84</v>
      </c>
      <c r="I839" t="s">
        <v>138</v>
      </c>
      <c r="J839" t="s">
        <v>139</v>
      </c>
      <c r="K839">
        <v>1</v>
      </c>
      <c r="L839">
        <v>13032.52</v>
      </c>
      <c r="M839">
        <v>0.1</v>
      </c>
      <c r="N839">
        <v>11729.27</v>
      </c>
      <c r="O839">
        <v>9129.56</v>
      </c>
      <c r="P839">
        <v>2599.71</v>
      </c>
      <c r="Q839" t="s">
        <v>46</v>
      </c>
      <c r="R839">
        <v>0.22164294964648271</v>
      </c>
      <c r="S839">
        <v>2024</v>
      </c>
      <c r="T839" t="s">
        <v>1671</v>
      </c>
      <c r="U839">
        <v>9</v>
      </c>
      <c r="V839" t="s">
        <v>1385</v>
      </c>
    </row>
    <row r="840" spans="1:22" x14ac:dyDescent="0.3">
      <c r="A840" t="s">
        <v>1690</v>
      </c>
      <c r="B840" s="1">
        <v>45539</v>
      </c>
      <c r="C840" t="s">
        <v>1691</v>
      </c>
      <c r="D840" t="s">
        <v>451</v>
      </c>
      <c r="E840" t="s">
        <v>61</v>
      </c>
      <c r="F840" t="s">
        <v>78</v>
      </c>
      <c r="G840" t="s">
        <v>83</v>
      </c>
      <c r="H840" t="s">
        <v>43</v>
      </c>
      <c r="I840" t="s">
        <v>51</v>
      </c>
      <c r="J840" t="s">
        <v>96</v>
      </c>
      <c r="K840">
        <v>2</v>
      </c>
      <c r="L840">
        <v>517.67999999999995</v>
      </c>
      <c r="M840">
        <v>0.05</v>
      </c>
      <c r="N840">
        <v>983.59</v>
      </c>
      <c r="O840">
        <v>464.76</v>
      </c>
      <c r="P840">
        <v>518.83000000000004</v>
      </c>
      <c r="Q840" t="s">
        <v>46</v>
      </c>
      <c r="R840">
        <v>0.52748604601510796</v>
      </c>
      <c r="S840">
        <v>2024</v>
      </c>
      <c r="T840" t="s">
        <v>1671</v>
      </c>
      <c r="U840">
        <v>9</v>
      </c>
      <c r="V840" t="s">
        <v>1385</v>
      </c>
    </row>
    <row r="841" spans="1:22" x14ac:dyDescent="0.3">
      <c r="A841" t="s">
        <v>1692</v>
      </c>
      <c r="B841" s="1">
        <v>45540</v>
      </c>
      <c r="C841" t="s">
        <v>1444</v>
      </c>
      <c r="D841" t="s">
        <v>310</v>
      </c>
      <c r="E841" t="s">
        <v>61</v>
      </c>
      <c r="F841" t="s">
        <v>78</v>
      </c>
      <c r="G841" t="s">
        <v>104</v>
      </c>
      <c r="H841" t="s">
        <v>64</v>
      </c>
      <c r="I841" t="s">
        <v>108</v>
      </c>
      <c r="J841" t="s">
        <v>155</v>
      </c>
      <c r="K841">
        <v>2</v>
      </c>
      <c r="L841">
        <v>8096.13</v>
      </c>
      <c r="M841">
        <v>0.1</v>
      </c>
      <c r="N841">
        <v>14573.03</v>
      </c>
      <c r="O841">
        <v>10921.38</v>
      </c>
      <c r="P841">
        <v>3651.65</v>
      </c>
      <c r="Q841" t="s">
        <v>31</v>
      </c>
      <c r="R841">
        <v>0.25057589259062801</v>
      </c>
      <c r="S841">
        <v>2024</v>
      </c>
      <c r="T841" t="s">
        <v>1671</v>
      </c>
      <c r="U841">
        <v>9</v>
      </c>
      <c r="V841" t="s">
        <v>1385</v>
      </c>
    </row>
    <row r="842" spans="1:22" x14ac:dyDescent="0.3">
      <c r="A842" t="s">
        <v>1693</v>
      </c>
      <c r="B842" s="1">
        <v>45540</v>
      </c>
      <c r="C842" t="s">
        <v>1395</v>
      </c>
      <c r="D842" t="s">
        <v>1002</v>
      </c>
      <c r="E842" t="s">
        <v>61</v>
      </c>
      <c r="F842" t="s">
        <v>78</v>
      </c>
      <c r="G842" t="s">
        <v>216</v>
      </c>
      <c r="H842" t="s">
        <v>43</v>
      </c>
      <c r="I842" t="s">
        <v>51</v>
      </c>
      <c r="J842" t="s">
        <v>96</v>
      </c>
      <c r="K842">
        <v>1</v>
      </c>
      <c r="L842">
        <v>518.45000000000005</v>
      </c>
      <c r="M842">
        <v>0.05</v>
      </c>
      <c r="N842">
        <v>492.53</v>
      </c>
      <c r="O842">
        <v>239.08</v>
      </c>
      <c r="P842">
        <v>253.45</v>
      </c>
      <c r="Q842" t="s">
        <v>53</v>
      </c>
      <c r="R842">
        <v>0.51458794388159101</v>
      </c>
      <c r="S842">
        <v>2024</v>
      </c>
      <c r="T842" t="s">
        <v>1671</v>
      </c>
      <c r="U842">
        <v>9</v>
      </c>
      <c r="V842" t="s">
        <v>1385</v>
      </c>
    </row>
    <row r="843" spans="1:22" x14ac:dyDescent="0.3">
      <c r="A843" t="s">
        <v>1694</v>
      </c>
      <c r="B843" s="1">
        <v>45540</v>
      </c>
      <c r="C843" t="s">
        <v>1283</v>
      </c>
      <c r="D843" t="s">
        <v>1263</v>
      </c>
      <c r="E843" t="s">
        <v>41</v>
      </c>
      <c r="F843" t="s">
        <v>42</v>
      </c>
      <c r="G843" t="s">
        <v>42</v>
      </c>
      <c r="H843" t="s">
        <v>84</v>
      </c>
      <c r="I843" t="s">
        <v>138</v>
      </c>
      <c r="J843" t="s">
        <v>220</v>
      </c>
      <c r="K843">
        <v>2</v>
      </c>
      <c r="L843">
        <v>7769.82</v>
      </c>
      <c r="M843">
        <v>0.05</v>
      </c>
      <c r="N843">
        <v>14762.66</v>
      </c>
      <c r="O843">
        <v>9794.48</v>
      </c>
      <c r="P843">
        <v>4968.18</v>
      </c>
      <c r="Q843" t="s">
        <v>46</v>
      </c>
      <c r="R843">
        <v>0.33653691136963132</v>
      </c>
      <c r="S843">
        <v>2024</v>
      </c>
      <c r="T843" t="s">
        <v>1671</v>
      </c>
      <c r="U843">
        <v>9</v>
      </c>
      <c r="V843" t="s">
        <v>1385</v>
      </c>
    </row>
    <row r="844" spans="1:22" x14ac:dyDescent="0.3">
      <c r="A844" t="s">
        <v>1695</v>
      </c>
      <c r="B844" s="1">
        <v>45540</v>
      </c>
      <c r="C844" t="s">
        <v>546</v>
      </c>
      <c r="D844" t="s">
        <v>969</v>
      </c>
      <c r="E844" t="s">
        <v>61</v>
      </c>
      <c r="F844" t="s">
        <v>78</v>
      </c>
      <c r="G844" t="s">
        <v>104</v>
      </c>
      <c r="H844" t="s">
        <v>28</v>
      </c>
      <c r="I844" t="s">
        <v>29</v>
      </c>
      <c r="J844" t="s">
        <v>57</v>
      </c>
      <c r="K844">
        <v>1</v>
      </c>
      <c r="L844">
        <v>16141</v>
      </c>
      <c r="M844">
        <v>0.05</v>
      </c>
      <c r="N844">
        <v>15333.95</v>
      </c>
      <c r="O844">
        <v>12212.17</v>
      </c>
      <c r="P844">
        <v>3121.78</v>
      </c>
      <c r="Q844" t="s">
        <v>31</v>
      </c>
      <c r="R844">
        <v>0.20358616012182121</v>
      </c>
      <c r="S844">
        <v>2024</v>
      </c>
      <c r="T844" t="s">
        <v>1671</v>
      </c>
      <c r="U844">
        <v>9</v>
      </c>
      <c r="V844" t="s">
        <v>1385</v>
      </c>
    </row>
    <row r="845" spans="1:22" x14ac:dyDescent="0.3">
      <c r="A845" t="s">
        <v>1696</v>
      </c>
      <c r="B845" s="1">
        <v>45540</v>
      </c>
      <c r="C845" t="s">
        <v>826</v>
      </c>
      <c r="D845" t="s">
        <v>1307</v>
      </c>
      <c r="E845" t="s">
        <v>61</v>
      </c>
      <c r="F845" t="s">
        <v>62</v>
      </c>
      <c r="G845" t="s">
        <v>134</v>
      </c>
      <c r="H845" t="s">
        <v>28</v>
      </c>
      <c r="I845" t="s">
        <v>73</v>
      </c>
      <c r="J845" t="s">
        <v>74</v>
      </c>
      <c r="K845">
        <v>6</v>
      </c>
      <c r="L845">
        <v>2429.4</v>
      </c>
      <c r="M845">
        <v>0.2</v>
      </c>
      <c r="N845">
        <v>11661.12</v>
      </c>
      <c r="O845">
        <v>7914.79</v>
      </c>
      <c r="P845">
        <v>3746.33</v>
      </c>
      <c r="Q845" t="s">
        <v>46</v>
      </c>
      <c r="R845">
        <v>0.32126673938695421</v>
      </c>
      <c r="S845">
        <v>2024</v>
      </c>
      <c r="T845" t="s">
        <v>1671</v>
      </c>
      <c r="U845">
        <v>9</v>
      </c>
      <c r="V845" t="s">
        <v>1385</v>
      </c>
    </row>
    <row r="846" spans="1:22" x14ac:dyDescent="0.3">
      <c r="A846" t="s">
        <v>1697</v>
      </c>
      <c r="B846" s="1">
        <v>45540</v>
      </c>
      <c r="C846" t="s">
        <v>761</v>
      </c>
      <c r="D846" t="s">
        <v>507</v>
      </c>
      <c r="E846" t="s">
        <v>61</v>
      </c>
      <c r="F846" t="s">
        <v>78</v>
      </c>
      <c r="G846" t="s">
        <v>216</v>
      </c>
      <c r="H846" t="s">
        <v>64</v>
      </c>
      <c r="I846" t="s">
        <v>108</v>
      </c>
      <c r="J846" t="s">
        <v>109</v>
      </c>
      <c r="K846">
        <v>3</v>
      </c>
      <c r="L846">
        <v>6628.24</v>
      </c>
      <c r="M846">
        <v>0.15</v>
      </c>
      <c r="N846">
        <v>16902.009999999998</v>
      </c>
      <c r="O846">
        <v>13023.54</v>
      </c>
      <c r="P846">
        <v>3878.47</v>
      </c>
      <c r="Q846" t="s">
        <v>67</v>
      </c>
      <c r="R846">
        <v>0.22946797451900691</v>
      </c>
      <c r="S846">
        <v>2024</v>
      </c>
      <c r="T846" t="s">
        <v>1671</v>
      </c>
      <c r="U846">
        <v>9</v>
      </c>
      <c r="V846" t="s">
        <v>1385</v>
      </c>
    </row>
    <row r="847" spans="1:22" x14ac:dyDescent="0.3">
      <c r="A847" t="s">
        <v>1698</v>
      </c>
      <c r="B847" s="1">
        <v>45541</v>
      </c>
      <c r="C847" t="s">
        <v>1699</v>
      </c>
      <c r="D847" t="s">
        <v>398</v>
      </c>
      <c r="E847" t="s">
        <v>41</v>
      </c>
      <c r="F847" t="s">
        <v>42</v>
      </c>
      <c r="G847" t="s">
        <v>50</v>
      </c>
      <c r="H847" t="s">
        <v>43</v>
      </c>
      <c r="I847" t="s">
        <v>51</v>
      </c>
      <c r="J847" t="s">
        <v>96</v>
      </c>
      <c r="K847">
        <v>3</v>
      </c>
      <c r="L847">
        <v>528.86</v>
      </c>
      <c r="M847">
        <v>0.15</v>
      </c>
      <c r="N847">
        <v>1348.59</v>
      </c>
      <c r="O847">
        <v>702.33</v>
      </c>
      <c r="P847">
        <v>646.26</v>
      </c>
      <c r="Q847" t="s">
        <v>53</v>
      </c>
      <c r="R847">
        <v>0.47921162102640541</v>
      </c>
      <c r="S847">
        <v>2024</v>
      </c>
      <c r="T847" t="s">
        <v>1671</v>
      </c>
      <c r="U847">
        <v>9</v>
      </c>
      <c r="V847" t="s">
        <v>1385</v>
      </c>
    </row>
    <row r="848" spans="1:22" x14ac:dyDescent="0.3">
      <c r="A848" t="s">
        <v>1700</v>
      </c>
      <c r="B848" s="1">
        <v>45542</v>
      </c>
      <c r="C848" t="s">
        <v>1685</v>
      </c>
      <c r="D848" t="s">
        <v>507</v>
      </c>
      <c r="E848" t="s">
        <v>25</v>
      </c>
      <c r="F848" t="s">
        <v>26</v>
      </c>
      <c r="G848" t="s">
        <v>27</v>
      </c>
      <c r="H848" t="s">
        <v>84</v>
      </c>
      <c r="I848" t="s">
        <v>85</v>
      </c>
      <c r="J848" t="s">
        <v>86</v>
      </c>
      <c r="K848">
        <v>5</v>
      </c>
      <c r="L848">
        <v>1798.31</v>
      </c>
      <c r="M848">
        <v>0.15</v>
      </c>
      <c r="N848">
        <v>7642.82</v>
      </c>
      <c r="O848">
        <v>4780.3599999999997</v>
      </c>
      <c r="P848">
        <v>2862.46</v>
      </c>
      <c r="Q848" t="s">
        <v>53</v>
      </c>
      <c r="R848">
        <v>0.37452929677789087</v>
      </c>
      <c r="S848">
        <v>2024</v>
      </c>
      <c r="T848" t="s">
        <v>1671</v>
      </c>
      <c r="U848">
        <v>9</v>
      </c>
      <c r="V848" t="s">
        <v>1385</v>
      </c>
    </row>
    <row r="849" spans="1:22" x14ac:dyDescent="0.3">
      <c r="A849" t="s">
        <v>1701</v>
      </c>
      <c r="B849" s="1">
        <v>45542</v>
      </c>
      <c r="C849" t="s">
        <v>756</v>
      </c>
      <c r="D849" t="s">
        <v>954</v>
      </c>
      <c r="E849" t="s">
        <v>61</v>
      </c>
      <c r="F849" t="s">
        <v>78</v>
      </c>
      <c r="G849" t="s">
        <v>216</v>
      </c>
      <c r="H849" t="s">
        <v>28</v>
      </c>
      <c r="I849" t="s">
        <v>29</v>
      </c>
      <c r="J849" t="s">
        <v>57</v>
      </c>
      <c r="K849">
        <v>3</v>
      </c>
      <c r="L849">
        <v>15526.49</v>
      </c>
      <c r="M849">
        <v>0.1</v>
      </c>
      <c r="N849">
        <v>41921.519999999997</v>
      </c>
      <c r="O849">
        <v>33715.46</v>
      </c>
      <c r="P849">
        <v>8206.06</v>
      </c>
      <c r="Q849" t="s">
        <v>46</v>
      </c>
      <c r="R849">
        <v>0.19574815035332691</v>
      </c>
      <c r="S849">
        <v>2024</v>
      </c>
      <c r="T849" t="s">
        <v>1671</v>
      </c>
      <c r="U849">
        <v>9</v>
      </c>
      <c r="V849" t="s">
        <v>1385</v>
      </c>
    </row>
    <row r="850" spans="1:22" x14ac:dyDescent="0.3">
      <c r="A850" t="s">
        <v>1702</v>
      </c>
      <c r="B850" s="1">
        <v>45542</v>
      </c>
      <c r="C850" t="s">
        <v>1626</v>
      </c>
      <c r="D850" t="s">
        <v>906</v>
      </c>
      <c r="E850" t="s">
        <v>41</v>
      </c>
      <c r="F850" t="s">
        <v>42</v>
      </c>
      <c r="G850" t="s">
        <v>42</v>
      </c>
      <c r="H850" t="s">
        <v>64</v>
      </c>
      <c r="I850" t="s">
        <v>65</v>
      </c>
      <c r="J850" t="s">
        <v>66</v>
      </c>
      <c r="K850">
        <v>3</v>
      </c>
      <c r="L850">
        <v>4733.95</v>
      </c>
      <c r="M850">
        <v>0.05</v>
      </c>
      <c r="N850">
        <v>13491.76</v>
      </c>
      <c r="O850">
        <v>8865.07</v>
      </c>
      <c r="P850">
        <v>4626.6899999999996</v>
      </c>
      <c r="Q850" t="s">
        <v>67</v>
      </c>
      <c r="R850">
        <v>0.34292709031290208</v>
      </c>
      <c r="S850">
        <v>2024</v>
      </c>
      <c r="T850" t="s">
        <v>1671</v>
      </c>
      <c r="U850">
        <v>9</v>
      </c>
      <c r="V850" t="s">
        <v>1385</v>
      </c>
    </row>
    <row r="851" spans="1:22" x14ac:dyDescent="0.3">
      <c r="A851" t="s">
        <v>1703</v>
      </c>
      <c r="B851" s="1">
        <v>45542</v>
      </c>
      <c r="C851" t="s">
        <v>1704</v>
      </c>
      <c r="D851" t="s">
        <v>957</v>
      </c>
      <c r="E851" t="s">
        <v>41</v>
      </c>
      <c r="F851" t="s">
        <v>42</v>
      </c>
      <c r="G851" t="s">
        <v>42</v>
      </c>
      <c r="H851" t="s">
        <v>28</v>
      </c>
      <c r="I851" t="s">
        <v>91</v>
      </c>
      <c r="J851" t="s">
        <v>92</v>
      </c>
      <c r="K851">
        <v>3</v>
      </c>
      <c r="L851">
        <v>2940.69</v>
      </c>
      <c r="M851">
        <v>0.05</v>
      </c>
      <c r="N851">
        <v>8380.9699999999993</v>
      </c>
      <c r="O851">
        <v>4558.1099999999997</v>
      </c>
      <c r="P851">
        <v>3822.86</v>
      </c>
      <c r="Q851" t="s">
        <v>31</v>
      </c>
      <c r="R851">
        <v>0.45613574562371662</v>
      </c>
      <c r="S851">
        <v>2024</v>
      </c>
      <c r="T851" t="s">
        <v>1671</v>
      </c>
      <c r="U851">
        <v>9</v>
      </c>
      <c r="V851" t="s">
        <v>1385</v>
      </c>
    </row>
    <row r="852" spans="1:22" x14ac:dyDescent="0.3">
      <c r="A852" t="s">
        <v>1705</v>
      </c>
      <c r="B852" s="1">
        <v>45543</v>
      </c>
      <c r="C852" t="s">
        <v>1679</v>
      </c>
      <c r="D852" t="s">
        <v>112</v>
      </c>
      <c r="E852" t="s">
        <v>120</v>
      </c>
      <c r="F852" t="s">
        <v>121</v>
      </c>
      <c r="G852" t="s">
        <v>122</v>
      </c>
      <c r="H852" t="s">
        <v>28</v>
      </c>
      <c r="I852" t="s">
        <v>91</v>
      </c>
      <c r="J852" t="s">
        <v>92</v>
      </c>
      <c r="K852">
        <v>2</v>
      </c>
      <c r="L852">
        <v>3066.2</v>
      </c>
      <c r="M852">
        <v>0</v>
      </c>
      <c r="N852">
        <v>6132.4</v>
      </c>
      <c r="O852">
        <v>3124.6</v>
      </c>
      <c r="P852">
        <v>3007.8</v>
      </c>
      <c r="Q852" t="s">
        <v>46</v>
      </c>
      <c r="R852">
        <v>0.4904768116887353</v>
      </c>
      <c r="S852">
        <v>2024</v>
      </c>
      <c r="T852" t="s">
        <v>1671</v>
      </c>
      <c r="U852">
        <v>9</v>
      </c>
      <c r="V852" t="s">
        <v>1385</v>
      </c>
    </row>
    <row r="853" spans="1:22" x14ac:dyDescent="0.3">
      <c r="A853" t="s">
        <v>1706</v>
      </c>
      <c r="B853" s="1">
        <v>45543</v>
      </c>
      <c r="C853" t="s">
        <v>240</v>
      </c>
      <c r="D853" t="s">
        <v>357</v>
      </c>
      <c r="E853" t="s">
        <v>61</v>
      </c>
      <c r="F853" t="s">
        <v>71</v>
      </c>
      <c r="G853" t="s">
        <v>72</v>
      </c>
      <c r="H853" t="s">
        <v>28</v>
      </c>
      <c r="I853" t="s">
        <v>91</v>
      </c>
      <c r="J853" t="s">
        <v>92</v>
      </c>
      <c r="K853">
        <v>1</v>
      </c>
      <c r="L853">
        <v>2995.75</v>
      </c>
      <c r="M853">
        <v>0</v>
      </c>
      <c r="N853">
        <v>2995.75</v>
      </c>
      <c r="O853">
        <v>1565.74</v>
      </c>
      <c r="P853">
        <v>1430.01</v>
      </c>
      <c r="Q853" t="s">
        <v>31</v>
      </c>
      <c r="R853">
        <v>0.47734624050738539</v>
      </c>
      <c r="S853">
        <v>2024</v>
      </c>
      <c r="T853" t="s">
        <v>1671</v>
      </c>
      <c r="U853">
        <v>9</v>
      </c>
      <c r="V853" t="s">
        <v>1385</v>
      </c>
    </row>
    <row r="854" spans="1:22" x14ac:dyDescent="0.3">
      <c r="A854" t="s">
        <v>1707</v>
      </c>
      <c r="B854" s="1">
        <v>45543</v>
      </c>
      <c r="C854" t="s">
        <v>255</v>
      </c>
      <c r="D854" t="s">
        <v>129</v>
      </c>
      <c r="E854" t="s">
        <v>61</v>
      </c>
      <c r="F854" t="s">
        <v>71</v>
      </c>
      <c r="G854" t="s">
        <v>317</v>
      </c>
      <c r="H854" t="s">
        <v>43</v>
      </c>
      <c r="I854" t="s">
        <v>51</v>
      </c>
      <c r="J854" t="s">
        <v>96</v>
      </c>
      <c r="K854">
        <v>3</v>
      </c>
      <c r="L854">
        <v>520.24</v>
      </c>
      <c r="M854">
        <v>0.15</v>
      </c>
      <c r="N854">
        <v>1326.61</v>
      </c>
      <c r="O854">
        <v>687.78</v>
      </c>
      <c r="P854">
        <v>638.83000000000004</v>
      </c>
      <c r="Q854" t="s">
        <v>31</v>
      </c>
      <c r="R854">
        <v>0.48155071950309442</v>
      </c>
      <c r="S854">
        <v>2024</v>
      </c>
      <c r="T854" t="s">
        <v>1671</v>
      </c>
      <c r="U854">
        <v>9</v>
      </c>
      <c r="V854" t="s">
        <v>1385</v>
      </c>
    </row>
    <row r="855" spans="1:22" x14ac:dyDescent="0.3">
      <c r="A855" t="s">
        <v>1708</v>
      </c>
      <c r="B855" s="1">
        <v>45544</v>
      </c>
      <c r="C855" t="s">
        <v>800</v>
      </c>
      <c r="D855" t="s">
        <v>707</v>
      </c>
      <c r="E855" t="s">
        <v>61</v>
      </c>
      <c r="F855" t="s">
        <v>78</v>
      </c>
      <c r="G855" t="s">
        <v>79</v>
      </c>
      <c r="H855" t="s">
        <v>43</v>
      </c>
      <c r="I855" t="s">
        <v>51</v>
      </c>
      <c r="J855" t="s">
        <v>96</v>
      </c>
      <c r="K855">
        <v>1</v>
      </c>
      <c r="L855">
        <v>488.12</v>
      </c>
      <c r="M855">
        <v>0.1</v>
      </c>
      <c r="N855">
        <v>439.31</v>
      </c>
      <c r="O855">
        <v>220.6</v>
      </c>
      <c r="P855">
        <v>218.71</v>
      </c>
      <c r="Q855" t="s">
        <v>53</v>
      </c>
      <c r="R855">
        <v>0.49784889941043908</v>
      </c>
      <c r="S855">
        <v>2024</v>
      </c>
      <c r="T855" t="s">
        <v>1671</v>
      </c>
      <c r="U855">
        <v>9</v>
      </c>
      <c r="V855" t="s">
        <v>1385</v>
      </c>
    </row>
    <row r="856" spans="1:22" x14ac:dyDescent="0.3">
      <c r="A856" t="s">
        <v>1709</v>
      </c>
      <c r="B856" s="1">
        <v>45544</v>
      </c>
      <c r="C856" t="s">
        <v>1460</v>
      </c>
      <c r="D856" t="s">
        <v>1235</v>
      </c>
      <c r="E856" t="s">
        <v>41</v>
      </c>
      <c r="F856" t="s">
        <v>42</v>
      </c>
      <c r="G856" t="s">
        <v>50</v>
      </c>
      <c r="H856" t="s">
        <v>28</v>
      </c>
      <c r="I856" t="s">
        <v>73</v>
      </c>
      <c r="J856" t="s">
        <v>80</v>
      </c>
      <c r="K856">
        <v>4</v>
      </c>
      <c r="L856">
        <v>781.94</v>
      </c>
      <c r="M856">
        <v>0.15</v>
      </c>
      <c r="N856">
        <v>2658.6</v>
      </c>
      <c r="O856">
        <v>1950.31</v>
      </c>
      <c r="P856">
        <v>708.29</v>
      </c>
      <c r="Q856" t="s">
        <v>46</v>
      </c>
      <c r="R856">
        <v>0.26641465432934619</v>
      </c>
      <c r="S856">
        <v>2024</v>
      </c>
      <c r="T856" t="s">
        <v>1671</v>
      </c>
      <c r="U856">
        <v>9</v>
      </c>
      <c r="V856" t="s">
        <v>1385</v>
      </c>
    </row>
    <row r="857" spans="1:22" x14ac:dyDescent="0.3">
      <c r="A857" t="s">
        <v>1710</v>
      </c>
      <c r="B857" s="1">
        <v>45545</v>
      </c>
      <c r="C857" t="s">
        <v>1711</v>
      </c>
      <c r="D857" t="s">
        <v>670</v>
      </c>
      <c r="E857" t="s">
        <v>25</v>
      </c>
      <c r="F857" t="s">
        <v>26</v>
      </c>
      <c r="G857" t="s">
        <v>260</v>
      </c>
      <c r="H857" t="s">
        <v>28</v>
      </c>
      <c r="I857" t="s">
        <v>91</v>
      </c>
      <c r="J857" t="s">
        <v>92</v>
      </c>
      <c r="K857">
        <v>4</v>
      </c>
      <c r="L857">
        <v>2825.81</v>
      </c>
      <c r="M857">
        <v>0</v>
      </c>
      <c r="N857">
        <v>11303.24</v>
      </c>
      <c r="O857">
        <v>5878.26</v>
      </c>
      <c r="P857">
        <v>5424.98</v>
      </c>
      <c r="Q857" t="s">
        <v>31</v>
      </c>
      <c r="R857">
        <v>0.47994911193604661</v>
      </c>
      <c r="S857">
        <v>2024</v>
      </c>
      <c r="T857" t="s">
        <v>1671</v>
      </c>
      <c r="U857">
        <v>9</v>
      </c>
      <c r="V857" t="s">
        <v>1385</v>
      </c>
    </row>
    <row r="858" spans="1:22" x14ac:dyDescent="0.3">
      <c r="A858" t="s">
        <v>1712</v>
      </c>
      <c r="B858" s="1">
        <v>45546</v>
      </c>
      <c r="C858" t="s">
        <v>1713</v>
      </c>
      <c r="D858" t="s">
        <v>695</v>
      </c>
      <c r="E858" t="s">
        <v>25</v>
      </c>
      <c r="F858" t="s">
        <v>26</v>
      </c>
      <c r="G858" t="s">
        <v>171</v>
      </c>
      <c r="H858" t="s">
        <v>43</v>
      </c>
      <c r="I858" t="s">
        <v>51</v>
      </c>
      <c r="J858" t="s">
        <v>96</v>
      </c>
      <c r="K858">
        <v>1</v>
      </c>
      <c r="L858">
        <v>528.17999999999995</v>
      </c>
      <c r="M858">
        <v>0.1</v>
      </c>
      <c r="N858">
        <v>475.36</v>
      </c>
      <c r="O858">
        <v>233.69</v>
      </c>
      <c r="P858">
        <v>241.67</v>
      </c>
      <c r="Q858" t="s">
        <v>46</v>
      </c>
      <c r="R858">
        <v>0.50839363850555364</v>
      </c>
      <c r="S858">
        <v>2024</v>
      </c>
      <c r="T858" t="s">
        <v>1671</v>
      </c>
      <c r="U858">
        <v>9</v>
      </c>
      <c r="V858" t="s">
        <v>1385</v>
      </c>
    </row>
    <row r="859" spans="1:22" x14ac:dyDescent="0.3">
      <c r="A859" t="s">
        <v>1714</v>
      </c>
      <c r="B859" s="1">
        <v>45546</v>
      </c>
      <c r="C859" t="s">
        <v>898</v>
      </c>
      <c r="D859" t="s">
        <v>575</v>
      </c>
      <c r="E859" t="s">
        <v>25</v>
      </c>
      <c r="F859" t="s">
        <v>26</v>
      </c>
      <c r="G859" t="s">
        <v>171</v>
      </c>
      <c r="H859" t="s">
        <v>84</v>
      </c>
      <c r="I859" t="s">
        <v>85</v>
      </c>
      <c r="J859" t="s">
        <v>145</v>
      </c>
      <c r="K859">
        <v>1</v>
      </c>
      <c r="L859">
        <v>3443.78</v>
      </c>
      <c r="M859">
        <v>0.1</v>
      </c>
      <c r="N859">
        <v>3099.4</v>
      </c>
      <c r="O859">
        <v>2010.58</v>
      </c>
      <c r="P859">
        <v>1088.82</v>
      </c>
      <c r="Q859" t="s">
        <v>53</v>
      </c>
      <c r="R859">
        <v>0.35130025166161188</v>
      </c>
      <c r="S859">
        <v>2024</v>
      </c>
      <c r="T859" t="s">
        <v>1671</v>
      </c>
      <c r="U859">
        <v>9</v>
      </c>
      <c r="V859" t="s">
        <v>1385</v>
      </c>
    </row>
    <row r="860" spans="1:22" x14ac:dyDescent="0.3">
      <c r="A860" t="s">
        <v>1715</v>
      </c>
      <c r="B860" s="1">
        <v>45546</v>
      </c>
      <c r="C860" t="s">
        <v>1716</v>
      </c>
      <c r="D860" t="s">
        <v>1717</v>
      </c>
      <c r="E860" t="s">
        <v>25</v>
      </c>
      <c r="F860" t="s">
        <v>26</v>
      </c>
      <c r="G860" t="s">
        <v>171</v>
      </c>
      <c r="H860" t="s">
        <v>43</v>
      </c>
      <c r="I860" t="s">
        <v>44</v>
      </c>
      <c r="J860" t="s">
        <v>45</v>
      </c>
      <c r="K860">
        <v>4</v>
      </c>
      <c r="L860">
        <v>241.09</v>
      </c>
      <c r="M860">
        <v>0.1</v>
      </c>
      <c r="N860">
        <v>867.92</v>
      </c>
      <c r="O860">
        <v>353.35</v>
      </c>
      <c r="P860">
        <v>514.57000000000005</v>
      </c>
      <c r="Q860" t="s">
        <v>46</v>
      </c>
      <c r="R860">
        <v>0.59287722370725426</v>
      </c>
      <c r="S860">
        <v>2024</v>
      </c>
      <c r="T860" t="s">
        <v>1671</v>
      </c>
      <c r="U860">
        <v>9</v>
      </c>
      <c r="V860" t="s">
        <v>1385</v>
      </c>
    </row>
    <row r="861" spans="1:22" x14ac:dyDescent="0.3">
      <c r="A861" t="s">
        <v>1718</v>
      </c>
      <c r="B861" s="1">
        <v>45546</v>
      </c>
      <c r="C861" t="s">
        <v>640</v>
      </c>
      <c r="D861" t="s">
        <v>390</v>
      </c>
      <c r="E861" t="s">
        <v>61</v>
      </c>
      <c r="F861" t="s">
        <v>78</v>
      </c>
      <c r="G861" t="s">
        <v>216</v>
      </c>
      <c r="H861" t="s">
        <v>28</v>
      </c>
      <c r="I861" t="s">
        <v>73</v>
      </c>
      <c r="J861" t="s">
        <v>80</v>
      </c>
      <c r="K861">
        <v>4</v>
      </c>
      <c r="L861">
        <v>808.82</v>
      </c>
      <c r="M861">
        <v>0.15</v>
      </c>
      <c r="N861">
        <v>2749.99</v>
      </c>
      <c r="O861">
        <v>2063.14</v>
      </c>
      <c r="P861">
        <v>686.85</v>
      </c>
      <c r="Q861" t="s">
        <v>53</v>
      </c>
      <c r="R861">
        <v>0.24976454459834399</v>
      </c>
      <c r="S861">
        <v>2024</v>
      </c>
      <c r="T861" t="s">
        <v>1671</v>
      </c>
      <c r="U861">
        <v>9</v>
      </c>
      <c r="V861" t="s">
        <v>1385</v>
      </c>
    </row>
    <row r="862" spans="1:22" x14ac:dyDescent="0.3">
      <c r="A862" t="s">
        <v>1719</v>
      </c>
      <c r="B862" s="1">
        <v>45547</v>
      </c>
      <c r="C862" t="s">
        <v>421</v>
      </c>
      <c r="D862" t="s">
        <v>957</v>
      </c>
      <c r="E862" t="s">
        <v>61</v>
      </c>
      <c r="F862" t="s">
        <v>78</v>
      </c>
      <c r="G862" t="s">
        <v>216</v>
      </c>
      <c r="H862" t="s">
        <v>28</v>
      </c>
      <c r="I862" t="s">
        <v>73</v>
      </c>
      <c r="J862" t="s">
        <v>80</v>
      </c>
      <c r="K862">
        <v>6</v>
      </c>
      <c r="L862">
        <v>763.27</v>
      </c>
      <c r="M862">
        <v>0</v>
      </c>
      <c r="N862">
        <v>4579.62</v>
      </c>
      <c r="O862">
        <v>2891.38</v>
      </c>
      <c r="P862">
        <v>1688.24</v>
      </c>
      <c r="Q862" t="s">
        <v>46</v>
      </c>
      <c r="R862">
        <v>0.36864193972425657</v>
      </c>
      <c r="S862">
        <v>2024</v>
      </c>
      <c r="T862" t="s">
        <v>1671</v>
      </c>
      <c r="U862">
        <v>9</v>
      </c>
      <c r="V862" t="s">
        <v>1385</v>
      </c>
    </row>
    <row r="863" spans="1:22" x14ac:dyDescent="0.3">
      <c r="A863" t="s">
        <v>1720</v>
      </c>
      <c r="B863" s="1">
        <v>45547</v>
      </c>
      <c r="C863" t="s">
        <v>1721</v>
      </c>
      <c r="D863" t="s">
        <v>244</v>
      </c>
      <c r="E863" t="s">
        <v>61</v>
      </c>
      <c r="F863" t="s">
        <v>78</v>
      </c>
      <c r="G863" t="s">
        <v>79</v>
      </c>
      <c r="H863" t="s">
        <v>28</v>
      </c>
      <c r="I863" t="s">
        <v>73</v>
      </c>
      <c r="J863" t="s">
        <v>80</v>
      </c>
      <c r="K863">
        <v>1</v>
      </c>
      <c r="L863">
        <v>840.02</v>
      </c>
      <c r="M863">
        <v>0.15</v>
      </c>
      <c r="N863">
        <v>714.02</v>
      </c>
      <c r="O863">
        <v>520.66</v>
      </c>
      <c r="P863">
        <v>193.36</v>
      </c>
      <c r="Q863" t="s">
        <v>53</v>
      </c>
      <c r="R863">
        <v>0.27080473936304311</v>
      </c>
      <c r="S863">
        <v>2024</v>
      </c>
      <c r="T863" t="s">
        <v>1671</v>
      </c>
      <c r="U863">
        <v>9</v>
      </c>
      <c r="V863" t="s">
        <v>1385</v>
      </c>
    </row>
    <row r="864" spans="1:22" x14ac:dyDescent="0.3">
      <c r="A864" t="s">
        <v>1722</v>
      </c>
      <c r="B864" s="1">
        <v>45547</v>
      </c>
      <c r="C864" t="s">
        <v>1664</v>
      </c>
      <c r="D864" t="s">
        <v>1585</v>
      </c>
      <c r="E864" t="s">
        <v>61</v>
      </c>
      <c r="F864" t="s">
        <v>71</v>
      </c>
      <c r="G864" t="s">
        <v>100</v>
      </c>
      <c r="H864" t="s">
        <v>28</v>
      </c>
      <c r="I864" t="s">
        <v>73</v>
      </c>
      <c r="J864" t="s">
        <v>74</v>
      </c>
      <c r="K864">
        <v>3</v>
      </c>
      <c r="L864">
        <v>2602.7399999999998</v>
      </c>
      <c r="M864">
        <v>0</v>
      </c>
      <c r="N864">
        <v>7808.22</v>
      </c>
      <c r="O864">
        <v>4449.82</v>
      </c>
      <c r="P864">
        <v>3358.4</v>
      </c>
      <c r="Q864" t="s">
        <v>53</v>
      </c>
      <c r="R864">
        <v>0.43011083191815802</v>
      </c>
      <c r="S864">
        <v>2024</v>
      </c>
      <c r="T864" t="s">
        <v>1671</v>
      </c>
      <c r="U864">
        <v>9</v>
      </c>
      <c r="V864" t="s">
        <v>1385</v>
      </c>
    </row>
    <row r="865" spans="1:22" x14ac:dyDescent="0.3">
      <c r="A865" t="s">
        <v>1723</v>
      </c>
      <c r="B865" s="1">
        <v>45547</v>
      </c>
      <c r="C865" t="s">
        <v>556</v>
      </c>
      <c r="D865" t="s">
        <v>1304</v>
      </c>
      <c r="E865" t="s">
        <v>61</v>
      </c>
      <c r="F865" t="s">
        <v>71</v>
      </c>
      <c r="G865" t="s">
        <v>317</v>
      </c>
      <c r="H865" t="s">
        <v>64</v>
      </c>
      <c r="I865" t="s">
        <v>65</v>
      </c>
      <c r="J865" t="s">
        <v>232</v>
      </c>
      <c r="K865">
        <v>3</v>
      </c>
      <c r="L865">
        <v>3862.47</v>
      </c>
      <c r="M865">
        <v>0.1</v>
      </c>
      <c r="N865">
        <v>10428.67</v>
      </c>
      <c r="O865">
        <v>7443.27</v>
      </c>
      <c r="P865">
        <v>2985.4</v>
      </c>
      <c r="Q865" t="s">
        <v>46</v>
      </c>
      <c r="R865">
        <v>0.28626852705090872</v>
      </c>
      <c r="S865">
        <v>2024</v>
      </c>
      <c r="T865" t="s">
        <v>1671</v>
      </c>
      <c r="U865">
        <v>9</v>
      </c>
      <c r="V865" t="s">
        <v>1385</v>
      </c>
    </row>
    <row r="866" spans="1:22" x14ac:dyDescent="0.3">
      <c r="A866" t="s">
        <v>1724</v>
      </c>
      <c r="B866" s="1">
        <v>45548</v>
      </c>
      <c r="C866" t="s">
        <v>1725</v>
      </c>
      <c r="D866" t="s">
        <v>1375</v>
      </c>
      <c r="E866" t="s">
        <v>61</v>
      </c>
      <c r="F866" t="s">
        <v>62</v>
      </c>
      <c r="G866" t="s">
        <v>134</v>
      </c>
      <c r="H866" t="s">
        <v>43</v>
      </c>
      <c r="I866" t="s">
        <v>44</v>
      </c>
      <c r="J866" t="s">
        <v>45</v>
      </c>
      <c r="K866">
        <v>1</v>
      </c>
      <c r="L866">
        <v>244.57</v>
      </c>
      <c r="M866">
        <v>0.05</v>
      </c>
      <c r="N866">
        <v>232.34</v>
      </c>
      <c r="O866">
        <v>96.58</v>
      </c>
      <c r="P866">
        <v>135.76</v>
      </c>
      <c r="Q866" t="s">
        <v>67</v>
      </c>
      <c r="R866">
        <v>0.58431608849100447</v>
      </c>
      <c r="S866">
        <v>2024</v>
      </c>
      <c r="T866" t="s">
        <v>1671</v>
      </c>
      <c r="U866">
        <v>9</v>
      </c>
      <c r="V866" t="s">
        <v>1385</v>
      </c>
    </row>
    <row r="867" spans="1:22" x14ac:dyDescent="0.3">
      <c r="A867" t="s">
        <v>1726</v>
      </c>
      <c r="B867" s="1">
        <v>45548</v>
      </c>
      <c r="C867" t="s">
        <v>237</v>
      </c>
      <c r="D867" t="s">
        <v>440</v>
      </c>
      <c r="E867" t="s">
        <v>61</v>
      </c>
      <c r="F867" t="s">
        <v>71</v>
      </c>
      <c r="G867" t="s">
        <v>317</v>
      </c>
      <c r="H867" t="s">
        <v>64</v>
      </c>
      <c r="I867" t="s">
        <v>108</v>
      </c>
      <c r="J867" t="s">
        <v>109</v>
      </c>
      <c r="K867">
        <v>2</v>
      </c>
      <c r="L867">
        <v>7372.74</v>
      </c>
      <c r="M867">
        <v>0.05</v>
      </c>
      <c r="N867">
        <v>14008.21</v>
      </c>
      <c r="O867">
        <v>9106.9599999999991</v>
      </c>
      <c r="P867">
        <v>4901.25</v>
      </c>
      <c r="Q867" t="s">
        <v>53</v>
      </c>
      <c r="R867">
        <v>0.34988410367919959</v>
      </c>
      <c r="S867">
        <v>2024</v>
      </c>
      <c r="T867" t="s">
        <v>1671</v>
      </c>
      <c r="U867">
        <v>9</v>
      </c>
      <c r="V867" t="s">
        <v>1385</v>
      </c>
    </row>
    <row r="868" spans="1:22" x14ac:dyDescent="0.3">
      <c r="A868" t="s">
        <v>1727</v>
      </c>
      <c r="B868" s="1">
        <v>45548</v>
      </c>
      <c r="C868" t="s">
        <v>1314</v>
      </c>
      <c r="D868" t="s">
        <v>770</v>
      </c>
      <c r="E868" t="s">
        <v>41</v>
      </c>
      <c r="F868" t="s">
        <v>42</v>
      </c>
      <c r="G868" t="s">
        <v>50</v>
      </c>
      <c r="H868" t="s">
        <v>43</v>
      </c>
      <c r="I868" t="s">
        <v>44</v>
      </c>
      <c r="J868" t="s">
        <v>248</v>
      </c>
      <c r="K868">
        <v>5</v>
      </c>
      <c r="L868">
        <v>314.07</v>
      </c>
      <c r="M868">
        <v>0.15</v>
      </c>
      <c r="N868">
        <v>1334.8</v>
      </c>
      <c r="O868">
        <v>647.36</v>
      </c>
      <c r="P868">
        <v>687.44</v>
      </c>
      <c r="Q868" t="s">
        <v>46</v>
      </c>
      <c r="R868">
        <v>0.51501348516631706</v>
      </c>
      <c r="S868">
        <v>2024</v>
      </c>
      <c r="T868" t="s">
        <v>1671</v>
      </c>
      <c r="U868">
        <v>9</v>
      </c>
      <c r="V868" t="s">
        <v>1385</v>
      </c>
    </row>
    <row r="869" spans="1:22" x14ac:dyDescent="0.3">
      <c r="A869" t="s">
        <v>1728</v>
      </c>
      <c r="B869" s="1">
        <v>45548</v>
      </c>
      <c r="C869" t="s">
        <v>1001</v>
      </c>
      <c r="D869" t="s">
        <v>197</v>
      </c>
      <c r="E869" t="s">
        <v>120</v>
      </c>
      <c r="F869" t="s">
        <v>121</v>
      </c>
      <c r="G869" t="s">
        <v>130</v>
      </c>
      <c r="H869" t="s">
        <v>43</v>
      </c>
      <c r="I869" t="s">
        <v>44</v>
      </c>
      <c r="J869" t="s">
        <v>45</v>
      </c>
      <c r="K869">
        <v>5</v>
      </c>
      <c r="L869">
        <v>239.69</v>
      </c>
      <c r="M869">
        <v>0.1</v>
      </c>
      <c r="N869">
        <v>1078.6099999999999</v>
      </c>
      <c r="O869">
        <v>454.8</v>
      </c>
      <c r="P869">
        <v>623.80999999999995</v>
      </c>
      <c r="Q869" t="s">
        <v>113</v>
      </c>
      <c r="R869">
        <v>0.57834620483770782</v>
      </c>
      <c r="S869">
        <v>2024</v>
      </c>
      <c r="T869" t="s">
        <v>1671</v>
      </c>
      <c r="U869">
        <v>9</v>
      </c>
      <c r="V869" t="s">
        <v>1385</v>
      </c>
    </row>
    <row r="870" spans="1:22" x14ac:dyDescent="0.3">
      <c r="A870" t="s">
        <v>1729</v>
      </c>
      <c r="B870" s="1">
        <v>45549</v>
      </c>
      <c r="C870" t="s">
        <v>351</v>
      </c>
      <c r="D870" t="s">
        <v>1280</v>
      </c>
      <c r="E870" t="s">
        <v>41</v>
      </c>
      <c r="F870" t="s">
        <v>42</v>
      </c>
      <c r="G870" t="s">
        <v>50</v>
      </c>
      <c r="H870" t="s">
        <v>43</v>
      </c>
      <c r="I870" t="s">
        <v>44</v>
      </c>
      <c r="J870" t="s">
        <v>248</v>
      </c>
      <c r="K870">
        <v>6</v>
      </c>
      <c r="L870">
        <v>313.7</v>
      </c>
      <c r="M870">
        <v>0.1</v>
      </c>
      <c r="N870">
        <v>1693.98</v>
      </c>
      <c r="O870">
        <v>809.1</v>
      </c>
      <c r="P870">
        <v>884.88</v>
      </c>
      <c r="Q870" t="s">
        <v>46</v>
      </c>
      <c r="R870">
        <v>0.52236744235469135</v>
      </c>
      <c r="S870">
        <v>2024</v>
      </c>
      <c r="T870" t="s">
        <v>1671</v>
      </c>
      <c r="U870">
        <v>9</v>
      </c>
      <c r="V870" t="s">
        <v>1385</v>
      </c>
    </row>
    <row r="871" spans="1:22" x14ac:dyDescent="0.3">
      <c r="A871" t="s">
        <v>1730</v>
      </c>
      <c r="B871" s="1">
        <v>45549</v>
      </c>
      <c r="C871" t="s">
        <v>843</v>
      </c>
      <c r="D871" t="s">
        <v>925</v>
      </c>
      <c r="E871" t="s">
        <v>61</v>
      </c>
      <c r="F871" t="s">
        <v>78</v>
      </c>
      <c r="G871" t="s">
        <v>79</v>
      </c>
      <c r="H871" t="s">
        <v>64</v>
      </c>
      <c r="I871" t="s">
        <v>108</v>
      </c>
      <c r="J871" t="s">
        <v>155</v>
      </c>
      <c r="K871">
        <v>5</v>
      </c>
      <c r="L871">
        <v>8049.67</v>
      </c>
      <c r="M871">
        <v>0.1</v>
      </c>
      <c r="N871">
        <v>36223.51</v>
      </c>
      <c r="O871">
        <v>28234.76</v>
      </c>
      <c r="P871">
        <v>7988.75</v>
      </c>
      <c r="Q871" t="s">
        <v>46</v>
      </c>
      <c r="R871">
        <v>0.22054047219609579</v>
      </c>
      <c r="S871">
        <v>2024</v>
      </c>
      <c r="T871" t="s">
        <v>1671</v>
      </c>
      <c r="U871">
        <v>9</v>
      </c>
      <c r="V871" t="s">
        <v>1385</v>
      </c>
    </row>
    <row r="872" spans="1:22" x14ac:dyDescent="0.3">
      <c r="A872" t="s">
        <v>1731</v>
      </c>
      <c r="B872" s="1">
        <v>45549</v>
      </c>
      <c r="C872" t="s">
        <v>306</v>
      </c>
      <c r="D872" t="s">
        <v>929</v>
      </c>
      <c r="E872" t="s">
        <v>120</v>
      </c>
      <c r="F872" t="s">
        <v>121</v>
      </c>
      <c r="G872" t="s">
        <v>122</v>
      </c>
      <c r="H872" t="s">
        <v>28</v>
      </c>
      <c r="I872" t="s">
        <v>73</v>
      </c>
      <c r="J872" t="s">
        <v>80</v>
      </c>
      <c r="K872">
        <v>1</v>
      </c>
      <c r="L872">
        <v>777.32</v>
      </c>
      <c r="M872">
        <v>0.05</v>
      </c>
      <c r="N872">
        <v>738.45</v>
      </c>
      <c r="O872">
        <v>463.93</v>
      </c>
      <c r="P872">
        <v>274.52</v>
      </c>
      <c r="Q872" t="s">
        <v>31</v>
      </c>
      <c r="R872">
        <v>0.3717516419527388</v>
      </c>
      <c r="S872">
        <v>2024</v>
      </c>
      <c r="T872" t="s">
        <v>1671</v>
      </c>
      <c r="U872">
        <v>9</v>
      </c>
      <c r="V872" t="s">
        <v>1385</v>
      </c>
    </row>
    <row r="873" spans="1:22" x14ac:dyDescent="0.3">
      <c r="A873" t="s">
        <v>1732</v>
      </c>
      <c r="B873" s="1">
        <v>45550</v>
      </c>
      <c r="C873" t="s">
        <v>922</v>
      </c>
      <c r="D873" t="s">
        <v>161</v>
      </c>
      <c r="E873" t="s">
        <v>41</v>
      </c>
      <c r="F873" t="s">
        <v>42</v>
      </c>
      <c r="G873" t="s">
        <v>50</v>
      </c>
      <c r="H873" t="s">
        <v>84</v>
      </c>
      <c r="I873" t="s">
        <v>85</v>
      </c>
      <c r="J873" t="s">
        <v>86</v>
      </c>
      <c r="K873">
        <v>6</v>
      </c>
      <c r="L873">
        <v>1710.13</v>
      </c>
      <c r="M873">
        <v>0.05</v>
      </c>
      <c r="N873">
        <v>9747.74</v>
      </c>
      <c r="O873">
        <v>5651.48</v>
      </c>
      <c r="P873">
        <v>4096.26</v>
      </c>
      <c r="Q873" t="s">
        <v>31</v>
      </c>
      <c r="R873">
        <v>0.4202266371487135</v>
      </c>
      <c r="S873">
        <v>2024</v>
      </c>
      <c r="T873" t="s">
        <v>1671</v>
      </c>
      <c r="U873">
        <v>9</v>
      </c>
      <c r="V873" t="s">
        <v>1385</v>
      </c>
    </row>
    <row r="874" spans="1:22" x14ac:dyDescent="0.3">
      <c r="A874" t="s">
        <v>1733</v>
      </c>
      <c r="B874" s="1">
        <v>45550</v>
      </c>
      <c r="C874" t="s">
        <v>1591</v>
      </c>
      <c r="D874" t="s">
        <v>678</v>
      </c>
      <c r="E874" t="s">
        <v>61</v>
      </c>
      <c r="F874" t="s">
        <v>71</v>
      </c>
      <c r="G874" t="s">
        <v>201</v>
      </c>
      <c r="H874" t="s">
        <v>43</v>
      </c>
      <c r="I874" t="s">
        <v>51</v>
      </c>
      <c r="J874" t="s">
        <v>52</v>
      </c>
      <c r="K874">
        <v>4</v>
      </c>
      <c r="L874">
        <v>725.94</v>
      </c>
      <c r="M874">
        <v>0.15</v>
      </c>
      <c r="N874">
        <v>2468.1999999999998</v>
      </c>
      <c r="O874">
        <v>1355.67</v>
      </c>
      <c r="P874">
        <v>1112.53</v>
      </c>
      <c r="Q874" t="s">
        <v>46</v>
      </c>
      <c r="R874">
        <v>0.45074548253788188</v>
      </c>
      <c r="S874">
        <v>2024</v>
      </c>
      <c r="T874" t="s">
        <v>1671</v>
      </c>
      <c r="U874">
        <v>9</v>
      </c>
      <c r="V874" t="s">
        <v>1385</v>
      </c>
    </row>
    <row r="875" spans="1:22" x14ac:dyDescent="0.3">
      <c r="A875" t="s">
        <v>1734</v>
      </c>
      <c r="B875" s="1">
        <v>45550</v>
      </c>
      <c r="C875" t="s">
        <v>815</v>
      </c>
      <c r="D875" t="s">
        <v>474</v>
      </c>
      <c r="E875" t="s">
        <v>120</v>
      </c>
      <c r="F875" t="s">
        <v>121</v>
      </c>
      <c r="G875" t="s">
        <v>130</v>
      </c>
      <c r="H875" t="s">
        <v>43</v>
      </c>
      <c r="I875" t="s">
        <v>44</v>
      </c>
      <c r="J875" t="s">
        <v>248</v>
      </c>
      <c r="K875">
        <v>2</v>
      </c>
      <c r="L875">
        <v>294.55</v>
      </c>
      <c r="M875">
        <v>0.1</v>
      </c>
      <c r="N875">
        <v>530.19000000000005</v>
      </c>
      <c r="O875">
        <v>244.92</v>
      </c>
      <c r="P875">
        <v>285.27</v>
      </c>
      <c r="Q875" t="s">
        <v>31</v>
      </c>
      <c r="R875">
        <v>0.53805239631075641</v>
      </c>
      <c r="S875">
        <v>2024</v>
      </c>
      <c r="T875" t="s">
        <v>1671</v>
      </c>
      <c r="U875">
        <v>9</v>
      </c>
      <c r="V875" t="s">
        <v>1385</v>
      </c>
    </row>
    <row r="876" spans="1:22" x14ac:dyDescent="0.3">
      <c r="A876" t="s">
        <v>1735</v>
      </c>
      <c r="B876" s="1">
        <v>45551</v>
      </c>
      <c r="C876" t="s">
        <v>714</v>
      </c>
      <c r="D876" t="s">
        <v>40</v>
      </c>
      <c r="E876" t="s">
        <v>120</v>
      </c>
      <c r="F876" t="s">
        <v>121</v>
      </c>
      <c r="G876" t="s">
        <v>130</v>
      </c>
      <c r="H876" t="s">
        <v>64</v>
      </c>
      <c r="I876" t="s">
        <v>65</v>
      </c>
      <c r="J876" t="s">
        <v>232</v>
      </c>
      <c r="K876">
        <v>5</v>
      </c>
      <c r="L876">
        <v>3872.48</v>
      </c>
      <c r="M876">
        <v>0.2</v>
      </c>
      <c r="N876">
        <v>15489.92</v>
      </c>
      <c r="O876">
        <v>11758.31</v>
      </c>
      <c r="P876">
        <v>3731.61</v>
      </c>
      <c r="Q876" t="s">
        <v>31</v>
      </c>
      <c r="R876">
        <v>0.24090569867371811</v>
      </c>
      <c r="S876">
        <v>2024</v>
      </c>
      <c r="T876" t="s">
        <v>1671</v>
      </c>
      <c r="U876">
        <v>9</v>
      </c>
      <c r="V876" t="s">
        <v>1385</v>
      </c>
    </row>
    <row r="877" spans="1:22" x14ac:dyDescent="0.3">
      <c r="A877" t="s">
        <v>1736</v>
      </c>
      <c r="B877" s="1">
        <v>45551</v>
      </c>
      <c r="C877" t="s">
        <v>1253</v>
      </c>
      <c r="D877" t="s">
        <v>276</v>
      </c>
      <c r="E877" t="s">
        <v>25</v>
      </c>
      <c r="F877" t="s">
        <v>26</v>
      </c>
      <c r="G877" t="s">
        <v>260</v>
      </c>
      <c r="H877" t="s">
        <v>43</v>
      </c>
      <c r="I877" t="s">
        <v>44</v>
      </c>
      <c r="J877" t="s">
        <v>248</v>
      </c>
      <c r="K877">
        <v>4</v>
      </c>
      <c r="L877">
        <v>299.89999999999998</v>
      </c>
      <c r="M877">
        <v>0.1</v>
      </c>
      <c r="N877">
        <v>1079.6400000000001</v>
      </c>
      <c r="O877">
        <v>498.32</v>
      </c>
      <c r="P877">
        <v>581.32000000000005</v>
      </c>
      <c r="Q877" t="s">
        <v>67</v>
      </c>
      <c r="R877">
        <v>0.53843873883887217</v>
      </c>
      <c r="S877">
        <v>2024</v>
      </c>
      <c r="T877" t="s">
        <v>1671</v>
      </c>
      <c r="U877">
        <v>9</v>
      </c>
      <c r="V877" t="s">
        <v>1385</v>
      </c>
    </row>
    <row r="878" spans="1:22" x14ac:dyDescent="0.3">
      <c r="A878" t="s">
        <v>1737</v>
      </c>
      <c r="B878" s="1">
        <v>45551</v>
      </c>
      <c r="C878" t="s">
        <v>368</v>
      </c>
      <c r="D878" t="s">
        <v>99</v>
      </c>
      <c r="E878" t="s">
        <v>25</v>
      </c>
      <c r="F878" t="s">
        <v>26</v>
      </c>
      <c r="G878" t="s">
        <v>37</v>
      </c>
      <c r="H878" t="s">
        <v>43</v>
      </c>
      <c r="I878" t="s">
        <v>51</v>
      </c>
      <c r="J878" t="s">
        <v>52</v>
      </c>
      <c r="K878">
        <v>2</v>
      </c>
      <c r="L878">
        <v>706.01</v>
      </c>
      <c r="M878">
        <v>0.1</v>
      </c>
      <c r="N878">
        <v>1270.82</v>
      </c>
      <c r="O878">
        <v>647.79999999999995</v>
      </c>
      <c r="P878">
        <v>623.02</v>
      </c>
      <c r="Q878" t="s">
        <v>31</v>
      </c>
      <c r="R878">
        <v>0.49025038951228339</v>
      </c>
      <c r="S878">
        <v>2024</v>
      </c>
      <c r="T878" t="s">
        <v>1671</v>
      </c>
      <c r="U878">
        <v>9</v>
      </c>
      <c r="V878" t="s">
        <v>1385</v>
      </c>
    </row>
    <row r="879" spans="1:22" x14ac:dyDescent="0.3">
      <c r="A879" t="s">
        <v>1738</v>
      </c>
      <c r="B879" s="1">
        <v>45551</v>
      </c>
      <c r="C879" t="s">
        <v>1329</v>
      </c>
      <c r="D879" t="s">
        <v>247</v>
      </c>
      <c r="E879" t="s">
        <v>120</v>
      </c>
      <c r="F879" t="s">
        <v>121</v>
      </c>
      <c r="G879" t="s">
        <v>122</v>
      </c>
      <c r="H879" t="s">
        <v>64</v>
      </c>
      <c r="I879" t="s">
        <v>65</v>
      </c>
      <c r="J879" t="s">
        <v>232</v>
      </c>
      <c r="K879">
        <v>2</v>
      </c>
      <c r="L879">
        <v>3998.94</v>
      </c>
      <c r="M879">
        <v>0.1</v>
      </c>
      <c r="N879">
        <v>7198.09</v>
      </c>
      <c r="O879">
        <v>4880.63</v>
      </c>
      <c r="P879">
        <v>2317.46</v>
      </c>
      <c r="Q879" t="s">
        <v>46</v>
      </c>
      <c r="R879">
        <v>0.32195485191210438</v>
      </c>
      <c r="S879">
        <v>2024</v>
      </c>
      <c r="T879" t="s">
        <v>1671</v>
      </c>
      <c r="U879">
        <v>9</v>
      </c>
      <c r="V879" t="s">
        <v>1385</v>
      </c>
    </row>
    <row r="880" spans="1:22" x14ac:dyDescent="0.3">
      <c r="A880" t="s">
        <v>1739</v>
      </c>
      <c r="B880" s="1">
        <v>45551</v>
      </c>
      <c r="C880" t="s">
        <v>754</v>
      </c>
      <c r="D880" t="s">
        <v>1044</v>
      </c>
      <c r="E880" t="s">
        <v>61</v>
      </c>
      <c r="F880" t="s">
        <v>62</v>
      </c>
      <c r="G880" t="s">
        <v>228</v>
      </c>
      <c r="H880" t="s">
        <v>43</v>
      </c>
      <c r="I880" t="s">
        <v>51</v>
      </c>
      <c r="J880" t="s">
        <v>52</v>
      </c>
      <c r="K880">
        <v>4</v>
      </c>
      <c r="L880">
        <v>739.65</v>
      </c>
      <c r="M880">
        <v>0.15</v>
      </c>
      <c r="N880">
        <v>2514.81</v>
      </c>
      <c r="O880">
        <v>1444.2</v>
      </c>
      <c r="P880">
        <v>1070.6099999999999</v>
      </c>
      <c r="Q880" t="s">
        <v>31</v>
      </c>
      <c r="R880">
        <v>0.4257220227373042</v>
      </c>
      <c r="S880">
        <v>2024</v>
      </c>
      <c r="T880" t="s">
        <v>1671</v>
      </c>
      <c r="U880">
        <v>9</v>
      </c>
      <c r="V880" t="s">
        <v>1385</v>
      </c>
    </row>
    <row r="881" spans="1:22" x14ac:dyDescent="0.3">
      <c r="A881" t="s">
        <v>1740</v>
      </c>
      <c r="B881" s="1">
        <v>45551</v>
      </c>
      <c r="C881" t="s">
        <v>1741</v>
      </c>
      <c r="D881" t="s">
        <v>949</v>
      </c>
      <c r="E881" t="s">
        <v>61</v>
      </c>
      <c r="F881" t="s">
        <v>62</v>
      </c>
      <c r="G881" t="s">
        <v>90</v>
      </c>
      <c r="H881" t="s">
        <v>84</v>
      </c>
      <c r="I881" t="s">
        <v>138</v>
      </c>
      <c r="J881" t="s">
        <v>139</v>
      </c>
      <c r="K881">
        <v>2</v>
      </c>
      <c r="L881">
        <v>13488.16</v>
      </c>
      <c r="M881">
        <v>0.1</v>
      </c>
      <c r="N881">
        <v>24278.69</v>
      </c>
      <c r="O881">
        <v>18666.88</v>
      </c>
      <c r="P881">
        <v>5611.81</v>
      </c>
      <c r="Q881" t="s">
        <v>46</v>
      </c>
      <c r="R881">
        <v>0.23114138365784981</v>
      </c>
      <c r="S881">
        <v>2024</v>
      </c>
      <c r="T881" t="s">
        <v>1671</v>
      </c>
      <c r="U881">
        <v>9</v>
      </c>
      <c r="V881" t="s">
        <v>1385</v>
      </c>
    </row>
    <row r="882" spans="1:22" x14ac:dyDescent="0.3">
      <c r="A882" t="s">
        <v>1742</v>
      </c>
      <c r="B882" s="1">
        <v>45551</v>
      </c>
      <c r="C882" t="s">
        <v>1743</v>
      </c>
      <c r="D882" t="s">
        <v>342</v>
      </c>
      <c r="E882" t="s">
        <v>120</v>
      </c>
      <c r="F882" t="s">
        <v>121</v>
      </c>
      <c r="G882" t="s">
        <v>130</v>
      </c>
      <c r="H882" t="s">
        <v>43</v>
      </c>
      <c r="I882" t="s">
        <v>44</v>
      </c>
      <c r="J882" t="s">
        <v>45</v>
      </c>
      <c r="K882">
        <v>2</v>
      </c>
      <c r="L882">
        <v>253.65</v>
      </c>
      <c r="M882">
        <v>0.15</v>
      </c>
      <c r="N882">
        <v>431.2</v>
      </c>
      <c r="O882">
        <v>195.22</v>
      </c>
      <c r="P882">
        <v>235.98</v>
      </c>
      <c r="Q882" t="s">
        <v>53</v>
      </c>
      <c r="R882">
        <v>0.54726345083487937</v>
      </c>
      <c r="S882">
        <v>2024</v>
      </c>
      <c r="T882" t="s">
        <v>1671</v>
      </c>
      <c r="U882">
        <v>9</v>
      </c>
      <c r="V882" t="s">
        <v>1385</v>
      </c>
    </row>
    <row r="883" spans="1:22" x14ac:dyDescent="0.3">
      <c r="A883" t="s">
        <v>1744</v>
      </c>
      <c r="B883" s="1">
        <v>45551</v>
      </c>
      <c r="C883" t="s">
        <v>815</v>
      </c>
      <c r="D883" t="s">
        <v>1002</v>
      </c>
      <c r="E883" t="s">
        <v>41</v>
      </c>
      <c r="F883" t="s">
        <v>42</v>
      </c>
      <c r="G883" t="s">
        <v>50</v>
      </c>
      <c r="H883" t="s">
        <v>28</v>
      </c>
      <c r="I883" t="s">
        <v>73</v>
      </c>
      <c r="J883" t="s">
        <v>80</v>
      </c>
      <c r="K883">
        <v>2</v>
      </c>
      <c r="L883">
        <v>834.54</v>
      </c>
      <c r="M883">
        <v>0.1</v>
      </c>
      <c r="N883">
        <v>1502.17</v>
      </c>
      <c r="O883">
        <v>1062.54</v>
      </c>
      <c r="P883">
        <v>439.63</v>
      </c>
      <c r="Q883" t="s">
        <v>113</v>
      </c>
      <c r="R883">
        <v>0.29266328045427609</v>
      </c>
      <c r="S883">
        <v>2024</v>
      </c>
      <c r="T883" t="s">
        <v>1671</v>
      </c>
      <c r="U883">
        <v>9</v>
      </c>
      <c r="V883" t="s">
        <v>1385</v>
      </c>
    </row>
    <row r="884" spans="1:22" x14ac:dyDescent="0.3">
      <c r="A884" t="s">
        <v>1745</v>
      </c>
      <c r="B884" s="1">
        <v>45552</v>
      </c>
      <c r="C884" t="s">
        <v>786</v>
      </c>
      <c r="D884" t="s">
        <v>731</v>
      </c>
      <c r="E884" t="s">
        <v>41</v>
      </c>
      <c r="F884" t="s">
        <v>42</v>
      </c>
      <c r="G884" t="s">
        <v>42</v>
      </c>
      <c r="H884" t="s">
        <v>28</v>
      </c>
      <c r="I884" t="s">
        <v>91</v>
      </c>
      <c r="J884" t="s">
        <v>92</v>
      </c>
      <c r="K884">
        <v>2</v>
      </c>
      <c r="L884">
        <v>3139.8</v>
      </c>
      <c r="M884">
        <v>0.15</v>
      </c>
      <c r="N884">
        <v>5337.66</v>
      </c>
      <c r="O884">
        <v>3237.95</v>
      </c>
      <c r="P884">
        <v>2099.71</v>
      </c>
      <c r="Q884" t="s">
        <v>46</v>
      </c>
      <c r="R884">
        <v>0.3933764983157414</v>
      </c>
      <c r="S884">
        <v>2024</v>
      </c>
      <c r="T884" t="s">
        <v>1671</v>
      </c>
      <c r="U884">
        <v>9</v>
      </c>
      <c r="V884" t="s">
        <v>1385</v>
      </c>
    </row>
    <row r="885" spans="1:22" x14ac:dyDescent="0.3">
      <c r="A885" t="s">
        <v>1746</v>
      </c>
      <c r="B885" s="1">
        <v>45552</v>
      </c>
      <c r="C885" t="s">
        <v>1747</v>
      </c>
      <c r="D885" t="s">
        <v>582</v>
      </c>
      <c r="E885" t="s">
        <v>25</v>
      </c>
      <c r="F885" t="s">
        <v>26</v>
      </c>
      <c r="G885" t="s">
        <v>27</v>
      </c>
      <c r="H885" t="s">
        <v>84</v>
      </c>
      <c r="I885" t="s">
        <v>85</v>
      </c>
      <c r="J885" t="s">
        <v>145</v>
      </c>
      <c r="K885">
        <v>1</v>
      </c>
      <c r="L885">
        <v>3246.94</v>
      </c>
      <c r="M885">
        <v>0.15</v>
      </c>
      <c r="N885">
        <v>2759.9</v>
      </c>
      <c r="O885">
        <v>1831.34</v>
      </c>
      <c r="P885">
        <v>928.56</v>
      </c>
      <c r="Q885" t="s">
        <v>31</v>
      </c>
      <c r="R885">
        <v>0.33644697271640273</v>
      </c>
      <c r="S885">
        <v>2024</v>
      </c>
      <c r="T885" t="s">
        <v>1671</v>
      </c>
      <c r="U885">
        <v>9</v>
      </c>
      <c r="V885" t="s">
        <v>1385</v>
      </c>
    </row>
    <row r="886" spans="1:22" x14ac:dyDescent="0.3">
      <c r="A886" t="s">
        <v>1748</v>
      </c>
      <c r="B886" s="1">
        <v>45553</v>
      </c>
      <c r="C886" t="s">
        <v>1653</v>
      </c>
      <c r="D886" t="s">
        <v>316</v>
      </c>
      <c r="E886" t="s">
        <v>25</v>
      </c>
      <c r="F886" t="s">
        <v>26</v>
      </c>
      <c r="G886" t="s">
        <v>260</v>
      </c>
      <c r="H886" t="s">
        <v>84</v>
      </c>
      <c r="I886" t="s">
        <v>138</v>
      </c>
      <c r="J886" t="s">
        <v>139</v>
      </c>
      <c r="K886">
        <v>1</v>
      </c>
      <c r="L886">
        <v>12487.46</v>
      </c>
      <c r="M886">
        <v>0.05</v>
      </c>
      <c r="N886">
        <v>11863.09</v>
      </c>
      <c r="O886">
        <v>8965.4500000000007</v>
      </c>
      <c r="P886">
        <v>2897.64</v>
      </c>
      <c r="Q886" t="s">
        <v>67</v>
      </c>
      <c r="R886">
        <v>0.24425676615451791</v>
      </c>
      <c r="S886">
        <v>2024</v>
      </c>
      <c r="T886" t="s">
        <v>1671</v>
      </c>
      <c r="U886">
        <v>9</v>
      </c>
      <c r="V886" t="s">
        <v>1385</v>
      </c>
    </row>
    <row r="887" spans="1:22" x14ac:dyDescent="0.3">
      <c r="A887" t="s">
        <v>1749</v>
      </c>
      <c r="B887" s="1">
        <v>45553</v>
      </c>
      <c r="C887" t="s">
        <v>483</v>
      </c>
      <c r="D887" t="s">
        <v>292</v>
      </c>
      <c r="E887" t="s">
        <v>120</v>
      </c>
      <c r="F887" t="s">
        <v>121</v>
      </c>
      <c r="G887" t="s">
        <v>130</v>
      </c>
      <c r="H887" t="s">
        <v>28</v>
      </c>
      <c r="I887" t="s">
        <v>73</v>
      </c>
      <c r="J887" t="s">
        <v>80</v>
      </c>
      <c r="K887">
        <v>1</v>
      </c>
      <c r="L887">
        <v>779.28</v>
      </c>
      <c r="M887">
        <v>0.1</v>
      </c>
      <c r="N887">
        <v>701.35</v>
      </c>
      <c r="O887">
        <v>477.11</v>
      </c>
      <c r="P887">
        <v>224.24</v>
      </c>
      <c r="Q887" t="s">
        <v>67</v>
      </c>
      <c r="R887">
        <v>0.31972624224709489</v>
      </c>
      <c r="S887">
        <v>2024</v>
      </c>
      <c r="T887" t="s">
        <v>1671</v>
      </c>
      <c r="U887">
        <v>9</v>
      </c>
      <c r="V887" t="s">
        <v>1385</v>
      </c>
    </row>
    <row r="888" spans="1:22" x14ac:dyDescent="0.3">
      <c r="A888" t="s">
        <v>1750</v>
      </c>
      <c r="B888" s="1">
        <v>45554</v>
      </c>
      <c r="C888" t="s">
        <v>461</v>
      </c>
      <c r="D888" t="s">
        <v>158</v>
      </c>
      <c r="E888" t="s">
        <v>41</v>
      </c>
      <c r="F888" t="s">
        <v>42</v>
      </c>
      <c r="G888" t="s">
        <v>50</v>
      </c>
      <c r="H888" t="s">
        <v>43</v>
      </c>
      <c r="I888" t="s">
        <v>51</v>
      </c>
      <c r="J888" t="s">
        <v>96</v>
      </c>
      <c r="K888">
        <v>5</v>
      </c>
      <c r="L888">
        <v>510.12</v>
      </c>
      <c r="M888">
        <v>0.1</v>
      </c>
      <c r="N888">
        <v>2295.54</v>
      </c>
      <c r="O888">
        <v>1147.78</v>
      </c>
      <c r="P888">
        <v>1147.76</v>
      </c>
      <c r="Q888" t="s">
        <v>31</v>
      </c>
      <c r="R888">
        <v>0.4999956437265306</v>
      </c>
      <c r="S888">
        <v>2024</v>
      </c>
      <c r="T888" t="s">
        <v>1671</v>
      </c>
      <c r="U888">
        <v>9</v>
      </c>
      <c r="V888" t="s">
        <v>1385</v>
      </c>
    </row>
    <row r="889" spans="1:22" x14ac:dyDescent="0.3">
      <c r="A889" t="s">
        <v>1751</v>
      </c>
      <c r="B889" s="1">
        <v>45554</v>
      </c>
      <c r="C889" t="s">
        <v>1752</v>
      </c>
      <c r="D889" t="s">
        <v>244</v>
      </c>
      <c r="E889" t="s">
        <v>61</v>
      </c>
      <c r="F889" t="s">
        <v>78</v>
      </c>
      <c r="G889" t="s">
        <v>79</v>
      </c>
      <c r="H889" t="s">
        <v>28</v>
      </c>
      <c r="I889" t="s">
        <v>29</v>
      </c>
      <c r="J889" t="s">
        <v>57</v>
      </c>
      <c r="K889">
        <v>6</v>
      </c>
      <c r="L889">
        <v>16533.91</v>
      </c>
      <c r="M889">
        <v>0.2</v>
      </c>
      <c r="N889">
        <v>79362.77</v>
      </c>
      <c r="O889">
        <v>76138.759999999995</v>
      </c>
      <c r="P889">
        <v>3224.01</v>
      </c>
      <c r="Q889" t="s">
        <v>113</v>
      </c>
      <c r="R889">
        <v>4.062370806865738E-2</v>
      </c>
      <c r="S889">
        <v>2024</v>
      </c>
      <c r="T889" t="s">
        <v>1671</v>
      </c>
      <c r="U889">
        <v>9</v>
      </c>
      <c r="V889" t="s">
        <v>1385</v>
      </c>
    </row>
    <row r="890" spans="1:22" x14ac:dyDescent="0.3">
      <c r="A890" t="s">
        <v>1753</v>
      </c>
      <c r="B890" s="1">
        <v>45555</v>
      </c>
      <c r="C890" t="s">
        <v>1653</v>
      </c>
      <c r="D890" t="s">
        <v>1525</v>
      </c>
      <c r="E890" t="s">
        <v>61</v>
      </c>
      <c r="F890" t="s">
        <v>62</v>
      </c>
      <c r="G890" t="s">
        <v>228</v>
      </c>
      <c r="H890" t="s">
        <v>64</v>
      </c>
      <c r="I890" t="s">
        <v>108</v>
      </c>
      <c r="J890" t="s">
        <v>155</v>
      </c>
      <c r="K890">
        <v>1</v>
      </c>
      <c r="L890">
        <v>8259.1299999999992</v>
      </c>
      <c r="M890">
        <v>0.05</v>
      </c>
      <c r="N890">
        <v>7846.17</v>
      </c>
      <c r="O890">
        <v>5665.85</v>
      </c>
      <c r="P890">
        <v>2180.3200000000002</v>
      </c>
      <c r="Q890" t="s">
        <v>67</v>
      </c>
      <c r="R890">
        <v>0.27788334945584919</v>
      </c>
      <c r="S890">
        <v>2024</v>
      </c>
      <c r="T890" t="s">
        <v>1671</v>
      </c>
      <c r="U890">
        <v>9</v>
      </c>
      <c r="V890" t="s">
        <v>1385</v>
      </c>
    </row>
    <row r="891" spans="1:22" x14ac:dyDescent="0.3">
      <c r="A891" t="s">
        <v>1754</v>
      </c>
      <c r="B891" s="1">
        <v>45555</v>
      </c>
      <c r="C891" t="s">
        <v>1040</v>
      </c>
      <c r="D891" t="s">
        <v>507</v>
      </c>
      <c r="E891" t="s">
        <v>25</v>
      </c>
      <c r="F891" t="s">
        <v>26</v>
      </c>
      <c r="G891" t="s">
        <v>171</v>
      </c>
      <c r="H891" t="s">
        <v>28</v>
      </c>
      <c r="I891" t="s">
        <v>29</v>
      </c>
      <c r="J891" t="s">
        <v>30</v>
      </c>
      <c r="K891">
        <v>2</v>
      </c>
      <c r="L891">
        <v>61186.96</v>
      </c>
      <c r="M891">
        <v>0.1</v>
      </c>
      <c r="N891">
        <v>110136.53</v>
      </c>
      <c r="O891">
        <v>107165.98</v>
      </c>
      <c r="P891">
        <v>2970.55</v>
      </c>
      <c r="Q891" t="s">
        <v>67</v>
      </c>
      <c r="R891">
        <v>2.697152343550319E-2</v>
      </c>
      <c r="S891">
        <v>2024</v>
      </c>
      <c r="T891" t="s">
        <v>1671</v>
      </c>
      <c r="U891">
        <v>9</v>
      </c>
      <c r="V891" t="s">
        <v>1385</v>
      </c>
    </row>
    <row r="892" spans="1:22" x14ac:dyDescent="0.3">
      <c r="A892" t="s">
        <v>1755</v>
      </c>
      <c r="B892" s="1">
        <v>45556</v>
      </c>
      <c r="C892" t="s">
        <v>423</v>
      </c>
      <c r="D892" t="s">
        <v>562</v>
      </c>
      <c r="E892" t="s">
        <v>120</v>
      </c>
      <c r="F892" t="s">
        <v>121</v>
      </c>
      <c r="G892" t="s">
        <v>122</v>
      </c>
      <c r="H892" t="s">
        <v>84</v>
      </c>
      <c r="I892" t="s">
        <v>85</v>
      </c>
      <c r="J892" t="s">
        <v>145</v>
      </c>
      <c r="K892">
        <v>3</v>
      </c>
      <c r="L892">
        <v>3157.9</v>
      </c>
      <c r="M892">
        <v>0.15</v>
      </c>
      <c r="N892">
        <v>8052.65</v>
      </c>
      <c r="O892">
        <v>5244.96</v>
      </c>
      <c r="P892">
        <v>2807.69</v>
      </c>
      <c r="Q892" t="s">
        <v>46</v>
      </c>
      <c r="R892">
        <v>0.34866658801760908</v>
      </c>
      <c r="S892">
        <v>2024</v>
      </c>
      <c r="T892" t="s">
        <v>1671</v>
      </c>
      <c r="U892">
        <v>9</v>
      </c>
      <c r="V892" t="s">
        <v>1385</v>
      </c>
    </row>
    <row r="893" spans="1:22" x14ac:dyDescent="0.3">
      <c r="A893" t="s">
        <v>1756</v>
      </c>
      <c r="B893" s="1">
        <v>45556</v>
      </c>
      <c r="C893" t="s">
        <v>1757</v>
      </c>
      <c r="D893" t="s">
        <v>949</v>
      </c>
      <c r="E893" t="s">
        <v>41</v>
      </c>
      <c r="F893" t="s">
        <v>42</v>
      </c>
      <c r="G893" t="s">
        <v>42</v>
      </c>
      <c r="H893" t="s">
        <v>84</v>
      </c>
      <c r="I893" t="s">
        <v>138</v>
      </c>
      <c r="J893" t="s">
        <v>220</v>
      </c>
      <c r="K893">
        <v>1</v>
      </c>
      <c r="L893">
        <v>7554.09</v>
      </c>
      <c r="M893">
        <v>0.2</v>
      </c>
      <c r="N893">
        <v>6043.27</v>
      </c>
      <c r="O893">
        <v>4724.41</v>
      </c>
      <c r="P893">
        <v>1318.86</v>
      </c>
      <c r="Q893" t="s">
        <v>46</v>
      </c>
      <c r="R893">
        <v>0.21823615360558099</v>
      </c>
      <c r="S893">
        <v>2024</v>
      </c>
      <c r="T893" t="s">
        <v>1671</v>
      </c>
      <c r="U893">
        <v>9</v>
      </c>
      <c r="V893" t="s">
        <v>1385</v>
      </c>
    </row>
    <row r="894" spans="1:22" x14ac:dyDescent="0.3">
      <c r="A894" t="s">
        <v>1758</v>
      </c>
      <c r="B894" s="1">
        <v>45556</v>
      </c>
      <c r="C894" t="s">
        <v>629</v>
      </c>
      <c r="D894" t="s">
        <v>1433</v>
      </c>
      <c r="E894" t="s">
        <v>25</v>
      </c>
      <c r="F894" t="s">
        <v>26</v>
      </c>
      <c r="G894" t="s">
        <v>37</v>
      </c>
      <c r="H894" t="s">
        <v>28</v>
      </c>
      <c r="I894" t="s">
        <v>73</v>
      </c>
      <c r="J894" t="s">
        <v>80</v>
      </c>
      <c r="K894">
        <v>1</v>
      </c>
      <c r="L894">
        <v>843.68</v>
      </c>
      <c r="M894">
        <v>0.05</v>
      </c>
      <c r="N894">
        <v>801.5</v>
      </c>
      <c r="O894">
        <v>509.49</v>
      </c>
      <c r="P894">
        <v>292.01</v>
      </c>
      <c r="Q894" t="s">
        <v>53</v>
      </c>
      <c r="R894">
        <v>0.36432938240798501</v>
      </c>
      <c r="S894">
        <v>2024</v>
      </c>
      <c r="T894" t="s">
        <v>1671</v>
      </c>
      <c r="U894">
        <v>9</v>
      </c>
      <c r="V894" t="s">
        <v>1385</v>
      </c>
    </row>
    <row r="895" spans="1:22" x14ac:dyDescent="0.3">
      <c r="A895" t="s">
        <v>1759</v>
      </c>
      <c r="B895" s="1">
        <v>45557</v>
      </c>
      <c r="C895" t="s">
        <v>1760</v>
      </c>
      <c r="D895" t="s">
        <v>99</v>
      </c>
      <c r="E895" t="s">
        <v>41</v>
      </c>
      <c r="F895" t="s">
        <v>42</v>
      </c>
      <c r="G895" t="s">
        <v>42</v>
      </c>
      <c r="H895" t="s">
        <v>43</v>
      </c>
      <c r="I895" t="s">
        <v>44</v>
      </c>
      <c r="J895" t="s">
        <v>45</v>
      </c>
      <c r="K895">
        <v>3</v>
      </c>
      <c r="L895">
        <v>244.43</v>
      </c>
      <c r="M895">
        <v>0.1</v>
      </c>
      <c r="N895">
        <v>659.96</v>
      </c>
      <c r="O895">
        <v>273.67</v>
      </c>
      <c r="P895">
        <v>386.29</v>
      </c>
      <c r="Q895" t="s">
        <v>113</v>
      </c>
      <c r="R895">
        <v>0.58532335293048066</v>
      </c>
      <c r="S895">
        <v>2024</v>
      </c>
      <c r="T895" t="s">
        <v>1671</v>
      </c>
      <c r="U895">
        <v>9</v>
      </c>
      <c r="V895" t="s">
        <v>1385</v>
      </c>
    </row>
    <row r="896" spans="1:22" x14ac:dyDescent="0.3">
      <c r="A896" t="s">
        <v>1761</v>
      </c>
      <c r="B896" s="1">
        <v>45557</v>
      </c>
      <c r="C896" t="s">
        <v>896</v>
      </c>
      <c r="D896" t="s">
        <v>1435</v>
      </c>
      <c r="E896" t="s">
        <v>41</v>
      </c>
      <c r="F896" t="s">
        <v>42</v>
      </c>
      <c r="G896" t="s">
        <v>42</v>
      </c>
      <c r="H896" t="s">
        <v>28</v>
      </c>
      <c r="I896" t="s">
        <v>91</v>
      </c>
      <c r="J896" t="s">
        <v>92</v>
      </c>
      <c r="K896">
        <v>3</v>
      </c>
      <c r="L896">
        <v>2897.86</v>
      </c>
      <c r="M896">
        <v>0</v>
      </c>
      <c r="N896">
        <v>8693.58</v>
      </c>
      <c r="O896">
        <v>4626.32</v>
      </c>
      <c r="P896">
        <v>4067.26</v>
      </c>
      <c r="Q896" t="s">
        <v>67</v>
      </c>
      <c r="R896">
        <v>0.46784638779421139</v>
      </c>
      <c r="S896">
        <v>2024</v>
      </c>
      <c r="T896" t="s">
        <v>1671</v>
      </c>
      <c r="U896">
        <v>9</v>
      </c>
      <c r="V896" t="s">
        <v>1385</v>
      </c>
    </row>
    <row r="897" spans="1:22" x14ac:dyDescent="0.3">
      <c r="A897" t="s">
        <v>1762</v>
      </c>
      <c r="B897" s="1">
        <v>45557</v>
      </c>
      <c r="C897" t="s">
        <v>1763</v>
      </c>
      <c r="D897" t="s">
        <v>638</v>
      </c>
      <c r="E897" t="s">
        <v>25</v>
      </c>
      <c r="F897" t="s">
        <v>26</v>
      </c>
      <c r="G897" t="s">
        <v>171</v>
      </c>
      <c r="H897" t="s">
        <v>28</v>
      </c>
      <c r="I897" t="s">
        <v>29</v>
      </c>
      <c r="J897" t="s">
        <v>30</v>
      </c>
      <c r="K897">
        <v>2</v>
      </c>
      <c r="L897">
        <v>58566.5</v>
      </c>
      <c r="M897">
        <v>0.1</v>
      </c>
      <c r="N897">
        <v>105419.7</v>
      </c>
      <c r="O897">
        <v>99132.18</v>
      </c>
      <c r="P897">
        <v>6287.52</v>
      </c>
      <c r="Q897" t="s">
        <v>31</v>
      </c>
      <c r="R897">
        <v>5.9642742295794818E-2</v>
      </c>
      <c r="S897">
        <v>2024</v>
      </c>
      <c r="T897" t="s">
        <v>1671</v>
      </c>
      <c r="U897">
        <v>9</v>
      </c>
      <c r="V897" t="s">
        <v>1385</v>
      </c>
    </row>
    <row r="898" spans="1:22" x14ac:dyDescent="0.3">
      <c r="A898" t="s">
        <v>1764</v>
      </c>
      <c r="B898" s="1">
        <v>45557</v>
      </c>
      <c r="C898" t="s">
        <v>1765</v>
      </c>
      <c r="D898" t="s">
        <v>809</v>
      </c>
      <c r="E898" t="s">
        <v>120</v>
      </c>
      <c r="F898" t="s">
        <v>121</v>
      </c>
      <c r="G898" t="s">
        <v>130</v>
      </c>
      <c r="H898" t="s">
        <v>84</v>
      </c>
      <c r="I898" t="s">
        <v>138</v>
      </c>
      <c r="J898" t="s">
        <v>220</v>
      </c>
      <c r="K898">
        <v>3</v>
      </c>
      <c r="L898">
        <v>7195.02</v>
      </c>
      <c r="M898">
        <v>0</v>
      </c>
      <c r="N898">
        <v>21585.06</v>
      </c>
      <c r="O898">
        <v>13681.01</v>
      </c>
      <c r="P898">
        <v>7904.05</v>
      </c>
      <c r="Q898" t="s">
        <v>31</v>
      </c>
      <c r="R898">
        <v>0.36618151628950762</v>
      </c>
      <c r="S898">
        <v>2024</v>
      </c>
      <c r="T898" t="s">
        <v>1671</v>
      </c>
      <c r="U898">
        <v>9</v>
      </c>
      <c r="V898" t="s">
        <v>1385</v>
      </c>
    </row>
    <row r="899" spans="1:22" x14ac:dyDescent="0.3">
      <c r="A899" t="s">
        <v>1766</v>
      </c>
      <c r="B899" s="1">
        <v>45557</v>
      </c>
      <c r="C899" t="s">
        <v>287</v>
      </c>
      <c r="D899" t="s">
        <v>1415</v>
      </c>
      <c r="E899" t="s">
        <v>41</v>
      </c>
      <c r="F899" t="s">
        <v>42</v>
      </c>
      <c r="G899" t="s">
        <v>50</v>
      </c>
      <c r="H899" t="s">
        <v>64</v>
      </c>
      <c r="I899" t="s">
        <v>65</v>
      </c>
      <c r="J899" t="s">
        <v>232</v>
      </c>
      <c r="K899">
        <v>2</v>
      </c>
      <c r="L899">
        <v>4116.63</v>
      </c>
      <c r="M899">
        <v>0.05</v>
      </c>
      <c r="N899">
        <v>7821.6</v>
      </c>
      <c r="O899">
        <v>5034.1400000000003</v>
      </c>
      <c r="P899">
        <v>2787.46</v>
      </c>
      <c r="Q899" t="s">
        <v>113</v>
      </c>
      <c r="R899">
        <v>0.35637976884524902</v>
      </c>
      <c r="S899">
        <v>2024</v>
      </c>
      <c r="T899" t="s">
        <v>1671</v>
      </c>
      <c r="U899">
        <v>9</v>
      </c>
      <c r="V899" t="s">
        <v>1385</v>
      </c>
    </row>
    <row r="900" spans="1:22" x14ac:dyDescent="0.3">
      <c r="A900" t="s">
        <v>1767</v>
      </c>
      <c r="B900" s="1">
        <v>45557</v>
      </c>
      <c r="C900" t="s">
        <v>1080</v>
      </c>
      <c r="D900" t="s">
        <v>1509</v>
      </c>
      <c r="E900" t="s">
        <v>61</v>
      </c>
      <c r="F900" t="s">
        <v>78</v>
      </c>
      <c r="G900" t="s">
        <v>83</v>
      </c>
      <c r="H900" t="s">
        <v>64</v>
      </c>
      <c r="I900" t="s">
        <v>65</v>
      </c>
      <c r="J900" t="s">
        <v>66</v>
      </c>
      <c r="K900">
        <v>3</v>
      </c>
      <c r="L900">
        <v>5126.37</v>
      </c>
      <c r="M900">
        <v>0.2</v>
      </c>
      <c r="N900">
        <v>12303.29</v>
      </c>
      <c r="O900">
        <v>9642.8700000000008</v>
      </c>
      <c r="P900">
        <v>2660.42</v>
      </c>
      <c r="Q900" t="s">
        <v>67</v>
      </c>
      <c r="R900">
        <v>0.21623647008239261</v>
      </c>
      <c r="S900">
        <v>2024</v>
      </c>
      <c r="T900" t="s">
        <v>1671</v>
      </c>
      <c r="U900">
        <v>9</v>
      </c>
      <c r="V900" t="s">
        <v>1385</v>
      </c>
    </row>
    <row r="901" spans="1:22" x14ac:dyDescent="0.3">
      <c r="A901" t="s">
        <v>1768</v>
      </c>
      <c r="B901" s="1">
        <v>45558</v>
      </c>
      <c r="C901" t="s">
        <v>1769</v>
      </c>
      <c r="D901" t="s">
        <v>209</v>
      </c>
      <c r="E901" t="s">
        <v>41</v>
      </c>
      <c r="F901" t="s">
        <v>42</v>
      </c>
      <c r="G901" t="s">
        <v>50</v>
      </c>
      <c r="H901" t="s">
        <v>43</v>
      </c>
      <c r="I901" t="s">
        <v>44</v>
      </c>
      <c r="J901" t="s">
        <v>248</v>
      </c>
      <c r="K901">
        <v>5</v>
      </c>
      <c r="L901">
        <v>287.10000000000002</v>
      </c>
      <c r="M901">
        <v>0.05</v>
      </c>
      <c r="N901">
        <v>1363.72</v>
      </c>
      <c r="O901">
        <v>610.86</v>
      </c>
      <c r="P901">
        <v>752.86</v>
      </c>
      <c r="Q901" t="s">
        <v>46</v>
      </c>
      <c r="R901">
        <v>0.55206347344029572</v>
      </c>
      <c r="S901">
        <v>2024</v>
      </c>
      <c r="T901" t="s">
        <v>1671</v>
      </c>
      <c r="U901">
        <v>9</v>
      </c>
      <c r="V901" t="s">
        <v>1385</v>
      </c>
    </row>
    <row r="902" spans="1:22" x14ac:dyDescent="0.3">
      <c r="A902" t="s">
        <v>1770</v>
      </c>
      <c r="B902" s="1">
        <v>45558</v>
      </c>
      <c r="C902" t="s">
        <v>633</v>
      </c>
      <c r="D902" t="s">
        <v>235</v>
      </c>
      <c r="E902" t="s">
        <v>41</v>
      </c>
      <c r="F902" t="s">
        <v>42</v>
      </c>
      <c r="G902" t="s">
        <v>50</v>
      </c>
      <c r="H902" t="s">
        <v>28</v>
      </c>
      <c r="I902" t="s">
        <v>73</v>
      </c>
      <c r="J902" t="s">
        <v>74</v>
      </c>
      <c r="K902">
        <v>4</v>
      </c>
      <c r="L902">
        <v>2444.21</v>
      </c>
      <c r="M902">
        <v>0.05</v>
      </c>
      <c r="N902">
        <v>9288</v>
      </c>
      <c r="O902">
        <v>5480.13</v>
      </c>
      <c r="P902">
        <v>3807.87</v>
      </c>
      <c r="Q902" t="s">
        <v>67</v>
      </c>
      <c r="R902">
        <v>0.40997739018087848</v>
      </c>
      <c r="S902">
        <v>2024</v>
      </c>
      <c r="T902" t="s">
        <v>1671</v>
      </c>
      <c r="U902">
        <v>9</v>
      </c>
      <c r="V902" t="s">
        <v>1385</v>
      </c>
    </row>
    <row r="903" spans="1:22" x14ac:dyDescent="0.3">
      <c r="A903" t="s">
        <v>1771</v>
      </c>
      <c r="B903" s="1">
        <v>45558</v>
      </c>
      <c r="C903" t="s">
        <v>1772</v>
      </c>
      <c r="D903" t="s">
        <v>241</v>
      </c>
      <c r="E903" t="s">
        <v>61</v>
      </c>
      <c r="F903" t="s">
        <v>62</v>
      </c>
      <c r="G903" t="s">
        <v>228</v>
      </c>
      <c r="H903" t="s">
        <v>28</v>
      </c>
      <c r="I903" t="s">
        <v>73</v>
      </c>
      <c r="J903" t="s">
        <v>74</v>
      </c>
      <c r="K903">
        <v>2</v>
      </c>
      <c r="L903">
        <v>2418.11</v>
      </c>
      <c r="M903">
        <v>0.1</v>
      </c>
      <c r="N903">
        <v>4352.6000000000004</v>
      </c>
      <c r="O903">
        <v>2613.3200000000002</v>
      </c>
      <c r="P903">
        <v>1739.28</v>
      </c>
      <c r="Q903" t="s">
        <v>113</v>
      </c>
      <c r="R903">
        <v>0.39959564398290681</v>
      </c>
      <c r="S903">
        <v>2024</v>
      </c>
      <c r="T903" t="s">
        <v>1671</v>
      </c>
      <c r="U903">
        <v>9</v>
      </c>
      <c r="V903" t="s">
        <v>1385</v>
      </c>
    </row>
    <row r="904" spans="1:22" x14ac:dyDescent="0.3">
      <c r="A904" t="s">
        <v>1773</v>
      </c>
      <c r="B904" s="1">
        <v>45558</v>
      </c>
      <c r="C904" t="s">
        <v>1774</v>
      </c>
      <c r="D904" t="s">
        <v>1433</v>
      </c>
      <c r="E904" t="s">
        <v>61</v>
      </c>
      <c r="F904" t="s">
        <v>62</v>
      </c>
      <c r="G904" t="s">
        <v>90</v>
      </c>
      <c r="H904" t="s">
        <v>64</v>
      </c>
      <c r="I904" t="s">
        <v>65</v>
      </c>
      <c r="J904" t="s">
        <v>232</v>
      </c>
      <c r="K904">
        <v>3</v>
      </c>
      <c r="L904">
        <v>3790.88</v>
      </c>
      <c r="M904">
        <v>0.05</v>
      </c>
      <c r="N904">
        <v>10804.01</v>
      </c>
      <c r="O904">
        <v>7060.35</v>
      </c>
      <c r="P904">
        <v>3743.66</v>
      </c>
      <c r="Q904" t="s">
        <v>53</v>
      </c>
      <c r="R904">
        <v>0.34650652859447562</v>
      </c>
      <c r="S904">
        <v>2024</v>
      </c>
      <c r="T904" t="s">
        <v>1671</v>
      </c>
      <c r="U904">
        <v>9</v>
      </c>
      <c r="V904" t="s">
        <v>1385</v>
      </c>
    </row>
    <row r="905" spans="1:22" x14ac:dyDescent="0.3">
      <c r="A905" t="s">
        <v>1775</v>
      </c>
      <c r="B905" s="1">
        <v>45559</v>
      </c>
      <c r="C905" t="s">
        <v>561</v>
      </c>
      <c r="D905" t="s">
        <v>1509</v>
      </c>
      <c r="E905" t="s">
        <v>25</v>
      </c>
      <c r="F905" t="s">
        <v>26</v>
      </c>
      <c r="G905" t="s">
        <v>260</v>
      </c>
      <c r="H905" t="s">
        <v>43</v>
      </c>
      <c r="I905" t="s">
        <v>51</v>
      </c>
      <c r="J905" t="s">
        <v>96</v>
      </c>
      <c r="K905">
        <v>1</v>
      </c>
      <c r="L905">
        <v>525.95000000000005</v>
      </c>
      <c r="M905">
        <v>0.05</v>
      </c>
      <c r="N905">
        <v>499.65</v>
      </c>
      <c r="O905">
        <v>236.36</v>
      </c>
      <c r="P905">
        <v>263.29000000000002</v>
      </c>
      <c r="Q905" t="s">
        <v>67</v>
      </c>
      <c r="R905">
        <v>0.52694886420494358</v>
      </c>
      <c r="S905">
        <v>2024</v>
      </c>
      <c r="T905" t="s">
        <v>1671</v>
      </c>
      <c r="U905">
        <v>9</v>
      </c>
      <c r="V905" t="s">
        <v>1385</v>
      </c>
    </row>
    <row r="906" spans="1:22" x14ac:dyDescent="0.3">
      <c r="A906" t="s">
        <v>1776</v>
      </c>
      <c r="B906" s="1">
        <v>45559</v>
      </c>
      <c r="C906" t="s">
        <v>481</v>
      </c>
      <c r="D906" t="s">
        <v>265</v>
      </c>
      <c r="E906" t="s">
        <v>61</v>
      </c>
      <c r="F906" t="s">
        <v>62</v>
      </c>
      <c r="G906" t="s">
        <v>90</v>
      </c>
      <c r="H906" t="s">
        <v>64</v>
      </c>
      <c r="I906" t="s">
        <v>108</v>
      </c>
      <c r="J906" t="s">
        <v>109</v>
      </c>
      <c r="K906">
        <v>3</v>
      </c>
      <c r="L906">
        <v>7407.68</v>
      </c>
      <c r="M906">
        <v>0.15</v>
      </c>
      <c r="N906">
        <v>18889.580000000002</v>
      </c>
      <c r="O906">
        <v>14395.35</v>
      </c>
      <c r="P906">
        <v>4494.2299999999996</v>
      </c>
      <c r="Q906" t="s">
        <v>113</v>
      </c>
      <c r="R906">
        <v>0.23792111841554969</v>
      </c>
      <c r="S906">
        <v>2024</v>
      </c>
      <c r="T906" t="s">
        <v>1671</v>
      </c>
      <c r="U906">
        <v>9</v>
      </c>
      <c r="V906" t="s">
        <v>1385</v>
      </c>
    </row>
    <row r="907" spans="1:22" x14ac:dyDescent="0.3">
      <c r="A907" t="s">
        <v>1777</v>
      </c>
      <c r="B907" s="1">
        <v>45560</v>
      </c>
      <c r="C907" t="s">
        <v>184</v>
      </c>
      <c r="D907" t="s">
        <v>357</v>
      </c>
      <c r="E907" t="s">
        <v>41</v>
      </c>
      <c r="F907" t="s">
        <v>42</v>
      </c>
      <c r="G907" t="s">
        <v>50</v>
      </c>
      <c r="H907" t="s">
        <v>64</v>
      </c>
      <c r="I907" t="s">
        <v>65</v>
      </c>
      <c r="J907" t="s">
        <v>66</v>
      </c>
      <c r="K907">
        <v>1</v>
      </c>
      <c r="L907">
        <v>5108.8100000000004</v>
      </c>
      <c r="M907">
        <v>0</v>
      </c>
      <c r="N907">
        <v>5108.8100000000004</v>
      </c>
      <c r="O907">
        <v>3177.4</v>
      </c>
      <c r="P907">
        <v>1931.41</v>
      </c>
      <c r="Q907" t="s">
        <v>31</v>
      </c>
      <c r="R907">
        <v>0.37805477205063409</v>
      </c>
      <c r="S907">
        <v>2024</v>
      </c>
      <c r="T907" t="s">
        <v>1671</v>
      </c>
      <c r="U907">
        <v>9</v>
      </c>
      <c r="V907" t="s">
        <v>1385</v>
      </c>
    </row>
    <row r="908" spans="1:22" x14ac:dyDescent="0.3">
      <c r="A908" t="s">
        <v>1778</v>
      </c>
      <c r="B908" s="1">
        <v>45560</v>
      </c>
      <c r="C908" t="s">
        <v>1779</v>
      </c>
      <c r="D908" t="s">
        <v>1780</v>
      </c>
      <c r="E908" t="s">
        <v>61</v>
      </c>
      <c r="F908" t="s">
        <v>78</v>
      </c>
      <c r="G908" t="s">
        <v>83</v>
      </c>
      <c r="H908" t="s">
        <v>43</v>
      </c>
      <c r="I908" t="s">
        <v>51</v>
      </c>
      <c r="J908" t="s">
        <v>52</v>
      </c>
      <c r="K908">
        <v>2</v>
      </c>
      <c r="L908">
        <v>680.74</v>
      </c>
      <c r="M908">
        <v>0</v>
      </c>
      <c r="N908">
        <v>1361.48</v>
      </c>
      <c r="O908">
        <v>654.16</v>
      </c>
      <c r="P908">
        <v>707.32</v>
      </c>
      <c r="Q908" t="s">
        <v>53</v>
      </c>
      <c r="R908">
        <v>0.51952287216852255</v>
      </c>
      <c r="S908">
        <v>2024</v>
      </c>
      <c r="T908" t="s">
        <v>1671</v>
      </c>
      <c r="U908">
        <v>9</v>
      </c>
      <c r="V908" t="s">
        <v>1385</v>
      </c>
    </row>
    <row r="909" spans="1:22" x14ac:dyDescent="0.3">
      <c r="A909" t="s">
        <v>1781</v>
      </c>
      <c r="B909" s="1">
        <v>45560</v>
      </c>
      <c r="C909" t="s">
        <v>246</v>
      </c>
      <c r="D909" t="s">
        <v>36</v>
      </c>
      <c r="E909" t="s">
        <v>61</v>
      </c>
      <c r="F909" t="s">
        <v>62</v>
      </c>
      <c r="G909" t="s">
        <v>134</v>
      </c>
      <c r="H909" t="s">
        <v>43</v>
      </c>
      <c r="I909" t="s">
        <v>44</v>
      </c>
      <c r="J909" t="s">
        <v>248</v>
      </c>
      <c r="K909">
        <v>2</v>
      </c>
      <c r="L909">
        <v>304.76</v>
      </c>
      <c r="M909">
        <v>0</v>
      </c>
      <c r="N909">
        <v>609.52</v>
      </c>
      <c r="O909">
        <v>253.11</v>
      </c>
      <c r="P909">
        <v>356.41</v>
      </c>
      <c r="Q909" t="s">
        <v>113</v>
      </c>
      <c r="R909">
        <v>0.58473881086756796</v>
      </c>
      <c r="S909">
        <v>2024</v>
      </c>
      <c r="T909" t="s">
        <v>1671</v>
      </c>
      <c r="U909">
        <v>9</v>
      </c>
      <c r="V909" t="s">
        <v>1385</v>
      </c>
    </row>
    <row r="910" spans="1:22" x14ac:dyDescent="0.3">
      <c r="A910" t="s">
        <v>1782</v>
      </c>
      <c r="B910" s="1">
        <v>45560</v>
      </c>
      <c r="C910" t="s">
        <v>549</v>
      </c>
      <c r="D910" t="s">
        <v>363</v>
      </c>
      <c r="E910" t="s">
        <v>61</v>
      </c>
      <c r="F910" t="s">
        <v>62</v>
      </c>
      <c r="G910" t="s">
        <v>90</v>
      </c>
      <c r="H910" t="s">
        <v>64</v>
      </c>
      <c r="I910" t="s">
        <v>108</v>
      </c>
      <c r="J910" t="s">
        <v>155</v>
      </c>
      <c r="K910">
        <v>1</v>
      </c>
      <c r="L910">
        <v>8085.81</v>
      </c>
      <c r="M910">
        <v>0</v>
      </c>
      <c r="N910">
        <v>8085.81</v>
      </c>
      <c r="O910">
        <v>5321.7</v>
      </c>
      <c r="P910">
        <v>2764.11</v>
      </c>
      <c r="Q910" t="s">
        <v>53</v>
      </c>
      <c r="R910">
        <v>0.34184701347174867</v>
      </c>
      <c r="S910">
        <v>2024</v>
      </c>
      <c r="T910" t="s">
        <v>1671</v>
      </c>
      <c r="U910">
        <v>9</v>
      </c>
      <c r="V910" t="s">
        <v>1385</v>
      </c>
    </row>
    <row r="911" spans="1:22" x14ac:dyDescent="0.3">
      <c r="A911" t="s">
        <v>1783</v>
      </c>
      <c r="B911" s="1">
        <v>45560</v>
      </c>
      <c r="C911" t="s">
        <v>1784</v>
      </c>
      <c r="D911" t="s">
        <v>212</v>
      </c>
      <c r="E911" t="s">
        <v>41</v>
      </c>
      <c r="F911" t="s">
        <v>42</v>
      </c>
      <c r="G911" t="s">
        <v>50</v>
      </c>
      <c r="H911" t="s">
        <v>84</v>
      </c>
      <c r="I911" t="s">
        <v>85</v>
      </c>
      <c r="J911" t="s">
        <v>145</v>
      </c>
      <c r="K911">
        <v>2</v>
      </c>
      <c r="L911">
        <v>3402.06</v>
      </c>
      <c r="M911">
        <v>0.05</v>
      </c>
      <c r="N911">
        <v>6463.91</v>
      </c>
      <c r="O911">
        <v>3821.85</v>
      </c>
      <c r="P911">
        <v>2642.06</v>
      </c>
      <c r="Q911" t="s">
        <v>46</v>
      </c>
      <c r="R911">
        <v>0.40874022070233029</v>
      </c>
      <c r="S911">
        <v>2024</v>
      </c>
      <c r="T911" t="s">
        <v>1671</v>
      </c>
      <c r="U911">
        <v>9</v>
      </c>
      <c r="V911" t="s">
        <v>1385</v>
      </c>
    </row>
    <row r="912" spans="1:22" x14ac:dyDescent="0.3">
      <c r="A912" t="s">
        <v>1785</v>
      </c>
      <c r="B912" s="1">
        <v>45561</v>
      </c>
      <c r="C912" t="s">
        <v>160</v>
      </c>
      <c r="D912" t="s">
        <v>940</v>
      </c>
      <c r="E912" t="s">
        <v>61</v>
      </c>
      <c r="F912" t="s">
        <v>78</v>
      </c>
      <c r="G912" t="s">
        <v>79</v>
      </c>
      <c r="H912" t="s">
        <v>28</v>
      </c>
      <c r="I912" t="s">
        <v>73</v>
      </c>
      <c r="J912" t="s">
        <v>80</v>
      </c>
      <c r="K912">
        <v>1</v>
      </c>
      <c r="L912">
        <v>795.54</v>
      </c>
      <c r="M912">
        <v>0.05</v>
      </c>
      <c r="N912">
        <v>755.76</v>
      </c>
      <c r="O912">
        <v>510.7</v>
      </c>
      <c r="P912">
        <v>245.06</v>
      </c>
      <c r="Q912" t="s">
        <v>113</v>
      </c>
      <c r="R912">
        <v>0.32425637768603788</v>
      </c>
      <c r="S912">
        <v>2024</v>
      </c>
      <c r="T912" t="s">
        <v>1671</v>
      </c>
      <c r="U912">
        <v>9</v>
      </c>
      <c r="V912" t="s">
        <v>1385</v>
      </c>
    </row>
    <row r="913" spans="1:22" x14ac:dyDescent="0.3">
      <c r="A913" t="s">
        <v>1786</v>
      </c>
      <c r="B913" s="1">
        <v>45562</v>
      </c>
      <c r="C913" t="s">
        <v>1131</v>
      </c>
      <c r="D913" t="s">
        <v>1020</v>
      </c>
      <c r="E913" t="s">
        <v>61</v>
      </c>
      <c r="F913" t="s">
        <v>78</v>
      </c>
      <c r="G913" t="s">
        <v>104</v>
      </c>
      <c r="H913" t="s">
        <v>64</v>
      </c>
      <c r="I913" t="s">
        <v>65</v>
      </c>
      <c r="J913" t="s">
        <v>232</v>
      </c>
      <c r="K913">
        <v>2</v>
      </c>
      <c r="L913">
        <v>4061.69</v>
      </c>
      <c r="M913">
        <v>0.1</v>
      </c>
      <c r="N913">
        <v>7311.04</v>
      </c>
      <c r="O913">
        <v>5297.82</v>
      </c>
      <c r="P913">
        <v>2013.22</v>
      </c>
      <c r="Q913" t="s">
        <v>113</v>
      </c>
      <c r="R913">
        <v>0.27536711603273961</v>
      </c>
      <c r="S913">
        <v>2024</v>
      </c>
      <c r="T913" t="s">
        <v>1671</v>
      </c>
      <c r="U913">
        <v>9</v>
      </c>
      <c r="V913" t="s">
        <v>1385</v>
      </c>
    </row>
    <row r="914" spans="1:22" x14ac:dyDescent="0.3">
      <c r="A914" t="s">
        <v>1787</v>
      </c>
      <c r="B914" s="1">
        <v>45562</v>
      </c>
      <c r="C914" t="s">
        <v>1395</v>
      </c>
      <c r="D914" t="s">
        <v>259</v>
      </c>
      <c r="E914" t="s">
        <v>61</v>
      </c>
      <c r="F914" t="s">
        <v>62</v>
      </c>
      <c r="G914" t="s">
        <v>134</v>
      </c>
      <c r="H914" t="s">
        <v>64</v>
      </c>
      <c r="I914" t="s">
        <v>108</v>
      </c>
      <c r="J914" t="s">
        <v>155</v>
      </c>
      <c r="K914">
        <v>4</v>
      </c>
      <c r="L914">
        <v>8165.81</v>
      </c>
      <c r="M914">
        <v>0.05</v>
      </c>
      <c r="N914">
        <v>31030.080000000002</v>
      </c>
      <c r="O914">
        <v>22360.35</v>
      </c>
      <c r="P914">
        <v>8669.73</v>
      </c>
      <c r="Q914" t="s">
        <v>31</v>
      </c>
      <c r="R914">
        <v>0.27939760387340279</v>
      </c>
      <c r="S914">
        <v>2024</v>
      </c>
      <c r="T914" t="s">
        <v>1671</v>
      </c>
      <c r="U914">
        <v>9</v>
      </c>
      <c r="V914" t="s">
        <v>1385</v>
      </c>
    </row>
    <row r="915" spans="1:22" x14ac:dyDescent="0.3">
      <c r="A915" t="s">
        <v>1788</v>
      </c>
      <c r="B915" s="1">
        <v>45562</v>
      </c>
      <c r="C915" t="s">
        <v>1789</v>
      </c>
      <c r="D915" t="s">
        <v>1232</v>
      </c>
      <c r="E915" t="s">
        <v>61</v>
      </c>
      <c r="F915" t="s">
        <v>71</v>
      </c>
      <c r="G915" t="s">
        <v>100</v>
      </c>
      <c r="H915" t="s">
        <v>64</v>
      </c>
      <c r="I915" t="s">
        <v>108</v>
      </c>
      <c r="J915" t="s">
        <v>155</v>
      </c>
      <c r="K915">
        <v>4</v>
      </c>
      <c r="L915">
        <v>8772.9699999999993</v>
      </c>
      <c r="M915">
        <v>0.1</v>
      </c>
      <c r="N915">
        <v>31582.69</v>
      </c>
      <c r="O915">
        <v>24534.48</v>
      </c>
      <c r="P915">
        <v>7048.21</v>
      </c>
      <c r="Q915" t="s">
        <v>53</v>
      </c>
      <c r="R915">
        <v>0.2231668676733996</v>
      </c>
      <c r="S915">
        <v>2024</v>
      </c>
      <c r="T915" t="s">
        <v>1671</v>
      </c>
      <c r="U915">
        <v>9</v>
      </c>
      <c r="V915" t="s">
        <v>1385</v>
      </c>
    </row>
    <row r="916" spans="1:22" x14ac:dyDescent="0.3">
      <c r="A916" t="s">
        <v>1790</v>
      </c>
      <c r="B916" s="1">
        <v>45562</v>
      </c>
      <c r="C916" t="s">
        <v>1769</v>
      </c>
      <c r="D916" t="s">
        <v>1164</v>
      </c>
      <c r="E916" t="s">
        <v>41</v>
      </c>
      <c r="F916" t="s">
        <v>42</v>
      </c>
      <c r="G916" t="s">
        <v>42</v>
      </c>
      <c r="H916" t="s">
        <v>64</v>
      </c>
      <c r="I916" t="s">
        <v>108</v>
      </c>
      <c r="J916" t="s">
        <v>155</v>
      </c>
      <c r="K916">
        <v>2</v>
      </c>
      <c r="L916">
        <v>8233.76</v>
      </c>
      <c r="M916">
        <v>0.1</v>
      </c>
      <c r="N916">
        <v>14820.77</v>
      </c>
      <c r="O916">
        <v>11031.44</v>
      </c>
      <c r="P916">
        <v>3789.33</v>
      </c>
      <c r="Q916" t="s">
        <v>67</v>
      </c>
      <c r="R916">
        <v>0.25567699923823117</v>
      </c>
      <c r="S916">
        <v>2024</v>
      </c>
      <c r="T916" t="s">
        <v>1671</v>
      </c>
      <c r="U916">
        <v>9</v>
      </c>
      <c r="V916" t="s">
        <v>1385</v>
      </c>
    </row>
    <row r="917" spans="1:22" x14ac:dyDescent="0.3">
      <c r="A917" t="s">
        <v>1791</v>
      </c>
      <c r="B917" s="1">
        <v>45563</v>
      </c>
      <c r="C917" t="s">
        <v>872</v>
      </c>
      <c r="D917" t="s">
        <v>752</v>
      </c>
      <c r="E917" t="s">
        <v>61</v>
      </c>
      <c r="F917" t="s">
        <v>71</v>
      </c>
      <c r="G917" t="s">
        <v>201</v>
      </c>
      <c r="H917" t="s">
        <v>64</v>
      </c>
      <c r="I917" t="s">
        <v>65</v>
      </c>
      <c r="J917" t="s">
        <v>232</v>
      </c>
      <c r="K917">
        <v>1</v>
      </c>
      <c r="L917">
        <v>4151.75</v>
      </c>
      <c r="M917">
        <v>0.2</v>
      </c>
      <c r="N917">
        <v>3321.4</v>
      </c>
      <c r="O917">
        <v>2666.16</v>
      </c>
      <c r="P917">
        <v>655.24</v>
      </c>
      <c r="Q917" t="s">
        <v>67</v>
      </c>
      <c r="R917">
        <v>0.1972782561570422</v>
      </c>
      <c r="S917">
        <v>2024</v>
      </c>
      <c r="T917" t="s">
        <v>1671</v>
      </c>
      <c r="U917">
        <v>9</v>
      </c>
      <c r="V917" t="s">
        <v>1385</v>
      </c>
    </row>
    <row r="918" spans="1:22" x14ac:dyDescent="0.3">
      <c r="A918" t="s">
        <v>1792</v>
      </c>
      <c r="B918" s="1">
        <v>45563</v>
      </c>
      <c r="C918" t="s">
        <v>1789</v>
      </c>
      <c r="D918" t="s">
        <v>789</v>
      </c>
      <c r="E918" t="s">
        <v>41</v>
      </c>
      <c r="F918" t="s">
        <v>42</v>
      </c>
      <c r="G918" t="s">
        <v>42</v>
      </c>
      <c r="H918" t="s">
        <v>64</v>
      </c>
      <c r="I918" t="s">
        <v>108</v>
      </c>
      <c r="J918" t="s">
        <v>155</v>
      </c>
      <c r="K918">
        <v>5</v>
      </c>
      <c r="L918">
        <v>8543.52</v>
      </c>
      <c r="M918">
        <v>0.1</v>
      </c>
      <c r="N918">
        <v>38445.839999999997</v>
      </c>
      <c r="O918">
        <v>29276.45</v>
      </c>
      <c r="P918">
        <v>9169.39</v>
      </c>
      <c r="Q918" t="s">
        <v>53</v>
      </c>
      <c r="R918">
        <v>0.2385014867668388</v>
      </c>
      <c r="S918">
        <v>2024</v>
      </c>
      <c r="T918" t="s">
        <v>1671</v>
      </c>
      <c r="U918">
        <v>9</v>
      </c>
      <c r="V918" t="s">
        <v>1385</v>
      </c>
    </row>
    <row r="919" spans="1:22" x14ac:dyDescent="0.3">
      <c r="A919" t="s">
        <v>1793</v>
      </c>
      <c r="B919" s="1">
        <v>45563</v>
      </c>
      <c r="C919" t="s">
        <v>106</v>
      </c>
      <c r="D919" t="s">
        <v>652</v>
      </c>
      <c r="E919" t="s">
        <v>61</v>
      </c>
      <c r="F919" t="s">
        <v>71</v>
      </c>
      <c r="G919" t="s">
        <v>317</v>
      </c>
      <c r="H919" t="s">
        <v>84</v>
      </c>
      <c r="I919" t="s">
        <v>85</v>
      </c>
      <c r="J919" t="s">
        <v>145</v>
      </c>
      <c r="K919">
        <v>3</v>
      </c>
      <c r="L919">
        <v>3237.27</v>
      </c>
      <c r="M919">
        <v>0.1</v>
      </c>
      <c r="N919">
        <v>8740.6299999999992</v>
      </c>
      <c r="O919">
        <v>5490.5</v>
      </c>
      <c r="P919">
        <v>3250.13</v>
      </c>
      <c r="Q919" t="s">
        <v>31</v>
      </c>
      <c r="R919">
        <v>0.37184161782388692</v>
      </c>
      <c r="S919">
        <v>2024</v>
      </c>
      <c r="T919" t="s">
        <v>1671</v>
      </c>
      <c r="U919">
        <v>9</v>
      </c>
      <c r="V919" t="s">
        <v>1385</v>
      </c>
    </row>
    <row r="920" spans="1:22" x14ac:dyDescent="0.3">
      <c r="A920" t="s">
        <v>1794</v>
      </c>
      <c r="B920" s="1">
        <v>45564</v>
      </c>
      <c r="C920" t="s">
        <v>784</v>
      </c>
      <c r="D920" t="s">
        <v>1795</v>
      </c>
      <c r="E920" t="s">
        <v>61</v>
      </c>
      <c r="F920" t="s">
        <v>62</v>
      </c>
      <c r="G920" t="s">
        <v>63</v>
      </c>
      <c r="H920" t="s">
        <v>43</v>
      </c>
      <c r="I920" t="s">
        <v>44</v>
      </c>
      <c r="J920" t="s">
        <v>248</v>
      </c>
      <c r="K920">
        <v>3</v>
      </c>
      <c r="L920">
        <v>292</v>
      </c>
      <c r="M920">
        <v>0.15</v>
      </c>
      <c r="N920">
        <v>744.6</v>
      </c>
      <c r="O920">
        <v>378.08</v>
      </c>
      <c r="P920">
        <v>366.52</v>
      </c>
      <c r="Q920" t="s">
        <v>113</v>
      </c>
      <c r="R920">
        <v>0.49223744292237442</v>
      </c>
      <c r="S920">
        <v>2024</v>
      </c>
      <c r="T920" t="s">
        <v>1671</v>
      </c>
      <c r="U920">
        <v>9</v>
      </c>
      <c r="V920" t="s">
        <v>1385</v>
      </c>
    </row>
    <row r="921" spans="1:22" x14ac:dyDescent="0.3">
      <c r="A921" t="s">
        <v>1796</v>
      </c>
      <c r="B921" s="1">
        <v>45564</v>
      </c>
      <c r="C921" t="s">
        <v>1797</v>
      </c>
      <c r="D921" t="s">
        <v>1798</v>
      </c>
      <c r="E921" t="s">
        <v>61</v>
      </c>
      <c r="F921" t="s">
        <v>62</v>
      </c>
      <c r="G921" t="s">
        <v>90</v>
      </c>
      <c r="H921" t="s">
        <v>43</v>
      </c>
      <c r="I921" t="s">
        <v>51</v>
      </c>
      <c r="J921" t="s">
        <v>52</v>
      </c>
      <c r="K921">
        <v>1</v>
      </c>
      <c r="L921">
        <v>659.77</v>
      </c>
      <c r="M921">
        <v>0.05</v>
      </c>
      <c r="N921">
        <v>626.78</v>
      </c>
      <c r="O921">
        <v>312.49</v>
      </c>
      <c r="P921">
        <v>314.29000000000002</v>
      </c>
      <c r="Q921" t="s">
        <v>53</v>
      </c>
      <c r="R921">
        <v>0.50143591052681968</v>
      </c>
      <c r="S921">
        <v>2024</v>
      </c>
      <c r="T921" t="s">
        <v>1671</v>
      </c>
      <c r="U921">
        <v>9</v>
      </c>
      <c r="V921" t="s">
        <v>1385</v>
      </c>
    </row>
    <row r="922" spans="1:22" x14ac:dyDescent="0.3">
      <c r="A922" t="s">
        <v>1799</v>
      </c>
      <c r="B922" s="1">
        <v>45565</v>
      </c>
      <c r="C922" t="s">
        <v>246</v>
      </c>
      <c r="D922" t="s">
        <v>789</v>
      </c>
      <c r="E922" t="s">
        <v>61</v>
      </c>
      <c r="F922" t="s">
        <v>62</v>
      </c>
      <c r="G922" t="s">
        <v>134</v>
      </c>
      <c r="H922" t="s">
        <v>28</v>
      </c>
      <c r="I922" t="s">
        <v>91</v>
      </c>
      <c r="J922" t="s">
        <v>126</v>
      </c>
      <c r="K922">
        <v>4</v>
      </c>
      <c r="L922">
        <v>1960.15</v>
      </c>
      <c r="M922">
        <v>0.1</v>
      </c>
      <c r="N922">
        <v>7056.54</v>
      </c>
      <c r="O922">
        <v>4483.8100000000004</v>
      </c>
      <c r="P922">
        <v>2572.73</v>
      </c>
      <c r="Q922" t="s">
        <v>53</v>
      </c>
      <c r="R922">
        <v>0.36458802756024911</v>
      </c>
      <c r="S922">
        <v>2024</v>
      </c>
      <c r="T922" t="s">
        <v>1671</v>
      </c>
      <c r="U922">
        <v>9</v>
      </c>
      <c r="V922" t="s">
        <v>1385</v>
      </c>
    </row>
    <row r="923" spans="1:22" x14ac:dyDescent="0.3">
      <c r="A923" t="s">
        <v>1800</v>
      </c>
      <c r="B923" s="1">
        <v>45565</v>
      </c>
      <c r="C923" t="s">
        <v>1052</v>
      </c>
      <c r="D923" t="s">
        <v>206</v>
      </c>
      <c r="E923" t="s">
        <v>61</v>
      </c>
      <c r="F923" t="s">
        <v>62</v>
      </c>
      <c r="G923" t="s">
        <v>134</v>
      </c>
      <c r="H923" t="s">
        <v>43</v>
      </c>
      <c r="I923" t="s">
        <v>44</v>
      </c>
      <c r="J923" t="s">
        <v>248</v>
      </c>
      <c r="K923">
        <v>4</v>
      </c>
      <c r="L923">
        <v>303.52</v>
      </c>
      <c r="M923">
        <v>0.05</v>
      </c>
      <c r="N923">
        <v>1153.3800000000001</v>
      </c>
      <c r="O923">
        <v>509.18</v>
      </c>
      <c r="P923">
        <v>644.20000000000005</v>
      </c>
      <c r="Q923" t="s">
        <v>31</v>
      </c>
      <c r="R923">
        <v>0.5585323137214101</v>
      </c>
      <c r="S923">
        <v>2024</v>
      </c>
      <c r="T923" t="s">
        <v>1671</v>
      </c>
      <c r="U923">
        <v>9</v>
      </c>
      <c r="V923" t="s">
        <v>1385</v>
      </c>
    </row>
    <row r="924" spans="1:22" x14ac:dyDescent="0.3">
      <c r="A924" t="s">
        <v>1801</v>
      </c>
      <c r="B924" s="1">
        <v>45566</v>
      </c>
      <c r="C924" t="s">
        <v>870</v>
      </c>
      <c r="D924" t="s">
        <v>759</v>
      </c>
      <c r="E924" t="s">
        <v>61</v>
      </c>
      <c r="F924" t="s">
        <v>71</v>
      </c>
      <c r="G924" t="s">
        <v>201</v>
      </c>
      <c r="H924" t="s">
        <v>28</v>
      </c>
      <c r="I924" t="s">
        <v>29</v>
      </c>
      <c r="J924" t="s">
        <v>30</v>
      </c>
      <c r="K924">
        <v>1</v>
      </c>
      <c r="L924">
        <v>55467.49</v>
      </c>
      <c r="M924">
        <v>0.1</v>
      </c>
      <c r="N924">
        <v>49920.74</v>
      </c>
      <c r="O924">
        <v>47938.3</v>
      </c>
      <c r="P924">
        <v>1982.44</v>
      </c>
      <c r="Q924" t="s">
        <v>31</v>
      </c>
      <c r="R924">
        <v>3.9711751067792671E-2</v>
      </c>
      <c r="S924">
        <v>2024</v>
      </c>
      <c r="T924" t="s">
        <v>1802</v>
      </c>
      <c r="U924">
        <v>10</v>
      </c>
      <c r="V924" t="s">
        <v>1803</v>
      </c>
    </row>
    <row r="925" spans="1:22" x14ac:dyDescent="0.3">
      <c r="A925" t="s">
        <v>1804</v>
      </c>
      <c r="B925" s="1">
        <v>45566</v>
      </c>
      <c r="C925" t="s">
        <v>243</v>
      </c>
      <c r="D925" t="s">
        <v>161</v>
      </c>
      <c r="E925" t="s">
        <v>61</v>
      </c>
      <c r="F925" t="s">
        <v>78</v>
      </c>
      <c r="G925" t="s">
        <v>79</v>
      </c>
      <c r="H925" t="s">
        <v>84</v>
      </c>
      <c r="I925" t="s">
        <v>85</v>
      </c>
      <c r="J925" t="s">
        <v>86</v>
      </c>
      <c r="K925">
        <v>4</v>
      </c>
      <c r="L925">
        <v>1846.62</v>
      </c>
      <c r="M925">
        <v>0.2</v>
      </c>
      <c r="N925">
        <v>5909.18</v>
      </c>
      <c r="O925">
        <v>3954.87</v>
      </c>
      <c r="P925">
        <v>1954.31</v>
      </c>
      <c r="Q925" t="s">
        <v>53</v>
      </c>
      <c r="R925">
        <v>0.33072439830907158</v>
      </c>
      <c r="S925">
        <v>2024</v>
      </c>
      <c r="T925" t="s">
        <v>1802</v>
      </c>
      <c r="U925">
        <v>10</v>
      </c>
      <c r="V925" t="s">
        <v>1803</v>
      </c>
    </row>
    <row r="926" spans="1:22" x14ac:dyDescent="0.3">
      <c r="A926" t="s">
        <v>1805</v>
      </c>
      <c r="B926" s="1">
        <v>45566</v>
      </c>
      <c r="C926" t="s">
        <v>330</v>
      </c>
      <c r="D926" t="s">
        <v>385</v>
      </c>
      <c r="E926" t="s">
        <v>41</v>
      </c>
      <c r="F926" t="s">
        <v>42</v>
      </c>
      <c r="G926" t="s">
        <v>42</v>
      </c>
      <c r="H926" t="s">
        <v>84</v>
      </c>
      <c r="I926" t="s">
        <v>85</v>
      </c>
      <c r="J926" t="s">
        <v>86</v>
      </c>
      <c r="K926">
        <v>6</v>
      </c>
      <c r="L926">
        <v>1896.22</v>
      </c>
      <c r="M926">
        <v>0</v>
      </c>
      <c r="N926">
        <v>11377.32</v>
      </c>
      <c r="O926">
        <v>6035.36</v>
      </c>
      <c r="P926">
        <v>5341.96</v>
      </c>
      <c r="Q926" t="s">
        <v>113</v>
      </c>
      <c r="R926">
        <v>0.46952709425418288</v>
      </c>
      <c r="S926">
        <v>2024</v>
      </c>
      <c r="T926" t="s">
        <v>1802</v>
      </c>
      <c r="U926">
        <v>10</v>
      </c>
      <c r="V926" t="s">
        <v>1803</v>
      </c>
    </row>
    <row r="927" spans="1:22" x14ac:dyDescent="0.3">
      <c r="A927" t="s">
        <v>1806</v>
      </c>
      <c r="B927" s="1">
        <v>45567</v>
      </c>
      <c r="C927" t="s">
        <v>252</v>
      </c>
      <c r="D927" t="s">
        <v>542</v>
      </c>
      <c r="E927" t="s">
        <v>25</v>
      </c>
      <c r="F927" t="s">
        <v>26</v>
      </c>
      <c r="G927" t="s">
        <v>260</v>
      </c>
      <c r="H927" t="s">
        <v>28</v>
      </c>
      <c r="I927" t="s">
        <v>91</v>
      </c>
      <c r="J927" t="s">
        <v>126</v>
      </c>
      <c r="K927">
        <v>3</v>
      </c>
      <c r="L927">
        <v>1989.82</v>
      </c>
      <c r="M927">
        <v>0</v>
      </c>
      <c r="N927">
        <v>5969.46</v>
      </c>
      <c r="O927">
        <v>3468.45</v>
      </c>
      <c r="P927">
        <v>2501.0100000000002</v>
      </c>
      <c r="Q927" t="s">
        <v>31</v>
      </c>
      <c r="R927">
        <v>0.41896754480304749</v>
      </c>
      <c r="S927">
        <v>2024</v>
      </c>
      <c r="T927" t="s">
        <v>1802</v>
      </c>
      <c r="U927">
        <v>10</v>
      </c>
      <c r="V927" t="s">
        <v>1803</v>
      </c>
    </row>
    <row r="928" spans="1:22" x14ac:dyDescent="0.3">
      <c r="A928" t="s">
        <v>1807</v>
      </c>
      <c r="B928" s="1">
        <v>45567</v>
      </c>
      <c r="C928" t="s">
        <v>1808</v>
      </c>
      <c r="D928" t="s">
        <v>56</v>
      </c>
      <c r="E928" t="s">
        <v>25</v>
      </c>
      <c r="F928" t="s">
        <v>26</v>
      </c>
      <c r="G928" t="s">
        <v>37</v>
      </c>
      <c r="H928" t="s">
        <v>84</v>
      </c>
      <c r="I928" t="s">
        <v>85</v>
      </c>
      <c r="J928" t="s">
        <v>86</v>
      </c>
      <c r="K928">
        <v>3</v>
      </c>
      <c r="L928">
        <v>1710.86</v>
      </c>
      <c r="M928">
        <v>0</v>
      </c>
      <c r="N928">
        <v>5132.58</v>
      </c>
      <c r="O928">
        <v>2701.42</v>
      </c>
      <c r="P928">
        <v>2431.16</v>
      </c>
      <c r="Q928" t="s">
        <v>46</v>
      </c>
      <c r="R928">
        <v>0.47367211032268369</v>
      </c>
      <c r="S928">
        <v>2024</v>
      </c>
      <c r="T928" t="s">
        <v>1802</v>
      </c>
      <c r="U928">
        <v>10</v>
      </c>
      <c r="V928" t="s">
        <v>1803</v>
      </c>
    </row>
    <row r="929" spans="1:22" x14ac:dyDescent="0.3">
      <c r="A929" t="s">
        <v>1809</v>
      </c>
      <c r="B929" s="1">
        <v>45567</v>
      </c>
      <c r="C929" t="s">
        <v>1470</v>
      </c>
      <c r="D929" t="s">
        <v>1307</v>
      </c>
      <c r="E929" t="s">
        <v>61</v>
      </c>
      <c r="F929" t="s">
        <v>71</v>
      </c>
      <c r="G929" t="s">
        <v>100</v>
      </c>
      <c r="H929" t="s">
        <v>84</v>
      </c>
      <c r="I929" t="s">
        <v>85</v>
      </c>
      <c r="J929" t="s">
        <v>145</v>
      </c>
      <c r="K929">
        <v>6</v>
      </c>
      <c r="L929">
        <v>3432.2</v>
      </c>
      <c r="M929">
        <v>0</v>
      </c>
      <c r="N929">
        <v>20593.2</v>
      </c>
      <c r="O929">
        <v>12121.57</v>
      </c>
      <c r="P929">
        <v>8471.6299999999992</v>
      </c>
      <c r="Q929" t="s">
        <v>31</v>
      </c>
      <c r="R929">
        <v>0.41137997008721322</v>
      </c>
      <c r="S929">
        <v>2024</v>
      </c>
      <c r="T929" t="s">
        <v>1802</v>
      </c>
      <c r="U929">
        <v>10</v>
      </c>
      <c r="V929" t="s">
        <v>1803</v>
      </c>
    </row>
    <row r="930" spans="1:22" x14ac:dyDescent="0.3">
      <c r="A930" t="s">
        <v>1810</v>
      </c>
      <c r="B930" s="1">
        <v>45567</v>
      </c>
      <c r="C930" t="s">
        <v>1410</v>
      </c>
      <c r="D930" t="s">
        <v>773</v>
      </c>
      <c r="E930" t="s">
        <v>61</v>
      </c>
      <c r="F930" t="s">
        <v>78</v>
      </c>
      <c r="G930" t="s">
        <v>216</v>
      </c>
      <c r="H930" t="s">
        <v>64</v>
      </c>
      <c r="I930" t="s">
        <v>108</v>
      </c>
      <c r="J930" t="s">
        <v>155</v>
      </c>
      <c r="K930">
        <v>2</v>
      </c>
      <c r="L930">
        <v>8155.17</v>
      </c>
      <c r="M930">
        <v>0</v>
      </c>
      <c r="N930">
        <v>16310.34</v>
      </c>
      <c r="O930">
        <v>11254.79</v>
      </c>
      <c r="P930">
        <v>5055.55</v>
      </c>
      <c r="Q930" t="s">
        <v>31</v>
      </c>
      <c r="R930">
        <v>0.30995981690142571</v>
      </c>
      <c r="S930">
        <v>2024</v>
      </c>
      <c r="T930" t="s">
        <v>1802</v>
      </c>
      <c r="U930">
        <v>10</v>
      </c>
      <c r="V930" t="s">
        <v>1803</v>
      </c>
    </row>
    <row r="931" spans="1:22" x14ac:dyDescent="0.3">
      <c r="A931" t="s">
        <v>1811</v>
      </c>
      <c r="B931" s="1">
        <v>45567</v>
      </c>
      <c r="C931" t="s">
        <v>1259</v>
      </c>
      <c r="D931" t="s">
        <v>1433</v>
      </c>
      <c r="E931" t="s">
        <v>41</v>
      </c>
      <c r="F931" t="s">
        <v>42</v>
      </c>
      <c r="G931" t="s">
        <v>50</v>
      </c>
      <c r="H931" t="s">
        <v>43</v>
      </c>
      <c r="I931" t="s">
        <v>51</v>
      </c>
      <c r="J931" t="s">
        <v>96</v>
      </c>
      <c r="K931">
        <v>2</v>
      </c>
      <c r="L931">
        <v>500.59</v>
      </c>
      <c r="M931">
        <v>0.1</v>
      </c>
      <c r="N931">
        <v>901.06</v>
      </c>
      <c r="O931">
        <v>441.43</v>
      </c>
      <c r="P931">
        <v>459.63</v>
      </c>
      <c r="Q931" t="s">
        <v>31</v>
      </c>
      <c r="R931">
        <v>0.51009921647836998</v>
      </c>
      <c r="S931">
        <v>2024</v>
      </c>
      <c r="T931" t="s">
        <v>1802</v>
      </c>
      <c r="U931">
        <v>10</v>
      </c>
      <c r="V931" t="s">
        <v>1803</v>
      </c>
    </row>
    <row r="932" spans="1:22" x14ac:dyDescent="0.3">
      <c r="A932" t="s">
        <v>1812</v>
      </c>
      <c r="B932" s="1">
        <v>45567</v>
      </c>
      <c r="C932" t="s">
        <v>1813</v>
      </c>
      <c r="D932" t="s">
        <v>1060</v>
      </c>
      <c r="E932" t="s">
        <v>120</v>
      </c>
      <c r="F932" t="s">
        <v>121</v>
      </c>
      <c r="G932" t="s">
        <v>122</v>
      </c>
      <c r="H932" t="s">
        <v>28</v>
      </c>
      <c r="I932" t="s">
        <v>91</v>
      </c>
      <c r="J932" t="s">
        <v>126</v>
      </c>
      <c r="K932">
        <v>4</v>
      </c>
      <c r="L932">
        <v>1976.18</v>
      </c>
      <c r="M932">
        <v>0</v>
      </c>
      <c r="N932">
        <v>7904.72</v>
      </c>
      <c r="O932">
        <v>4701.8599999999997</v>
      </c>
      <c r="P932">
        <v>3202.86</v>
      </c>
      <c r="Q932" t="s">
        <v>31</v>
      </c>
      <c r="R932">
        <v>0.40518323229665321</v>
      </c>
      <c r="S932">
        <v>2024</v>
      </c>
      <c r="T932" t="s">
        <v>1802</v>
      </c>
      <c r="U932">
        <v>10</v>
      </c>
      <c r="V932" t="s">
        <v>1803</v>
      </c>
    </row>
    <row r="933" spans="1:22" x14ac:dyDescent="0.3">
      <c r="A933" t="s">
        <v>1814</v>
      </c>
      <c r="B933" s="1">
        <v>45569</v>
      </c>
      <c r="C933" t="s">
        <v>805</v>
      </c>
      <c r="D933" t="s">
        <v>1373</v>
      </c>
      <c r="E933" t="s">
        <v>41</v>
      </c>
      <c r="F933" t="s">
        <v>42</v>
      </c>
      <c r="G933" t="s">
        <v>50</v>
      </c>
      <c r="H933" t="s">
        <v>43</v>
      </c>
      <c r="I933" t="s">
        <v>44</v>
      </c>
      <c r="J933" t="s">
        <v>45</v>
      </c>
      <c r="K933">
        <v>2</v>
      </c>
      <c r="L933">
        <v>234.22</v>
      </c>
      <c r="M933">
        <v>0.15</v>
      </c>
      <c r="N933">
        <v>398.17</v>
      </c>
      <c r="O933">
        <v>173.96</v>
      </c>
      <c r="P933">
        <v>224.21</v>
      </c>
      <c r="Q933" t="s">
        <v>53</v>
      </c>
      <c r="R933">
        <v>0.56310118793480168</v>
      </c>
      <c r="S933">
        <v>2024</v>
      </c>
      <c r="T933" t="s">
        <v>1802</v>
      </c>
      <c r="U933">
        <v>10</v>
      </c>
      <c r="V933" t="s">
        <v>1803</v>
      </c>
    </row>
    <row r="934" spans="1:22" x14ac:dyDescent="0.3">
      <c r="A934" t="s">
        <v>1815</v>
      </c>
      <c r="B934" s="1">
        <v>45569</v>
      </c>
      <c r="C934" t="s">
        <v>1161</v>
      </c>
      <c r="D934" t="s">
        <v>747</v>
      </c>
      <c r="E934" t="s">
        <v>61</v>
      </c>
      <c r="F934" t="s">
        <v>62</v>
      </c>
      <c r="G934" t="s">
        <v>63</v>
      </c>
      <c r="H934" t="s">
        <v>28</v>
      </c>
      <c r="I934" t="s">
        <v>29</v>
      </c>
      <c r="J934" t="s">
        <v>30</v>
      </c>
      <c r="K934">
        <v>2</v>
      </c>
      <c r="L934">
        <v>59734.35</v>
      </c>
      <c r="M934">
        <v>0.05</v>
      </c>
      <c r="N934">
        <v>113495.26</v>
      </c>
      <c r="O934">
        <v>102776.56</v>
      </c>
      <c r="P934">
        <v>10718.7</v>
      </c>
      <c r="Q934" t="s">
        <v>46</v>
      </c>
      <c r="R934">
        <v>9.4441829553057993E-2</v>
      </c>
      <c r="S934">
        <v>2024</v>
      </c>
      <c r="T934" t="s">
        <v>1802</v>
      </c>
      <c r="U934">
        <v>10</v>
      </c>
      <c r="V934" t="s">
        <v>1803</v>
      </c>
    </row>
    <row r="935" spans="1:22" x14ac:dyDescent="0.3">
      <c r="A935" t="s">
        <v>1816</v>
      </c>
      <c r="B935" s="1">
        <v>45569</v>
      </c>
      <c r="C935" t="s">
        <v>421</v>
      </c>
      <c r="D935" t="s">
        <v>161</v>
      </c>
      <c r="E935" t="s">
        <v>41</v>
      </c>
      <c r="F935" t="s">
        <v>42</v>
      </c>
      <c r="G935" t="s">
        <v>42</v>
      </c>
      <c r="H935" t="s">
        <v>28</v>
      </c>
      <c r="I935" t="s">
        <v>91</v>
      </c>
      <c r="J935" t="s">
        <v>126</v>
      </c>
      <c r="K935">
        <v>1</v>
      </c>
      <c r="L935">
        <v>1986.2</v>
      </c>
      <c r="M935">
        <v>0</v>
      </c>
      <c r="N935">
        <v>1986.2</v>
      </c>
      <c r="O935">
        <v>1182.8699999999999</v>
      </c>
      <c r="P935">
        <v>803.33</v>
      </c>
      <c r="Q935" t="s">
        <v>31</v>
      </c>
      <c r="R935">
        <v>0.40445574463800221</v>
      </c>
      <c r="S935">
        <v>2024</v>
      </c>
      <c r="T935" t="s">
        <v>1802</v>
      </c>
      <c r="U935">
        <v>10</v>
      </c>
      <c r="V935" t="s">
        <v>1803</v>
      </c>
    </row>
    <row r="936" spans="1:22" x14ac:dyDescent="0.3">
      <c r="A936" t="s">
        <v>1817</v>
      </c>
      <c r="B936" s="1">
        <v>45570</v>
      </c>
      <c r="C936" t="s">
        <v>1017</v>
      </c>
      <c r="D936" t="s">
        <v>1647</v>
      </c>
      <c r="E936" t="s">
        <v>120</v>
      </c>
      <c r="F936" t="s">
        <v>121</v>
      </c>
      <c r="G936" t="s">
        <v>130</v>
      </c>
      <c r="H936" t="s">
        <v>28</v>
      </c>
      <c r="I936" t="s">
        <v>73</v>
      </c>
      <c r="J936" t="s">
        <v>74</v>
      </c>
      <c r="K936">
        <v>2</v>
      </c>
      <c r="L936">
        <v>2358.69</v>
      </c>
      <c r="M936">
        <v>0.05</v>
      </c>
      <c r="N936">
        <v>4481.51</v>
      </c>
      <c r="O936">
        <v>2557.6799999999998</v>
      </c>
      <c r="P936">
        <v>1923.83</v>
      </c>
      <c r="Q936" t="s">
        <v>31</v>
      </c>
      <c r="R936">
        <v>0.42928164837298138</v>
      </c>
      <c r="S936">
        <v>2024</v>
      </c>
      <c r="T936" t="s">
        <v>1802</v>
      </c>
      <c r="U936">
        <v>10</v>
      </c>
      <c r="V936" t="s">
        <v>1803</v>
      </c>
    </row>
    <row r="937" spans="1:22" x14ac:dyDescent="0.3">
      <c r="A937" t="s">
        <v>1818</v>
      </c>
      <c r="B937" s="1">
        <v>45570</v>
      </c>
      <c r="C937" t="s">
        <v>328</v>
      </c>
      <c r="D937" t="s">
        <v>1108</v>
      </c>
      <c r="E937" t="s">
        <v>120</v>
      </c>
      <c r="F937" t="s">
        <v>121</v>
      </c>
      <c r="G937" t="s">
        <v>224</v>
      </c>
      <c r="H937" t="s">
        <v>28</v>
      </c>
      <c r="I937" t="s">
        <v>29</v>
      </c>
      <c r="J937" t="s">
        <v>57</v>
      </c>
      <c r="K937">
        <v>1</v>
      </c>
      <c r="L937">
        <v>15211.85</v>
      </c>
      <c r="M937">
        <v>0.05</v>
      </c>
      <c r="N937">
        <v>14451.26</v>
      </c>
      <c r="O937">
        <v>11062.16</v>
      </c>
      <c r="P937">
        <v>3389.1</v>
      </c>
      <c r="Q937" t="s">
        <v>31</v>
      </c>
      <c r="R937">
        <v>0.23451934295002649</v>
      </c>
      <c r="S937">
        <v>2024</v>
      </c>
      <c r="T937" t="s">
        <v>1802</v>
      </c>
      <c r="U937">
        <v>10</v>
      </c>
      <c r="V937" t="s">
        <v>1803</v>
      </c>
    </row>
    <row r="938" spans="1:22" x14ac:dyDescent="0.3">
      <c r="A938" t="s">
        <v>1819</v>
      </c>
      <c r="B938" s="1">
        <v>45570</v>
      </c>
      <c r="C938" t="s">
        <v>1217</v>
      </c>
      <c r="D938" t="s">
        <v>298</v>
      </c>
      <c r="E938" t="s">
        <v>61</v>
      </c>
      <c r="F938" t="s">
        <v>78</v>
      </c>
      <c r="G938" t="s">
        <v>216</v>
      </c>
      <c r="H938" t="s">
        <v>43</v>
      </c>
      <c r="I938" t="s">
        <v>51</v>
      </c>
      <c r="J938" t="s">
        <v>96</v>
      </c>
      <c r="K938">
        <v>3</v>
      </c>
      <c r="L938">
        <v>501.35</v>
      </c>
      <c r="M938">
        <v>0.05</v>
      </c>
      <c r="N938">
        <v>1428.85</v>
      </c>
      <c r="O938">
        <v>687.83</v>
      </c>
      <c r="P938">
        <v>741.02</v>
      </c>
      <c r="Q938" t="s">
        <v>31</v>
      </c>
      <c r="R938">
        <v>0.5186128704902544</v>
      </c>
      <c r="S938">
        <v>2024</v>
      </c>
      <c r="T938" t="s">
        <v>1802</v>
      </c>
      <c r="U938">
        <v>10</v>
      </c>
      <c r="V938" t="s">
        <v>1803</v>
      </c>
    </row>
    <row r="939" spans="1:22" x14ac:dyDescent="0.3">
      <c r="A939" t="s">
        <v>1820</v>
      </c>
      <c r="B939" s="1">
        <v>45571</v>
      </c>
      <c r="C939" t="s">
        <v>1133</v>
      </c>
      <c r="D939" t="s">
        <v>457</v>
      </c>
      <c r="E939" t="s">
        <v>41</v>
      </c>
      <c r="F939" t="s">
        <v>42</v>
      </c>
      <c r="G939" t="s">
        <v>50</v>
      </c>
      <c r="H939" t="s">
        <v>28</v>
      </c>
      <c r="I939" t="s">
        <v>29</v>
      </c>
      <c r="J939" t="s">
        <v>57</v>
      </c>
      <c r="K939">
        <v>5</v>
      </c>
      <c r="L939">
        <v>16464.060000000001</v>
      </c>
      <c r="M939">
        <v>0.15</v>
      </c>
      <c r="N939">
        <v>69972.259999999995</v>
      </c>
      <c r="O939">
        <v>62569.63</v>
      </c>
      <c r="P939">
        <v>7402.63</v>
      </c>
      <c r="Q939" t="s">
        <v>46</v>
      </c>
      <c r="R939">
        <v>0.105793781707208</v>
      </c>
      <c r="S939">
        <v>2024</v>
      </c>
      <c r="T939" t="s">
        <v>1802</v>
      </c>
      <c r="U939">
        <v>10</v>
      </c>
      <c r="V939" t="s">
        <v>1803</v>
      </c>
    </row>
    <row r="940" spans="1:22" x14ac:dyDescent="0.3">
      <c r="A940" t="s">
        <v>1821</v>
      </c>
      <c r="B940" s="1">
        <v>45572</v>
      </c>
      <c r="C940" t="s">
        <v>556</v>
      </c>
      <c r="D940" t="s">
        <v>451</v>
      </c>
      <c r="E940" t="s">
        <v>61</v>
      </c>
      <c r="F940" t="s">
        <v>78</v>
      </c>
      <c r="G940" t="s">
        <v>79</v>
      </c>
      <c r="H940" t="s">
        <v>84</v>
      </c>
      <c r="I940" t="s">
        <v>85</v>
      </c>
      <c r="J940" t="s">
        <v>145</v>
      </c>
      <c r="K940">
        <v>2</v>
      </c>
      <c r="L940">
        <v>3363.2</v>
      </c>
      <c r="M940">
        <v>0.05</v>
      </c>
      <c r="N940">
        <v>6390.08</v>
      </c>
      <c r="O940">
        <v>3846.78</v>
      </c>
      <c r="P940">
        <v>2543.3000000000002</v>
      </c>
      <c r="Q940" t="s">
        <v>31</v>
      </c>
      <c r="R940">
        <v>0.3980075366818569</v>
      </c>
      <c r="S940">
        <v>2024</v>
      </c>
      <c r="T940" t="s">
        <v>1802</v>
      </c>
      <c r="U940">
        <v>10</v>
      </c>
      <c r="V940" t="s">
        <v>1803</v>
      </c>
    </row>
    <row r="941" spans="1:22" x14ac:dyDescent="0.3">
      <c r="A941" t="s">
        <v>1822</v>
      </c>
      <c r="B941" s="1">
        <v>45572</v>
      </c>
      <c r="C941" t="s">
        <v>751</v>
      </c>
      <c r="D941" t="s">
        <v>382</v>
      </c>
      <c r="E941" t="s">
        <v>25</v>
      </c>
      <c r="F941" t="s">
        <v>26</v>
      </c>
      <c r="G941" t="s">
        <v>260</v>
      </c>
      <c r="H941" t="s">
        <v>64</v>
      </c>
      <c r="I941" t="s">
        <v>108</v>
      </c>
      <c r="J941" t="s">
        <v>109</v>
      </c>
      <c r="K941">
        <v>2</v>
      </c>
      <c r="L941">
        <v>6604.12</v>
      </c>
      <c r="M941">
        <v>0</v>
      </c>
      <c r="N941">
        <v>13208.24</v>
      </c>
      <c r="O941">
        <v>8349.4500000000007</v>
      </c>
      <c r="P941">
        <v>4858.79</v>
      </c>
      <c r="Q941" t="s">
        <v>46</v>
      </c>
      <c r="R941">
        <v>0.36786051737400288</v>
      </c>
      <c r="S941">
        <v>2024</v>
      </c>
      <c r="T941" t="s">
        <v>1802</v>
      </c>
      <c r="U941">
        <v>10</v>
      </c>
      <c r="V941" t="s">
        <v>1803</v>
      </c>
    </row>
    <row r="942" spans="1:22" x14ac:dyDescent="0.3">
      <c r="A942" t="s">
        <v>1823</v>
      </c>
      <c r="B942" s="1">
        <v>45573</v>
      </c>
      <c r="C942" t="s">
        <v>537</v>
      </c>
      <c r="D942" t="s">
        <v>1307</v>
      </c>
      <c r="E942" t="s">
        <v>25</v>
      </c>
      <c r="F942" t="s">
        <v>26</v>
      </c>
      <c r="G942" t="s">
        <v>171</v>
      </c>
      <c r="H942" t="s">
        <v>64</v>
      </c>
      <c r="I942" t="s">
        <v>65</v>
      </c>
      <c r="J942" t="s">
        <v>66</v>
      </c>
      <c r="K942">
        <v>4</v>
      </c>
      <c r="L942">
        <v>5142.87</v>
      </c>
      <c r="M942">
        <v>0</v>
      </c>
      <c r="N942">
        <v>20571.48</v>
      </c>
      <c r="O942">
        <v>13038.95</v>
      </c>
      <c r="P942">
        <v>7532.53</v>
      </c>
      <c r="Q942" t="s">
        <v>46</v>
      </c>
      <c r="R942">
        <v>0.36616373736843433</v>
      </c>
      <c r="S942">
        <v>2024</v>
      </c>
      <c r="T942" t="s">
        <v>1802</v>
      </c>
      <c r="U942">
        <v>10</v>
      </c>
      <c r="V942" t="s">
        <v>1803</v>
      </c>
    </row>
    <row r="943" spans="1:22" x14ac:dyDescent="0.3">
      <c r="A943" t="s">
        <v>1824</v>
      </c>
      <c r="B943" s="1">
        <v>45573</v>
      </c>
      <c r="C943" t="s">
        <v>461</v>
      </c>
      <c r="D943" t="s">
        <v>331</v>
      </c>
      <c r="E943" t="s">
        <v>41</v>
      </c>
      <c r="F943" t="s">
        <v>42</v>
      </c>
      <c r="G943" t="s">
        <v>50</v>
      </c>
      <c r="H943" t="s">
        <v>84</v>
      </c>
      <c r="I943" t="s">
        <v>85</v>
      </c>
      <c r="J943" t="s">
        <v>145</v>
      </c>
      <c r="K943">
        <v>2</v>
      </c>
      <c r="L943">
        <v>3135.61</v>
      </c>
      <c r="M943">
        <v>0.15</v>
      </c>
      <c r="N943">
        <v>5330.54</v>
      </c>
      <c r="O943">
        <v>3443.86</v>
      </c>
      <c r="P943">
        <v>1886.68</v>
      </c>
      <c r="Q943" t="s">
        <v>53</v>
      </c>
      <c r="R943">
        <v>0.35393787496201129</v>
      </c>
      <c r="S943">
        <v>2024</v>
      </c>
      <c r="T943" t="s">
        <v>1802</v>
      </c>
      <c r="U943">
        <v>10</v>
      </c>
      <c r="V943" t="s">
        <v>1803</v>
      </c>
    </row>
    <row r="944" spans="1:22" x14ac:dyDescent="0.3">
      <c r="A944" t="s">
        <v>1825</v>
      </c>
      <c r="B944" s="1">
        <v>45574</v>
      </c>
      <c r="C944" t="s">
        <v>1826</v>
      </c>
      <c r="D944" t="s">
        <v>116</v>
      </c>
      <c r="E944" t="s">
        <v>41</v>
      </c>
      <c r="F944" t="s">
        <v>42</v>
      </c>
      <c r="G944" t="s">
        <v>42</v>
      </c>
      <c r="H944" t="s">
        <v>64</v>
      </c>
      <c r="I944" t="s">
        <v>65</v>
      </c>
      <c r="J944" t="s">
        <v>232</v>
      </c>
      <c r="K944">
        <v>3</v>
      </c>
      <c r="L944">
        <v>4116.43</v>
      </c>
      <c r="M944">
        <v>0.2</v>
      </c>
      <c r="N944">
        <v>9879.43</v>
      </c>
      <c r="O944">
        <v>7542.38</v>
      </c>
      <c r="P944">
        <v>2337.0500000000002</v>
      </c>
      <c r="Q944" t="s">
        <v>31</v>
      </c>
      <c r="R944">
        <v>0.2365571697962332</v>
      </c>
      <c r="S944">
        <v>2024</v>
      </c>
      <c r="T944" t="s">
        <v>1802</v>
      </c>
      <c r="U944">
        <v>10</v>
      </c>
      <c r="V944" t="s">
        <v>1803</v>
      </c>
    </row>
    <row r="945" spans="1:22" x14ac:dyDescent="0.3">
      <c r="A945" t="s">
        <v>1827</v>
      </c>
      <c r="B945" s="1">
        <v>45575</v>
      </c>
      <c r="C945" t="s">
        <v>965</v>
      </c>
      <c r="D945" t="s">
        <v>737</v>
      </c>
      <c r="E945" t="s">
        <v>61</v>
      </c>
      <c r="F945" t="s">
        <v>78</v>
      </c>
      <c r="G945" t="s">
        <v>83</v>
      </c>
      <c r="H945" t="s">
        <v>84</v>
      </c>
      <c r="I945" t="s">
        <v>85</v>
      </c>
      <c r="J945" t="s">
        <v>86</v>
      </c>
      <c r="K945">
        <v>3</v>
      </c>
      <c r="L945">
        <v>1842.63</v>
      </c>
      <c r="M945">
        <v>0.1</v>
      </c>
      <c r="N945">
        <v>4975.1000000000004</v>
      </c>
      <c r="O945">
        <v>3077.96</v>
      </c>
      <c r="P945">
        <v>1897.14</v>
      </c>
      <c r="Q945" t="s">
        <v>53</v>
      </c>
      <c r="R945">
        <v>0.38132700850234158</v>
      </c>
      <c r="S945">
        <v>2024</v>
      </c>
      <c r="T945" t="s">
        <v>1802</v>
      </c>
      <c r="U945">
        <v>10</v>
      </c>
      <c r="V945" t="s">
        <v>1803</v>
      </c>
    </row>
    <row r="946" spans="1:22" x14ac:dyDescent="0.3">
      <c r="A946" t="s">
        <v>1828</v>
      </c>
      <c r="B946" s="1">
        <v>45575</v>
      </c>
      <c r="C946" t="s">
        <v>1829</v>
      </c>
      <c r="D946" t="s">
        <v>1415</v>
      </c>
      <c r="E946" t="s">
        <v>41</v>
      </c>
      <c r="F946" t="s">
        <v>42</v>
      </c>
      <c r="G946" t="s">
        <v>50</v>
      </c>
      <c r="H946" t="s">
        <v>64</v>
      </c>
      <c r="I946" t="s">
        <v>65</v>
      </c>
      <c r="J946" t="s">
        <v>66</v>
      </c>
      <c r="K946">
        <v>1</v>
      </c>
      <c r="L946">
        <v>5058.1499999999996</v>
      </c>
      <c r="M946">
        <v>0</v>
      </c>
      <c r="N946">
        <v>5058.1499999999996</v>
      </c>
      <c r="O946">
        <v>3188.8</v>
      </c>
      <c r="P946">
        <v>1869.35</v>
      </c>
      <c r="Q946" t="s">
        <v>53</v>
      </c>
      <c r="R946">
        <v>0.36957187904668698</v>
      </c>
      <c r="S946">
        <v>2024</v>
      </c>
      <c r="T946" t="s">
        <v>1802</v>
      </c>
      <c r="U946">
        <v>10</v>
      </c>
      <c r="V946" t="s">
        <v>1803</v>
      </c>
    </row>
    <row r="947" spans="1:22" x14ac:dyDescent="0.3">
      <c r="A947" t="s">
        <v>1830</v>
      </c>
      <c r="B947" s="1">
        <v>45576</v>
      </c>
      <c r="C947" t="s">
        <v>1664</v>
      </c>
      <c r="D947" t="s">
        <v>1172</v>
      </c>
      <c r="E947" t="s">
        <v>120</v>
      </c>
      <c r="F947" t="s">
        <v>121</v>
      </c>
      <c r="G947" t="s">
        <v>122</v>
      </c>
      <c r="H947" t="s">
        <v>84</v>
      </c>
      <c r="I947" t="s">
        <v>138</v>
      </c>
      <c r="J947" t="s">
        <v>139</v>
      </c>
      <c r="K947">
        <v>4</v>
      </c>
      <c r="L947">
        <v>13350.96</v>
      </c>
      <c r="M947">
        <v>0.15</v>
      </c>
      <c r="N947">
        <v>45393.26</v>
      </c>
      <c r="O947">
        <v>38900.11</v>
      </c>
      <c r="P947">
        <v>6493.15</v>
      </c>
      <c r="Q947" t="s">
        <v>31</v>
      </c>
      <c r="R947">
        <v>0.14304216088467761</v>
      </c>
      <c r="S947">
        <v>2024</v>
      </c>
      <c r="T947" t="s">
        <v>1802</v>
      </c>
      <c r="U947">
        <v>10</v>
      </c>
      <c r="V947" t="s">
        <v>1803</v>
      </c>
    </row>
    <row r="948" spans="1:22" x14ac:dyDescent="0.3">
      <c r="A948" t="s">
        <v>1831</v>
      </c>
      <c r="B948" s="1">
        <v>45576</v>
      </c>
      <c r="C948" t="s">
        <v>761</v>
      </c>
      <c r="D948" t="s">
        <v>582</v>
      </c>
      <c r="E948" t="s">
        <v>120</v>
      </c>
      <c r="F948" t="s">
        <v>121</v>
      </c>
      <c r="G948" t="s">
        <v>122</v>
      </c>
      <c r="H948" t="s">
        <v>28</v>
      </c>
      <c r="I948" t="s">
        <v>73</v>
      </c>
      <c r="J948" t="s">
        <v>74</v>
      </c>
      <c r="K948">
        <v>2</v>
      </c>
      <c r="L948">
        <v>2644.6</v>
      </c>
      <c r="M948">
        <v>0.05</v>
      </c>
      <c r="N948">
        <v>5024.74</v>
      </c>
      <c r="O948">
        <v>2953.57</v>
      </c>
      <c r="P948">
        <v>2071.17</v>
      </c>
      <c r="Q948" t="s">
        <v>46</v>
      </c>
      <c r="R948">
        <v>0.41219446180299879</v>
      </c>
      <c r="S948">
        <v>2024</v>
      </c>
      <c r="T948" t="s">
        <v>1802</v>
      </c>
      <c r="U948">
        <v>10</v>
      </c>
      <c r="V948" t="s">
        <v>1803</v>
      </c>
    </row>
    <row r="949" spans="1:22" x14ac:dyDescent="0.3">
      <c r="A949" t="s">
        <v>1832</v>
      </c>
      <c r="B949" s="1">
        <v>45577</v>
      </c>
      <c r="C949" t="s">
        <v>537</v>
      </c>
      <c r="D949" t="s">
        <v>191</v>
      </c>
      <c r="E949" t="s">
        <v>41</v>
      </c>
      <c r="F949" t="s">
        <v>42</v>
      </c>
      <c r="G949" t="s">
        <v>42</v>
      </c>
      <c r="H949" t="s">
        <v>84</v>
      </c>
      <c r="I949" t="s">
        <v>138</v>
      </c>
      <c r="J949" t="s">
        <v>220</v>
      </c>
      <c r="K949">
        <v>4</v>
      </c>
      <c r="L949">
        <v>7594.32</v>
      </c>
      <c r="M949">
        <v>0</v>
      </c>
      <c r="N949">
        <v>30377.279999999999</v>
      </c>
      <c r="O949">
        <v>20217.29</v>
      </c>
      <c r="P949">
        <v>10159.99</v>
      </c>
      <c r="Q949" t="s">
        <v>31</v>
      </c>
      <c r="R949">
        <v>0.334460162331848</v>
      </c>
      <c r="S949">
        <v>2024</v>
      </c>
      <c r="T949" t="s">
        <v>1802</v>
      </c>
      <c r="U949">
        <v>10</v>
      </c>
      <c r="V949" t="s">
        <v>1803</v>
      </c>
    </row>
    <row r="950" spans="1:22" x14ac:dyDescent="0.3">
      <c r="A950" t="s">
        <v>1833</v>
      </c>
      <c r="B950" s="1">
        <v>45577</v>
      </c>
      <c r="C950" t="s">
        <v>905</v>
      </c>
      <c r="D950" t="s">
        <v>609</v>
      </c>
      <c r="E950" t="s">
        <v>61</v>
      </c>
      <c r="F950" t="s">
        <v>62</v>
      </c>
      <c r="G950" t="s">
        <v>63</v>
      </c>
      <c r="H950" t="s">
        <v>64</v>
      </c>
      <c r="I950" t="s">
        <v>108</v>
      </c>
      <c r="J950" t="s">
        <v>109</v>
      </c>
      <c r="K950">
        <v>2</v>
      </c>
      <c r="L950">
        <v>6991.95</v>
      </c>
      <c r="M950">
        <v>0.05</v>
      </c>
      <c r="N950">
        <v>13284.7</v>
      </c>
      <c r="O950">
        <v>9168.65</v>
      </c>
      <c r="P950">
        <v>4116.05</v>
      </c>
      <c r="Q950" t="s">
        <v>53</v>
      </c>
      <c r="R950">
        <v>0.30983386903731358</v>
      </c>
      <c r="S950">
        <v>2024</v>
      </c>
      <c r="T950" t="s">
        <v>1802</v>
      </c>
      <c r="U950">
        <v>10</v>
      </c>
      <c r="V950" t="s">
        <v>1803</v>
      </c>
    </row>
    <row r="951" spans="1:22" x14ac:dyDescent="0.3">
      <c r="A951" t="s">
        <v>1834</v>
      </c>
      <c r="B951" s="1">
        <v>45577</v>
      </c>
      <c r="C951" t="s">
        <v>1022</v>
      </c>
      <c r="D951" t="s">
        <v>310</v>
      </c>
      <c r="E951" t="s">
        <v>61</v>
      </c>
      <c r="F951" t="s">
        <v>78</v>
      </c>
      <c r="G951" t="s">
        <v>216</v>
      </c>
      <c r="H951" t="s">
        <v>84</v>
      </c>
      <c r="I951" t="s">
        <v>138</v>
      </c>
      <c r="J951" t="s">
        <v>220</v>
      </c>
      <c r="K951">
        <v>3</v>
      </c>
      <c r="L951">
        <v>7694.22</v>
      </c>
      <c r="M951">
        <v>0</v>
      </c>
      <c r="N951">
        <v>23082.66</v>
      </c>
      <c r="O951">
        <v>14409.44</v>
      </c>
      <c r="P951">
        <v>8673.2199999999993</v>
      </c>
      <c r="Q951" t="s">
        <v>53</v>
      </c>
      <c r="R951">
        <v>0.3757461228471935</v>
      </c>
      <c r="S951">
        <v>2024</v>
      </c>
      <c r="T951" t="s">
        <v>1802</v>
      </c>
      <c r="U951">
        <v>10</v>
      </c>
      <c r="V951" t="s">
        <v>1803</v>
      </c>
    </row>
    <row r="952" spans="1:22" x14ac:dyDescent="0.3">
      <c r="A952" t="s">
        <v>1835</v>
      </c>
      <c r="B952" s="1">
        <v>45577</v>
      </c>
      <c r="C952" t="s">
        <v>808</v>
      </c>
      <c r="D952" t="s">
        <v>562</v>
      </c>
      <c r="E952" t="s">
        <v>25</v>
      </c>
      <c r="F952" t="s">
        <v>26</v>
      </c>
      <c r="G952" t="s">
        <v>37</v>
      </c>
      <c r="H952" t="s">
        <v>84</v>
      </c>
      <c r="I952" t="s">
        <v>138</v>
      </c>
      <c r="J952" t="s">
        <v>139</v>
      </c>
      <c r="K952">
        <v>2</v>
      </c>
      <c r="L952">
        <v>12430.26</v>
      </c>
      <c r="M952">
        <v>0</v>
      </c>
      <c r="N952">
        <v>24860.52</v>
      </c>
      <c r="O952">
        <v>18039.16</v>
      </c>
      <c r="P952">
        <v>6821.36</v>
      </c>
      <c r="Q952" t="s">
        <v>113</v>
      </c>
      <c r="R952">
        <v>0.27438525018784798</v>
      </c>
      <c r="S952">
        <v>2024</v>
      </c>
      <c r="T952" t="s">
        <v>1802</v>
      </c>
      <c r="U952">
        <v>10</v>
      </c>
      <c r="V952" t="s">
        <v>1803</v>
      </c>
    </row>
    <row r="953" spans="1:22" x14ac:dyDescent="0.3">
      <c r="A953" t="s">
        <v>1836</v>
      </c>
      <c r="B953" s="1">
        <v>45577</v>
      </c>
      <c r="C953" t="s">
        <v>98</v>
      </c>
      <c r="D953" t="s">
        <v>929</v>
      </c>
      <c r="E953" t="s">
        <v>120</v>
      </c>
      <c r="F953" t="s">
        <v>121</v>
      </c>
      <c r="G953" t="s">
        <v>224</v>
      </c>
      <c r="H953" t="s">
        <v>64</v>
      </c>
      <c r="I953" t="s">
        <v>65</v>
      </c>
      <c r="J953" t="s">
        <v>66</v>
      </c>
      <c r="K953">
        <v>2</v>
      </c>
      <c r="L953">
        <v>5160.57</v>
      </c>
      <c r="M953">
        <v>0.2</v>
      </c>
      <c r="N953">
        <v>8256.91</v>
      </c>
      <c r="O953">
        <v>6314.71</v>
      </c>
      <c r="P953">
        <v>1942.2</v>
      </c>
      <c r="Q953" t="s">
        <v>53</v>
      </c>
      <c r="R953">
        <v>0.23522116627164399</v>
      </c>
      <c r="S953">
        <v>2024</v>
      </c>
      <c r="T953" t="s">
        <v>1802</v>
      </c>
      <c r="U953">
        <v>10</v>
      </c>
      <c r="V953" t="s">
        <v>1803</v>
      </c>
    </row>
    <row r="954" spans="1:22" x14ac:dyDescent="0.3">
      <c r="A954" t="s">
        <v>1837</v>
      </c>
      <c r="B954" s="1">
        <v>45577</v>
      </c>
      <c r="C954" t="s">
        <v>991</v>
      </c>
      <c r="D954" t="s">
        <v>841</v>
      </c>
      <c r="E954" t="s">
        <v>61</v>
      </c>
      <c r="F954" t="s">
        <v>78</v>
      </c>
      <c r="G954" t="s">
        <v>216</v>
      </c>
      <c r="H954" t="s">
        <v>64</v>
      </c>
      <c r="I954" t="s">
        <v>65</v>
      </c>
      <c r="J954" t="s">
        <v>66</v>
      </c>
      <c r="K954">
        <v>3</v>
      </c>
      <c r="L954">
        <v>4834.2</v>
      </c>
      <c r="M954">
        <v>0.05</v>
      </c>
      <c r="N954">
        <v>13777.47</v>
      </c>
      <c r="O954">
        <v>8822.69</v>
      </c>
      <c r="P954">
        <v>4954.78</v>
      </c>
      <c r="Q954" t="s">
        <v>31</v>
      </c>
      <c r="R954">
        <v>0.35962916268371481</v>
      </c>
      <c r="S954">
        <v>2024</v>
      </c>
      <c r="T954" t="s">
        <v>1802</v>
      </c>
      <c r="U954">
        <v>10</v>
      </c>
      <c r="V954" t="s">
        <v>1803</v>
      </c>
    </row>
    <row r="955" spans="1:22" x14ac:dyDescent="0.3">
      <c r="A955" t="s">
        <v>1838</v>
      </c>
      <c r="B955" s="1">
        <v>45578</v>
      </c>
      <c r="C955" t="s">
        <v>1839</v>
      </c>
      <c r="D955" t="s">
        <v>752</v>
      </c>
      <c r="E955" t="s">
        <v>25</v>
      </c>
      <c r="F955" t="s">
        <v>26</v>
      </c>
      <c r="G955" t="s">
        <v>37</v>
      </c>
      <c r="H955" t="s">
        <v>84</v>
      </c>
      <c r="I955" t="s">
        <v>85</v>
      </c>
      <c r="J955" t="s">
        <v>145</v>
      </c>
      <c r="K955">
        <v>3</v>
      </c>
      <c r="L955">
        <v>3424.13</v>
      </c>
      <c r="M955">
        <v>0.1</v>
      </c>
      <c r="N955">
        <v>9245.15</v>
      </c>
      <c r="O955">
        <v>5775.84</v>
      </c>
      <c r="P955">
        <v>3469.31</v>
      </c>
      <c r="Q955" t="s">
        <v>31</v>
      </c>
      <c r="R955">
        <v>0.37525729706927419</v>
      </c>
      <c r="S955">
        <v>2024</v>
      </c>
      <c r="T955" t="s">
        <v>1802</v>
      </c>
      <c r="U955">
        <v>10</v>
      </c>
      <c r="V955" t="s">
        <v>1803</v>
      </c>
    </row>
    <row r="956" spans="1:22" x14ac:dyDescent="0.3">
      <c r="A956" t="s">
        <v>1840</v>
      </c>
      <c r="B956" s="1">
        <v>45578</v>
      </c>
      <c r="C956" t="s">
        <v>570</v>
      </c>
      <c r="D956" t="s">
        <v>418</v>
      </c>
      <c r="E956" t="s">
        <v>61</v>
      </c>
      <c r="F956" t="s">
        <v>71</v>
      </c>
      <c r="G956" t="s">
        <v>100</v>
      </c>
      <c r="H956" t="s">
        <v>28</v>
      </c>
      <c r="I956" t="s">
        <v>29</v>
      </c>
      <c r="J956" t="s">
        <v>57</v>
      </c>
      <c r="K956">
        <v>1</v>
      </c>
      <c r="L956">
        <v>16511.64</v>
      </c>
      <c r="M956">
        <v>0.1</v>
      </c>
      <c r="N956">
        <v>14860.48</v>
      </c>
      <c r="O956">
        <v>11987.67</v>
      </c>
      <c r="P956">
        <v>2872.81</v>
      </c>
      <c r="Q956" t="s">
        <v>53</v>
      </c>
      <c r="R956">
        <v>0.19331878916428</v>
      </c>
      <c r="S956">
        <v>2024</v>
      </c>
      <c r="T956" t="s">
        <v>1802</v>
      </c>
      <c r="U956">
        <v>10</v>
      </c>
      <c r="V956" t="s">
        <v>1803</v>
      </c>
    </row>
    <row r="957" spans="1:22" x14ac:dyDescent="0.3">
      <c r="A957" t="s">
        <v>1841</v>
      </c>
      <c r="B957" s="1">
        <v>45578</v>
      </c>
      <c r="C957" t="s">
        <v>1842</v>
      </c>
      <c r="D957" t="s">
        <v>424</v>
      </c>
      <c r="E957" t="s">
        <v>25</v>
      </c>
      <c r="F957" t="s">
        <v>26</v>
      </c>
      <c r="G957" t="s">
        <v>27</v>
      </c>
      <c r="H957" t="s">
        <v>43</v>
      </c>
      <c r="I957" t="s">
        <v>51</v>
      </c>
      <c r="J957" t="s">
        <v>52</v>
      </c>
      <c r="K957">
        <v>2</v>
      </c>
      <c r="L957">
        <v>680.93</v>
      </c>
      <c r="M957">
        <v>0</v>
      </c>
      <c r="N957">
        <v>1361.86</v>
      </c>
      <c r="O957">
        <v>665.15</v>
      </c>
      <c r="P957">
        <v>696.71</v>
      </c>
      <c r="Q957" t="s">
        <v>31</v>
      </c>
      <c r="R957">
        <v>0.51158709412127534</v>
      </c>
      <c r="S957">
        <v>2024</v>
      </c>
      <c r="T957" t="s">
        <v>1802</v>
      </c>
      <c r="U957">
        <v>10</v>
      </c>
      <c r="V957" t="s">
        <v>1803</v>
      </c>
    </row>
    <row r="958" spans="1:22" x14ac:dyDescent="0.3">
      <c r="A958" t="s">
        <v>1843</v>
      </c>
      <c r="B958" s="1">
        <v>45578</v>
      </c>
      <c r="C958" t="s">
        <v>397</v>
      </c>
      <c r="D958" t="s">
        <v>142</v>
      </c>
      <c r="E958" t="s">
        <v>25</v>
      </c>
      <c r="F958" t="s">
        <v>26</v>
      </c>
      <c r="G958" t="s">
        <v>171</v>
      </c>
      <c r="H958" t="s">
        <v>84</v>
      </c>
      <c r="I958" t="s">
        <v>85</v>
      </c>
      <c r="J958" t="s">
        <v>86</v>
      </c>
      <c r="K958">
        <v>5</v>
      </c>
      <c r="L958">
        <v>1692.06</v>
      </c>
      <c r="M958">
        <v>0.1</v>
      </c>
      <c r="N958">
        <v>7614.27</v>
      </c>
      <c r="O958">
        <v>4399.91</v>
      </c>
      <c r="P958">
        <v>3214.36</v>
      </c>
      <c r="Q958" t="s">
        <v>31</v>
      </c>
      <c r="R958">
        <v>0.42214946409833121</v>
      </c>
      <c r="S958">
        <v>2024</v>
      </c>
      <c r="T958" t="s">
        <v>1802</v>
      </c>
      <c r="U958">
        <v>10</v>
      </c>
      <c r="V958" t="s">
        <v>1803</v>
      </c>
    </row>
    <row r="959" spans="1:22" x14ac:dyDescent="0.3">
      <c r="A959" t="s">
        <v>1844</v>
      </c>
      <c r="B959" s="1">
        <v>45578</v>
      </c>
      <c r="C959" t="s">
        <v>591</v>
      </c>
      <c r="D959" t="s">
        <v>1307</v>
      </c>
      <c r="E959" t="s">
        <v>41</v>
      </c>
      <c r="F959" t="s">
        <v>42</v>
      </c>
      <c r="G959" t="s">
        <v>50</v>
      </c>
      <c r="H959" t="s">
        <v>28</v>
      </c>
      <c r="I959" t="s">
        <v>91</v>
      </c>
      <c r="J959" t="s">
        <v>92</v>
      </c>
      <c r="K959">
        <v>1</v>
      </c>
      <c r="L959">
        <v>3165.1</v>
      </c>
      <c r="M959">
        <v>0.05</v>
      </c>
      <c r="N959">
        <v>3006.84</v>
      </c>
      <c r="O959">
        <v>1646.84</v>
      </c>
      <c r="P959">
        <v>1360</v>
      </c>
      <c r="Q959" t="s">
        <v>31</v>
      </c>
      <c r="R959">
        <v>0.45230208458048982</v>
      </c>
      <c r="S959">
        <v>2024</v>
      </c>
      <c r="T959" t="s">
        <v>1802</v>
      </c>
      <c r="U959">
        <v>10</v>
      </c>
      <c r="V959" t="s">
        <v>1803</v>
      </c>
    </row>
    <row r="960" spans="1:22" x14ac:dyDescent="0.3">
      <c r="A960" t="s">
        <v>1845</v>
      </c>
      <c r="B960" s="1">
        <v>45578</v>
      </c>
      <c r="C960" t="s">
        <v>456</v>
      </c>
      <c r="D960" t="s">
        <v>707</v>
      </c>
      <c r="E960" t="s">
        <v>61</v>
      </c>
      <c r="F960" t="s">
        <v>71</v>
      </c>
      <c r="G960" t="s">
        <v>317</v>
      </c>
      <c r="H960" t="s">
        <v>43</v>
      </c>
      <c r="I960" t="s">
        <v>44</v>
      </c>
      <c r="J960" t="s">
        <v>248</v>
      </c>
      <c r="K960">
        <v>2</v>
      </c>
      <c r="L960">
        <v>316.60000000000002</v>
      </c>
      <c r="M960">
        <v>0.05</v>
      </c>
      <c r="N960">
        <v>601.54</v>
      </c>
      <c r="O960">
        <v>270.33999999999997</v>
      </c>
      <c r="P960">
        <v>331.2</v>
      </c>
      <c r="Q960" t="s">
        <v>53</v>
      </c>
      <c r="R960">
        <v>0.55058682714366458</v>
      </c>
      <c r="S960">
        <v>2024</v>
      </c>
      <c r="T960" t="s">
        <v>1802</v>
      </c>
      <c r="U960">
        <v>10</v>
      </c>
      <c r="V960" t="s">
        <v>1803</v>
      </c>
    </row>
    <row r="961" spans="1:22" x14ac:dyDescent="0.3">
      <c r="A961" t="s">
        <v>1846</v>
      </c>
      <c r="B961" s="1">
        <v>45579</v>
      </c>
      <c r="C961" t="s">
        <v>246</v>
      </c>
      <c r="D961" t="s">
        <v>740</v>
      </c>
      <c r="E961" t="s">
        <v>61</v>
      </c>
      <c r="F961" t="s">
        <v>71</v>
      </c>
      <c r="G961" t="s">
        <v>317</v>
      </c>
      <c r="H961" t="s">
        <v>43</v>
      </c>
      <c r="I961" t="s">
        <v>51</v>
      </c>
      <c r="J961" t="s">
        <v>96</v>
      </c>
      <c r="K961">
        <v>1</v>
      </c>
      <c r="L961">
        <v>514.62</v>
      </c>
      <c r="M961">
        <v>0.1</v>
      </c>
      <c r="N961">
        <v>463.16</v>
      </c>
      <c r="O961">
        <v>240.26</v>
      </c>
      <c r="P961">
        <v>222.9</v>
      </c>
      <c r="Q961" t="s">
        <v>67</v>
      </c>
      <c r="R961">
        <v>0.48125917609465407</v>
      </c>
      <c r="S961">
        <v>2024</v>
      </c>
      <c r="T961" t="s">
        <v>1802</v>
      </c>
      <c r="U961">
        <v>10</v>
      </c>
      <c r="V961" t="s">
        <v>1803</v>
      </c>
    </row>
    <row r="962" spans="1:22" x14ac:dyDescent="0.3">
      <c r="A962" t="s">
        <v>1847</v>
      </c>
      <c r="B962" s="1">
        <v>45579</v>
      </c>
      <c r="C962" t="s">
        <v>1848</v>
      </c>
      <c r="D962" t="s">
        <v>398</v>
      </c>
      <c r="E962" t="s">
        <v>61</v>
      </c>
      <c r="F962" t="s">
        <v>71</v>
      </c>
      <c r="G962" t="s">
        <v>317</v>
      </c>
      <c r="H962" t="s">
        <v>28</v>
      </c>
      <c r="I962" t="s">
        <v>91</v>
      </c>
      <c r="J962" t="s">
        <v>92</v>
      </c>
      <c r="K962">
        <v>3</v>
      </c>
      <c r="L962">
        <v>3017.11</v>
      </c>
      <c r="M962">
        <v>0.05</v>
      </c>
      <c r="N962">
        <v>8598.76</v>
      </c>
      <c r="O962">
        <v>4860.34</v>
      </c>
      <c r="P962">
        <v>3738.42</v>
      </c>
      <c r="Q962" t="s">
        <v>31</v>
      </c>
      <c r="R962">
        <v>0.43476268671296792</v>
      </c>
      <c r="S962">
        <v>2024</v>
      </c>
      <c r="T962" t="s">
        <v>1802</v>
      </c>
      <c r="U962">
        <v>10</v>
      </c>
      <c r="V962" t="s">
        <v>1803</v>
      </c>
    </row>
    <row r="963" spans="1:22" x14ac:dyDescent="0.3">
      <c r="A963" t="s">
        <v>1849</v>
      </c>
      <c r="B963" s="1">
        <v>45579</v>
      </c>
      <c r="C963" t="s">
        <v>1813</v>
      </c>
      <c r="D963" t="s">
        <v>1088</v>
      </c>
      <c r="E963" t="s">
        <v>61</v>
      </c>
      <c r="F963" t="s">
        <v>62</v>
      </c>
      <c r="G963" t="s">
        <v>228</v>
      </c>
      <c r="H963" t="s">
        <v>84</v>
      </c>
      <c r="I963" t="s">
        <v>138</v>
      </c>
      <c r="J963" t="s">
        <v>220</v>
      </c>
      <c r="K963">
        <v>4</v>
      </c>
      <c r="L963">
        <v>7834.53</v>
      </c>
      <c r="M963">
        <v>0.2</v>
      </c>
      <c r="N963">
        <v>25070.5</v>
      </c>
      <c r="O963">
        <v>19868.36</v>
      </c>
      <c r="P963">
        <v>5202.1400000000003</v>
      </c>
      <c r="Q963" t="s">
        <v>31</v>
      </c>
      <c r="R963">
        <v>0.20750044873456849</v>
      </c>
      <c r="S963">
        <v>2024</v>
      </c>
      <c r="T963" t="s">
        <v>1802</v>
      </c>
      <c r="U963">
        <v>10</v>
      </c>
      <c r="V963" t="s">
        <v>1803</v>
      </c>
    </row>
    <row r="964" spans="1:22" x14ac:dyDescent="0.3">
      <c r="A964" t="s">
        <v>1850</v>
      </c>
      <c r="B964" s="1">
        <v>45579</v>
      </c>
      <c r="C964" t="s">
        <v>1295</v>
      </c>
      <c r="D964" t="s">
        <v>925</v>
      </c>
      <c r="E964" t="s">
        <v>25</v>
      </c>
      <c r="F964" t="s">
        <v>26</v>
      </c>
      <c r="G964" t="s">
        <v>260</v>
      </c>
      <c r="H964" t="s">
        <v>28</v>
      </c>
      <c r="I964" t="s">
        <v>91</v>
      </c>
      <c r="J964" t="s">
        <v>92</v>
      </c>
      <c r="K964">
        <v>4</v>
      </c>
      <c r="L964">
        <v>2865.26</v>
      </c>
      <c r="M964">
        <v>0.05</v>
      </c>
      <c r="N964">
        <v>10887.99</v>
      </c>
      <c r="O964">
        <v>6186.8</v>
      </c>
      <c r="P964">
        <v>4701.1899999999996</v>
      </c>
      <c r="Q964" t="s">
        <v>46</v>
      </c>
      <c r="R964">
        <v>0.43177758245553127</v>
      </c>
      <c r="S964">
        <v>2024</v>
      </c>
      <c r="T964" t="s">
        <v>1802</v>
      </c>
      <c r="U964">
        <v>10</v>
      </c>
      <c r="V964" t="s">
        <v>1803</v>
      </c>
    </row>
    <row r="965" spans="1:22" x14ac:dyDescent="0.3">
      <c r="A965" t="s">
        <v>1851</v>
      </c>
      <c r="B965" s="1">
        <v>45580</v>
      </c>
      <c r="C965" t="s">
        <v>297</v>
      </c>
      <c r="D965" t="s">
        <v>1795</v>
      </c>
      <c r="E965" t="s">
        <v>61</v>
      </c>
      <c r="F965" t="s">
        <v>62</v>
      </c>
      <c r="G965" t="s">
        <v>90</v>
      </c>
      <c r="H965" t="s">
        <v>28</v>
      </c>
      <c r="I965" t="s">
        <v>29</v>
      </c>
      <c r="J965" t="s">
        <v>30</v>
      </c>
      <c r="K965">
        <v>2</v>
      </c>
      <c r="L965">
        <v>58369.97</v>
      </c>
      <c r="M965">
        <v>0</v>
      </c>
      <c r="N965">
        <v>116739.94</v>
      </c>
      <c r="O965">
        <v>102251.37</v>
      </c>
      <c r="P965">
        <v>14488.57</v>
      </c>
      <c r="Q965" t="s">
        <v>53</v>
      </c>
      <c r="R965">
        <v>0.1241097948140114</v>
      </c>
      <c r="S965">
        <v>2024</v>
      </c>
      <c r="T965" t="s">
        <v>1802</v>
      </c>
      <c r="U965">
        <v>10</v>
      </c>
      <c r="V965" t="s">
        <v>1803</v>
      </c>
    </row>
    <row r="966" spans="1:22" x14ac:dyDescent="0.3">
      <c r="A966" t="s">
        <v>1852</v>
      </c>
      <c r="B966" s="1">
        <v>45580</v>
      </c>
      <c r="C966" t="s">
        <v>917</v>
      </c>
      <c r="D966" t="s">
        <v>1033</v>
      </c>
      <c r="E966" t="s">
        <v>25</v>
      </c>
      <c r="F966" t="s">
        <v>26</v>
      </c>
      <c r="G966" t="s">
        <v>27</v>
      </c>
      <c r="H966" t="s">
        <v>28</v>
      </c>
      <c r="I966" t="s">
        <v>29</v>
      </c>
      <c r="J966" t="s">
        <v>30</v>
      </c>
      <c r="K966">
        <v>2</v>
      </c>
      <c r="L966">
        <v>61431.44</v>
      </c>
      <c r="M966">
        <v>0.05</v>
      </c>
      <c r="N966">
        <v>116719.74</v>
      </c>
      <c r="O966">
        <v>107158.06</v>
      </c>
      <c r="P966">
        <v>9561.68</v>
      </c>
      <c r="Q966" t="s">
        <v>53</v>
      </c>
      <c r="R966">
        <v>8.1919990568861789E-2</v>
      </c>
      <c r="S966">
        <v>2024</v>
      </c>
      <c r="T966" t="s">
        <v>1802</v>
      </c>
      <c r="U966">
        <v>10</v>
      </c>
      <c r="V966" t="s">
        <v>1803</v>
      </c>
    </row>
    <row r="967" spans="1:22" x14ac:dyDescent="0.3">
      <c r="A967" t="s">
        <v>1853</v>
      </c>
      <c r="B967" s="1">
        <v>45580</v>
      </c>
      <c r="C967" t="s">
        <v>479</v>
      </c>
      <c r="D967" t="s">
        <v>398</v>
      </c>
      <c r="E967" t="s">
        <v>120</v>
      </c>
      <c r="F967" t="s">
        <v>121</v>
      </c>
      <c r="G967" t="s">
        <v>224</v>
      </c>
      <c r="H967" t="s">
        <v>84</v>
      </c>
      <c r="I967" t="s">
        <v>138</v>
      </c>
      <c r="J967" t="s">
        <v>220</v>
      </c>
      <c r="K967">
        <v>3</v>
      </c>
      <c r="L967">
        <v>7837.55</v>
      </c>
      <c r="M967">
        <v>0.1</v>
      </c>
      <c r="N967">
        <v>21161.39</v>
      </c>
      <c r="O967">
        <v>15123.2</v>
      </c>
      <c r="P967">
        <v>6038.19</v>
      </c>
      <c r="Q967" t="s">
        <v>31</v>
      </c>
      <c r="R967">
        <v>0.28533995167614218</v>
      </c>
      <c r="S967">
        <v>2024</v>
      </c>
      <c r="T967" t="s">
        <v>1802</v>
      </c>
      <c r="U967">
        <v>10</v>
      </c>
      <c r="V967" t="s">
        <v>1803</v>
      </c>
    </row>
    <row r="968" spans="1:22" x14ac:dyDescent="0.3">
      <c r="A968" t="s">
        <v>1854</v>
      </c>
      <c r="B968" s="1">
        <v>45580</v>
      </c>
      <c r="C968" t="s">
        <v>124</v>
      </c>
      <c r="D968" t="s">
        <v>888</v>
      </c>
      <c r="E968" t="s">
        <v>25</v>
      </c>
      <c r="F968" t="s">
        <v>26</v>
      </c>
      <c r="G968" t="s">
        <v>171</v>
      </c>
      <c r="H968" t="s">
        <v>28</v>
      </c>
      <c r="I968" t="s">
        <v>91</v>
      </c>
      <c r="J968" t="s">
        <v>92</v>
      </c>
      <c r="K968">
        <v>3</v>
      </c>
      <c r="L968">
        <v>3054.79</v>
      </c>
      <c r="M968">
        <v>0.05</v>
      </c>
      <c r="N968">
        <v>8706.15</v>
      </c>
      <c r="O968">
        <v>4630.3999999999996</v>
      </c>
      <c r="P968">
        <v>4075.75</v>
      </c>
      <c r="Q968" t="s">
        <v>53</v>
      </c>
      <c r="R968">
        <v>0.46814608064414243</v>
      </c>
      <c r="S968">
        <v>2024</v>
      </c>
      <c r="T968" t="s">
        <v>1802</v>
      </c>
      <c r="U968">
        <v>10</v>
      </c>
      <c r="V968" t="s">
        <v>1803</v>
      </c>
    </row>
    <row r="969" spans="1:22" x14ac:dyDescent="0.3">
      <c r="A969" t="s">
        <v>1855</v>
      </c>
      <c r="B969" s="1">
        <v>45581</v>
      </c>
      <c r="C969" t="s">
        <v>534</v>
      </c>
      <c r="D969" t="s">
        <v>307</v>
      </c>
      <c r="E969" t="s">
        <v>120</v>
      </c>
      <c r="F969" t="s">
        <v>121</v>
      </c>
      <c r="G969" t="s">
        <v>224</v>
      </c>
      <c r="H969" t="s">
        <v>64</v>
      </c>
      <c r="I969" t="s">
        <v>108</v>
      </c>
      <c r="J969" t="s">
        <v>155</v>
      </c>
      <c r="K969">
        <v>2</v>
      </c>
      <c r="L969">
        <v>8851.93</v>
      </c>
      <c r="M969">
        <v>0</v>
      </c>
      <c r="N969">
        <v>17703.86</v>
      </c>
      <c r="O969">
        <v>11588.22</v>
      </c>
      <c r="P969">
        <v>6115.64</v>
      </c>
      <c r="Q969" t="s">
        <v>53</v>
      </c>
      <c r="R969">
        <v>0.3454410507087155</v>
      </c>
      <c r="S969">
        <v>2024</v>
      </c>
      <c r="T969" t="s">
        <v>1802</v>
      </c>
      <c r="U969">
        <v>10</v>
      </c>
      <c r="V969" t="s">
        <v>1803</v>
      </c>
    </row>
    <row r="970" spans="1:22" x14ac:dyDescent="0.3">
      <c r="A970" t="s">
        <v>1856</v>
      </c>
      <c r="B970" s="1">
        <v>45581</v>
      </c>
      <c r="C970" t="s">
        <v>892</v>
      </c>
      <c r="D970" t="s">
        <v>594</v>
      </c>
      <c r="E970" t="s">
        <v>120</v>
      </c>
      <c r="F970" t="s">
        <v>121</v>
      </c>
      <c r="G970" t="s">
        <v>224</v>
      </c>
      <c r="H970" t="s">
        <v>43</v>
      </c>
      <c r="I970" t="s">
        <v>51</v>
      </c>
      <c r="J970" t="s">
        <v>52</v>
      </c>
      <c r="K970">
        <v>4</v>
      </c>
      <c r="L970">
        <v>720.89</v>
      </c>
      <c r="M970">
        <v>0</v>
      </c>
      <c r="N970">
        <v>2883.56</v>
      </c>
      <c r="O970">
        <v>1336.63</v>
      </c>
      <c r="P970">
        <v>1546.93</v>
      </c>
      <c r="Q970" t="s">
        <v>31</v>
      </c>
      <c r="R970">
        <v>0.53646534145292624</v>
      </c>
      <c r="S970">
        <v>2024</v>
      </c>
      <c r="T970" t="s">
        <v>1802</v>
      </c>
      <c r="U970">
        <v>10</v>
      </c>
      <c r="V970" t="s">
        <v>1803</v>
      </c>
    </row>
    <row r="971" spans="1:22" x14ac:dyDescent="0.3">
      <c r="A971" t="s">
        <v>1857</v>
      </c>
      <c r="B971" s="1">
        <v>45582</v>
      </c>
      <c r="C971" t="s">
        <v>443</v>
      </c>
      <c r="D971" t="s">
        <v>77</v>
      </c>
      <c r="E971" t="s">
        <v>120</v>
      </c>
      <c r="F971" t="s">
        <v>121</v>
      </c>
      <c r="G971" t="s">
        <v>224</v>
      </c>
      <c r="H971" t="s">
        <v>28</v>
      </c>
      <c r="I971" t="s">
        <v>29</v>
      </c>
      <c r="J971" t="s">
        <v>30</v>
      </c>
      <c r="K971">
        <v>1</v>
      </c>
      <c r="L971">
        <v>58638.6</v>
      </c>
      <c r="M971">
        <v>0.1</v>
      </c>
      <c r="N971">
        <v>52774.74</v>
      </c>
      <c r="O971">
        <v>51142.12</v>
      </c>
      <c r="P971">
        <v>1632.62</v>
      </c>
      <c r="Q971" t="s">
        <v>53</v>
      </c>
      <c r="R971">
        <v>3.0935633221499531E-2</v>
      </c>
      <c r="S971">
        <v>2024</v>
      </c>
      <c r="T971" t="s">
        <v>1802</v>
      </c>
      <c r="U971">
        <v>10</v>
      </c>
      <c r="V971" t="s">
        <v>1803</v>
      </c>
    </row>
    <row r="972" spans="1:22" x14ac:dyDescent="0.3">
      <c r="A972" t="s">
        <v>1858</v>
      </c>
      <c r="B972" s="1">
        <v>45582</v>
      </c>
      <c r="C972" t="s">
        <v>561</v>
      </c>
      <c r="D972" t="s">
        <v>901</v>
      </c>
      <c r="E972" t="s">
        <v>25</v>
      </c>
      <c r="F972" t="s">
        <v>26</v>
      </c>
      <c r="G972" t="s">
        <v>37</v>
      </c>
      <c r="H972" t="s">
        <v>43</v>
      </c>
      <c r="I972" t="s">
        <v>44</v>
      </c>
      <c r="J972" t="s">
        <v>248</v>
      </c>
      <c r="K972">
        <v>3</v>
      </c>
      <c r="L972">
        <v>315.75</v>
      </c>
      <c r="M972">
        <v>0.1</v>
      </c>
      <c r="N972">
        <v>852.52</v>
      </c>
      <c r="O972">
        <v>402.76</v>
      </c>
      <c r="P972">
        <v>449.76</v>
      </c>
      <c r="Q972" t="s">
        <v>31</v>
      </c>
      <c r="R972">
        <v>0.52756533571059916</v>
      </c>
      <c r="S972">
        <v>2024</v>
      </c>
      <c r="T972" t="s">
        <v>1802</v>
      </c>
      <c r="U972">
        <v>10</v>
      </c>
      <c r="V972" t="s">
        <v>1803</v>
      </c>
    </row>
    <row r="973" spans="1:22" x14ac:dyDescent="0.3">
      <c r="A973" t="s">
        <v>1859</v>
      </c>
      <c r="B973" s="1">
        <v>45582</v>
      </c>
      <c r="C973" t="s">
        <v>1621</v>
      </c>
      <c r="D973" t="s">
        <v>822</v>
      </c>
      <c r="E973" t="s">
        <v>61</v>
      </c>
      <c r="F973" t="s">
        <v>78</v>
      </c>
      <c r="G973" t="s">
        <v>104</v>
      </c>
      <c r="H973" t="s">
        <v>43</v>
      </c>
      <c r="I973" t="s">
        <v>51</v>
      </c>
      <c r="J973" t="s">
        <v>52</v>
      </c>
      <c r="K973">
        <v>4</v>
      </c>
      <c r="L973">
        <v>708.94</v>
      </c>
      <c r="M973">
        <v>0.1</v>
      </c>
      <c r="N973">
        <v>2552.1799999999998</v>
      </c>
      <c r="O973">
        <v>1285.78</v>
      </c>
      <c r="P973">
        <v>1266.4000000000001</v>
      </c>
      <c r="Q973" t="s">
        <v>31</v>
      </c>
      <c r="R973">
        <v>0.49620324585256531</v>
      </c>
      <c r="S973">
        <v>2024</v>
      </c>
      <c r="T973" t="s">
        <v>1802</v>
      </c>
      <c r="U973">
        <v>10</v>
      </c>
      <c r="V973" t="s">
        <v>1803</v>
      </c>
    </row>
    <row r="974" spans="1:22" x14ac:dyDescent="0.3">
      <c r="A974" t="s">
        <v>1860</v>
      </c>
      <c r="B974" s="1">
        <v>45583</v>
      </c>
      <c r="C974" t="s">
        <v>985</v>
      </c>
      <c r="D974" t="s">
        <v>449</v>
      </c>
      <c r="E974" t="s">
        <v>61</v>
      </c>
      <c r="F974" t="s">
        <v>62</v>
      </c>
      <c r="G974" t="s">
        <v>90</v>
      </c>
      <c r="H974" t="s">
        <v>28</v>
      </c>
      <c r="I974" t="s">
        <v>73</v>
      </c>
      <c r="J974" t="s">
        <v>74</v>
      </c>
      <c r="K974">
        <v>4</v>
      </c>
      <c r="L974">
        <v>2469.52</v>
      </c>
      <c r="M974">
        <v>0.15</v>
      </c>
      <c r="N974">
        <v>8396.3700000000008</v>
      </c>
      <c r="O974">
        <v>5529.64</v>
      </c>
      <c r="P974">
        <v>2866.73</v>
      </c>
      <c r="Q974" t="s">
        <v>53</v>
      </c>
      <c r="R974">
        <v>0.34142492529509771</v>
      </c>
      <c r="S974">
        <v>2024</v>
      </c>
      <c r="T974" t="s">
        <v>1802</v>
      </c>
      <c r="U974">
        <v>10</v>
      </c>
      <c r="V974" t="s">
        <v>1803</v>
      </c>
    </row>
    <row r="975" spans="1:22" x14ac:dyDescent="0.3">
      <c r="A975" t="s">
        <v>1861</v>
      </c>
      <c r="B975" s="1">
        <v>45584</v>
      </c>
      <c r="C975" t="s">
        <v>395</v>
      </c>
      <c r="D975" t="s">
        <v>1172</v>
      </c>
      <c r="E975" t="s">
        <v>25</v>
      </c>
      <c r="F975" t="s">
        <v>26</v>
      </c>
      <c r="G975" t="s">
        <v>27</v>
      </c>
      <c r="H975" t="s">
        <v>84</v>
      </c>
      <c r="I975" t="s">
        <v>85</v>
      </c>
      <c r="J975" t="s">
        <v>86</v>
      </c>
      <c r="K975">
        <v>1</v>
      </c>
      <c r="L975">
        <v>1809.54</v>
      </c>
      <c r="M975">
        <v>0.2</v>
      </c>
      <c r="N975">
        <v>1447.63</v>
      </c>
      <c r="O975">
        <v>1009.99</v>
      </c>
      <c r="P975">
        <v>437.64</v>
      </c>
      <c r="Q975" t="s">
        <v>31</v>
      </c>
      <c r="R975">
        <v>0.30231481801289001</v>
      </c>
      <c r="S975">
        <v>2024</v>
      </c>
      <c r="T975" t="s">
        <v>1802</v>
      </c>
      <c r="U975">
        <v>10</v>
      </c>
      <c r="V975" t="s">
        <v>1803</v>
      </c>
    </row>
    <row r="976" spans="1:22" x14ac:dyDescent="0.3">
      <c r="A976" t="s">
        <v>1862</v>
      </c>
      <c r="B976" s="1">
        <v>45584</v>
      </c>
      <c r="C976" t="s">
        <v>1551</v>
      </c>
      <c r="D976" t="s">
        <v>1863</v>
      </c>
      <c r="E976" t="s">
        <v>41</v>
      </c>
      <c r="F976" t="s">
        <v>42</v>
      </c>
      <c r="G976" t="s">
        <v>50</v>
      </c>
      <c r="H976" t="s">
        <v>84</v>
      </c>
      <c r="I976" t="s">
        <v>85</v>
      </c>
      <c r="J976" t="s">
        <v>86</v>
      </c>
      <c r="K976">
        <v>1</v>
      </c>
      <c r="L976">
        <v>1826.79</v>
      </c>
      <c r="M976">
        <v>0</v>
      </c>
      <c r="N976">
        <v>1826.79</v>
      </c>
      <c r="O976">
        <v>987.12</v>
      </c>
      <c r="P976">
        <v>839.67</v>
      </c>
      <c r="Q976" t="s">
        <v>31</v>
      </c>
      <c r="R976">
        <v>0.45964232341976913</v>
      </c>
      <c r="S976">
        <v>2024</v>
      </c>
      <c r="T976" t="s">
        <v>1802</v>
      </c>
      <c r="U976">
        <v>10</v>
      </c>
      <c r="V976" t="s">
        <v>1803</v>
      </c>
    </row>
    <row r="977" spans="1:22" x14ac:dyDescent="0.3">
      <c r="A977" t="s">
        <v>1864</v>
      </c>
      <c r="B977" s="1">
        <v>45585</v>
      </c>
      <c r="C977" t="s">
        <v>124</v>
      </c>
      <c r="D977" t="s">
        <v>587</v>
      </c>
      <c r="E977" t="s">
        <v>61</v>
      </c>
      <c r="F977" t="s">
        <v>78</v>
      </c>
      <c r="G977" t="s">
        <v>83</v>
      </c>
      <c r="H977" t="s">
        <v>28</v>
      </c>
      <c r="I977" t="s">
        <v>91</v>
      </c>
      <c r="J977" t="s">
        <v>126</v>
      </c>
      <c r="K977">
        <v>1</v>
      </c>
      <c r="L977">
        <v>2104.2600000000002</v>
      </c>
      <c r="M977">
        <v>0.1</v>
      </c>
      <c r="N977">
        <v>1893.83</v>
      </c>
      <c r="O977">
        <v>1205.3</v>
      </c>
      <c r="P977">
        <v>688.53</v>
      </c>
      <c r="Q977" t="s">
        <v>31</v>
      </c>
      <c r="R977">
        <v>0.3635648395051298</v>
      </c>
      <c r="S977">
        <v>2024</v>
      </c>
      <c r="T977" t="s">
        <v>1802</v>
      </c>
      <c r="U977">
        <v>10</v>
      </c>
      <c r="V977" t="s">
        <v>1803</v>
      </c>
    </row>
    <row r="978" spans="1:22" x14ac:dyDescent="0.3">
      <c r="A978" t="s">
        <v>1865</v>
      </c>
      <c r="B978" s="1">
        <v>45585</v>
      </c>
      <c r="C978" t="s">
        <v>410</v>
      </c>
      <c r="D978" t="s">
        <v>1516</v>
      </c>
      <c r="E978" t="s">
        <v>25</v>
      </c>
      <c r="F978" t="s">
        <v>26</v>
      </c>
      <c r="G978" t="s">
        <v>37</v>
      </c>
      <c r="H978" t="s">
        <v>64</v>
      </c>
      <c r="I978" t="s">
        <v>65</v>
      </c>
      <c r="J978" t="s">
        <v>232</v>
      </c>
      <c r="K978">
        <v>3</v>
      </c>
      <c r="L978">
        <v>4010.76</v>
      </c>
      <c r="M978">
        <v>0.15</v>
      </c>
      <c r="N978">
        <v>10227.44</v>
      </c>
      <c r="O978">
        <v>7600.04</v>
      </c>
      <c r="P978">
        <v>2627.4</v>
      </c>
      <c r="Q978" t="s">
        <v>31</v>
      </c>
      <c r="R978">
        <v>0.25689713163802469</v>
      </c>
      <c r="S978">
        <v>2024</v>
      </c>
      <c r="T978" t="s">
        <v>1802</v>
      </c>
      <c r="U978">
        <v>10</v>
      </c>
      <c r="V978" t="s">
        <v>1803</v>
      </c>
    </row>
    <row r="979" spans="1:22" x14ac:dyDescent="0.3">
      <c r="A979" t="s">
        <v>1866</v>
      </c>
      <c r="B979" s="1">
        <v>45585</v>
      </c>
      <c r="C979" t="s">
        <v>1027</v>
      </c>
      <c r="D979" t="s">
        <v>369</v>
      </c>
      <c r="E979" t="s">
        <v>25</v>
      </c>
      <c r="F979" t="s">
        <v>26</v>
      </c>
      <c r="G979" t="s">
        <v>171</v>
      </c>
      <c r="H979" t="s">
        <v>64</v>
      </c>
      <c r="I979" t="s">
        <v>108</v>
      </c>
      <c r="J979" t="s">
        <v>155</v>
      </c>
      <c r="K979">
        <v>1</v>
      </c>
      <c r="L979">
        <v>8571.2099999999991</v>
      </c>
      <c r="M979">
        <v>0.05</v>
      </c>
      <c r="N979">
        <v>8142.65</v>
      </c>
      <c r="O979">
        <v>5860.58</v>
      </c>
      <c r="P979">
        <v>2282.0700000000002</v>
      </c>
      <c r="Q979" t="s">
        <v>31</v>
      </c>
      <c r="R979">
        <v>0.28026133998145569</v>
      </c>
      <c r="S979">
        <v>2024</v>
      </c>
      <c r="T979" t="s">
        <v>1802</v>
      </c>
      <c r="U979">
        <v>10</v>
      </c>
      <c r="V979" t="s">
        <v>1803</v>
      </c>
    </row>
    <row r="980" spans="1:22" x14ac:dyDescent="0.3">
      <c r="A980" t="s">
        <v>1867</v>
      </c>
      <c r="B980" s="1">
        <v>45585</v>
      </c>
      <c r="C980" t="s">
        <v>1868</v>
      </c>
      <c r="D980" t="s">
        <v>398</v>
      </c>
      <c r="E980" t="s">
        <v>25</v>
      </c>
      <c r="F980" t="s">
        <v>26</v>
      </c>
      <c r="G980" t="s">
        <v>260</v>
      </c>
      <c r="H980" t="s">
        <v>28</v>
      </c>
      <c r="I980" t="s">
        <v>73</v>
      </c>
      <c r="J980" t="s">
        <v>74</v>
      </c>
      <c r="K980">
        <v>1</v>
      </c>
      <c r="L980">
        <v>2559.14</v>
      </c>
      <c r="M980">
        <v>0.1</v>
      </c>
      <c r="N980">
        <v>2303.23</v>
      </c>
      <c r="O980">
        <v>1396.72</v>
      </c>
      <c r="P980">
        <v>906.51</v>
      </c>
      <c r="Q980" t="s">
        <v>31</v>
      </c>
      <c r="R980">
        <v>0.39358205650325839</v>
      </c>
      <c r="S980">
        <v>2024</v>
      </c>
      <c r="T980" t="s">
        <v>1802</v>
      </c>
      <c r="U980">
        <v>10</v>
      </c>
      <c r="V980" t="s">
        <v>1803</v>
      </c>
    </row>
    <row r="981" spans="1:22" x14ac:dyDescent="0.3">
      <c r="A981" t="s">
        <v>1869</v>
      </c>
      <c r="B981" s="1">
        <v>45586</v>
      </c>
      <c r="C981" t="s">
        <v>567</v>
      </c>
      <c r="D981" t="s">
        <v>89</v>
      </c>
      <c r="E981" t="s">
        <v>61</v>
      </c>
      <c r="F981" t="s">
        <v>62</v>
      </c>
      <c r="G981" t="s">
        <v>134</v>
      </c>
      <c r="H981" t="s">
        <v>64</v>
      </c>
      <c r="I981" t="s">
        <v>108</v>
      </c>
      <c r="J981" t="s">
        <v>155</v>
      </c>
      <c r="K981">
        <v>1</v>
      </c>
      <c r="L981">
        <v>8224.67</v>
      </c>
      <c r="M981">
        <v>0.1</v>
      </c>
      <c r="N981">
        <v>7402.2</v>
      </c>
      <c r="O981">
        <v>5662.79</v>
      </c>
      <c r="P981">
        <v>1739.41</v>
      </c>
      <c r="Q981" t="s">
        <v>31</v>
      </c>
      <c r="R981">
        <v>0.23498554483802109</v>
      </c>
      <c r="S981">
        <v>2024</v>
      </c>
      <c r="T981" t="s">
        <v>1802</v>
      </c>
      <c r="U981">
        <v>10</v>
      </c>
      <c r="V981" t="s">
        <v>1803</v>
      </c>
    </row>
    <row r="982" spans="1:22" x14ac:dyDescent="0.3">
      <c r="A982" t="s">
        <v>1870</v>
      </c>
      <c r="B982" s="1">
        <v>45586</v>
      </c>
      <c r="C982" t="s">
        <v>1871</v>
      </c>
      <c r="D982" t="s">
        <v>510</v>
      </c>
      <c r="E982" t="s">
        <v>25</v>
      </c>
      <c r="F982" t="s">
        <v>26</v>
      </c>
      <c r="G982" t="s">
        <v>260</v>
      </c>
      <c r="H982" t="s">
        <v>28</v>
      </c>
      <c r="I982" t="s">
        <v>29</v>
      </c>
      <c r="J982" t="s">
        <v>57</v>
      </c>
      <c r="K982">
        <v>2</v>
      </c>
      <c r="L982">
        <v>16855.62</v>
      </c>
      <c r="M982">
        <v>0.05</v>
      </c>
      <c r="N982">
        <v>32025.68</v>
      </c>
      <c r="O982">
        <v>24783.54</v>
      </c>
      <c r="P982">
        <v>7242.14</v>
      </c>
      <c r="Q982" t="s">
        <v>31</v>
      </c>
      <c r="R982">
        <v>0.22613540134042431</v>
      </c>
      <c r="S982">
        <v>2024</v>
      </c>
      <c r="T982" t="s">
        <v>1802</v>
      </c>
      <c r="U982">
        <v>10</v>
      </c>
      <c r="V982" t="s">
        <v>1803</v>
      </c>
    </row>
    <row r="983" spans="1:22" x14ac:dyDescent="0.3">
      <c r="A983" t="s">
        <v>1872</v>
      </c>
      <c r="B983" s="1">
        <v>45586</v>
      </c>
      <c r="C983" t="s">
        <v>432</v>
      </c>
      <c r="D983" t="s">
        <v>773</v>
      </c>
      <c r="E983" t="s">
        <v>61</v>
      </c>
      <c r="F983" t="s">
        <v>78</v>
      </c>
      <c r="G983" t="s">
        <v>79</v>
      </c>
      <c r="H983" t="s">
        <v>84</v>
      </c>
      <c r="I983" t="s">
        <v>85</v>
      </c>
      <c r="J983" t="s">
        <v>86</v>
      </c>
      <c r="K983">
        <v>5</v>
      </c>
      <c r="L983">
        <v>1805.61</v>
      </c>
      <c r="M983">
        <v>0.15</v>
      </c>
      <c r="N983">
        <v>7673.84</v>
      </c>
      <c r="O983">
        <v>4987.79</v>
      </c>
      <c r="P983">
        <v>2686.05</v>
      </c>
      <c r="Q983" t="s">
        <v>53</v>
      </c>
      <c r="R983">
        <v>0.35002684444815108</v>
      </c>
      <c r="S983">
        <v>2024</v>
      </c>
      <c r="T983" t="s">
        <v>1802</v>
      </c>
      <c r="U983">
        <v>10</v>
      </c>
      <c r="V983" t="s">
        <v>1803</v>
      </c>
    </row>
    <row r="984" spans="1:22" x14ac:dyDescent="0.3">
      <c r="A984" t="s">
        <v>1873</v>
      </c>
      <c r="B984" s="1">
        <v>45586</v>
      </c>
      <c r="C984" t="s">
        <v>88</v>
      </c>
      <c r="D984" t="s">
        <v>701</v>
      </c>
      <c r="E984" t="s">
        <v>41</v>
      </c>
      <c r="F984" t="s">
        <v>42</v>
      </c>
      <c r="G984" t="s">
        <v>42</v>
      </c>
      <c r="H984" t="s">
        <v>84</v>
      </c>
      <c r="I984" t="s">
        <v>138</v>
      </c>
      <c r="J984" t="s">
        <v>139</v>
      </c>
      <c r="K984">
        <v>1</v>
      </c>
      <c r="L984">
        <v>12891.06</v>
      </c>
      <c r="M984">
        <v>0.1</v>
      </c>
      <c r="N984">
        <v>11601.95</v>
      </c>
      <c r="O984">
        <v>9604.27</v>
      </c>
      <c r="P984">
        <v>1997.68</v>
      </c>
      <c r="Q984" t="s">
        <v>31</v>
      </c>
      <c r="R984">
        <v>0.17218484823671881</v>
      </c>
      <c r="S984">
        <v>2024</v>
      </c>
      <c r="T984" t="s">
        <v>1802</v>
      </c>
      <c r="U984">
        <v>10</v>
      </c>
      <c r="V984" t="s">
        <v>1803</v>
      </c>
    </row>
    <row r="985" spans="1:22" x14ac:dyDescent="0.3">
      <c r="A985" t="s">
        <v>1874</v>
      </c>
      <c r="B985" s="1">
        <v>45586</v>
      </c>
      <c r="C985" t="s">
        <v>1875</v>
      </c>
      <c r="D985" t="s">
        <v>562</v>
      </c>
      <c r="E985" t="s">
        <v>41</v>
      </c>
      <c r="F985" t="s">
        <v>42</v>
      </c>
      <c r="G985" t="s">
        <v>50</v>
      </c>
      <c r="H985" t="s">
        <v>84</v>
      </c>
      <c r="I985" t="s">
        <v>85</v>
      </c>
      <c r="J985" t="s">
        <v>145</v>
      </c>
      <c r="K985">
        <v>2</v>
      </c>
      <c r="L985">
        <v>3134.53</v>
      </c>
      <c r="M985">
        <v>0.05</v>
      </c>
      <c r="N985">
        <v>5955.61</v>
      </c>
      <c r="O985">
        <v>3550.22</v>
      </c>
      <c r="P985">
        <v>2405.39</v>
      </c>
      <c r="Q985" t="s">
        <v>31</v>
      </c>
      <c r="R985">
        <v>0.40388641969504391</v>
      </c>
      <c r="S985">
        <v>2024</v>
      </c>
      <c r="T985" t="s">
        <v>1802</v>
      </c>
      <c r="U985">
        <v>10</v>
      </c>
      <c r="V985" t="s">
        <v>1803</v>
      </c>
    </row>
    <row r="986" spans="1:22" x14ac:dyDescent="0.3">
      <c r="A986" t="s">
        <v>1876</v>
      </c>
      <c r="B986" s="1">
        <v>45586</v>
      </c>
      <c r="C986" t="s">
        <v>359</v>
      </c>
      <c r="D986" t="s">
        <v>247</v>
      </c>
      <c r="E986" t="s">
        <v>61</v>
      </c>
      <c r="F986" t="s">
        <v>62</v>
      </c>
      <c r="G986" t="s">
        <v>63</v>
      </c>
      <c r="H986" t="s">
        <v>43</v>
      </c>
      <c r="I986" t="s">
        <v>51</v>
      </c>
      <c r="J986" t="s">
        <v>96</v>
      </c>
      <c r="K986">
        <v>1</v>
      </c>
      <c r="L986">
        <v>524.70000000000005</v>
      </c>
      <c r="M986">
        <v>0.15</v>
      </c>
      <c r="N986">
        <v>446</v>
      </c>
      <c r="O986">
        <v>240.09</v>
      </c>
      <c r="P986">
        <v>205.91</v>
      </c>
      <c r="Q986" t="s">
        <v>46</v>
      </c>
      <c r="R986">
        <v>0.46168161434977578</v>
      </c>
      <c r="S986">
        <v>2024</v>
      </c>
      <c r="T986" t="s">
        <v>1802</v>
      </c>
      <c r="U986">
        <v>10</v>
      </c>
      <c r="V986" t="s">
        <v>1803</v>
      </c>
    </row>
    <row r="987" spans="1:22" x14ac:dyDescent="0.3">
      <c r="A987" t="s">
        <v>1877</v>
      </c>
      <c r="B987" s="1">
        <v>45587</v>
      </c>
      <c r="C987" t="s">
        <v>948</v>
      </c>
      <c r="D987" t="s">
        <v>490</v>
      </c>
      <c r="E987" t="s">
        <v>41</v>
      </c>
      <c r="F987" t="s">
        <v>42</v>
      </c>
      <c r="G987" t="s">
        <v>50</v>
      </c>
      <c r="H987" t="s">
        <v>84</v>
      </c>
      <c r="I987" t="s">
        <v>138</v>
      </c>
      <c r="J987" t="s">
        <v>220</v>
      </c>
      <c r="K987">
        <v>2</v>
      </c>
      <c r="L987">
        <v>7915.05</v>
      </c>
      <c r="M987">
        <v>0.15</v>
      </c>
      <c r="N987">
        <v>13455.58</v>
      </c>
      <c r="O987">
        <v>10572.87</v>
      </c>
      <c r="P987">
        <v>2882.71</v>
      </c>
      <c r="Q987" t="s">
        <v>31</v>
      </c>
      <c r="R987">
        <v>0.21423899973096661</v>
      </c>
      <c r="S987">
        <v>2024</v>
      </c>
      <c r="T987" t="s">
        <v>1802</v>
      </c>
      <c r="U987">
        <v>10</v>
      </c>
      <c r="V987" t="s">
        <v>1803</v>
      </c>
    </row>
    <row r="988" spans="1:22" x14ac:dyDescent="0.3">
      <c r="A988" t="s">
        <v>1878</v>
      </c>
      <c r="B988" s="1">
        <v>45587</v>
      </c>
      <c r="C988" t="s">
        <v>1174</v>
      </c>
      <c r="D988" t="s">
        <v>1780</v>
      </c>
      <c r="E988" t="s">
        <v>25</v>
      </c>
      <c r="F988" t="s">
        <v>26</v>
      </c>
      <c r="G988" t="s">
        <v>37</v>
      </c>
      <c r="H988" t="s">
        <v>84</v>
      </c>
      <c r="I988" t="s">
        <v>85</v>
      </c>
      <c r="J988" t="s">
        <v>86</v>
      </c>
      <c r="K988">
        <v>2</v>
      </c>
      <c r="L988">
        <v>1771.41</v>
      </c>
      <c r="M988">
        <v>0.15</v>
      </c>
      <c r="N988">
        <v>3011.4</v>
      </c>
      <c r="O988">
        <v>1886.89</v>
      </c>
      <c r="P988">
        <v>1124.51</v>
      </c>
      <c r="Q988" t="s">
        <v>31</v>
      </c>
      <c r="R988">
        <v>0.37341767948462512</v>
      </c>
      <c r="S988">
        <v>2024</v>
      </c>
      <c r="T988" t="s">
        <v>1802</v>
      </c>
      <c r="U988">
        <v>10</v>
      </c>
      <c r="V988" t="s">
        <v>1803</v>
      </c>
    </row>
    <row r="989" spans="1:22" x14ac:dyDescent="0.3">
      <c r="A989" t="s">
        <v>1879</v>
      </c>
      <c r="B989" s="1">
        <v>45587</v>
      </c>
      <c r="C989" t="s">
        <v>1418</v>
      </c>
      <c r="D989" t="s">
        <v>1433</v>
      </c>
      <c r="E989" t="s">
        <v>25</v>
      </c>
      <c r="F989" t="s">
        <v>26</v>
      </c>
      <c r="G989" t="s">
        <v>260</v>
      </c>
      <c r="H989" t="s">
        <v>64</v>
      </c>
      <c r="I989" t="s">
        <v>65</v>
      </c>
      <c r="J989" t="s">
        <v>232</v>
      </c>
      <c r="K989">
        <v>4</v>
      </c>
      <c r="L989">
        <v>4009.44</v>
      </c>
      <c r="M989">
        <v>0.05</v>
      </c>
      <c r="N989">
        <v>15235.87</v>
      </c>
      <c r="O989">
        <v>10445.530000000001</v>
      </c>
      <c r="P989">
        <v>4790.34</v>
      </c>
      <c r="Q989" t="s">
        <v>113</v>
      </c>
      <c r="R989">
        <v>0.31441197647393948</v>
      </c>
      <c r="S989">
        <v>2024</v>
      </c>
      <c r="T989" t="s">
        <v>1802</v>
      </c>
      <c r="U989">
        <v>10</v>
      </c>
      <c r="V989" t="s">
        <v>1803</v>
      </c>
    </row>
    <row r="990" spans="1:22" x14ac:dyDescent="0.3">
      <c r="A990" t="s">
        <v>1880</v>
      </c>
      <c r="B990" s="1">
        <v>45588</v>
      </c>
      <c r="C990" t="s">
        <v>1881</v>
      </c>
      <c r="D990" t="s">
        <v>932</v>
      </c>
      <c r="E990" t="s">
        <v>25</v>
      </c>
      <c r="F990" t="s">
        <v>26</v>
      </c>
      <c r="G990" t="s">
        <v>37</v>
      </c>
      <c r="H990" t="s">
        <v>28</v>
      </c>
      <c r="I990" t="s">
        <v>29</v>
      </c>
      <c r="J990" t="s">
        <v>30</v>
      </c>
      <c r="K990">
        <v>4</v>
      </c>
      <c r="L990">
        <v>62064.46</v>
      </c>
      <c r="M990">
        <v>0</v>
      </c>
      <c r="N990">
        <v>248257.84</v>
      </c>
      <c r="O990">
        <v>225188.08</v>
      </c>
      <c r="P990">
        <v>23069.759999999998</v>
      </c>
      <c r="Q990" t="s">
        <v>31</v>
      </c>
      <c r="R990">
        <v>9.2926612106187662E-2</v>
      </c>
      <c r="S990">
        <v>2024</v>
      </c>
      <c r="T990" t="s">
        <v>1802</v>
      </c>
      <c r="U990">
        <v>10</v>
      </c>
      <c r="V990" t="s">
        <v>1803</v>
      </c>
    </row>
    <row r="991" spans="1:22" x14ac:dyDescent="0.3">
      <c r="A991" t="s">
        <v>1882</v>
      </c>
      <c r="B991" s="1">
        <v>45588</v>
      </c>
      <c r="C991" t="s">
        <v>153</v>
      </c>
      <c r="D991" t="s">
        <v>209</v>
      </c>
      <c r="E991" t="s">
        <v>61</v>
      </c>
      <c r="F991" t="s">
        <v>78</v>
      </c>
      <c r="G991" t="s">
        <v>216</v>
      </c>
      <c r="H991" t="s">
        <v>43</v>
      </c>
      <c r="I991" t="s">
        <v>44</v>
      </c>
      <c r="J991" t="s">
        <v>45</v>
      </c>
      <c r="K991">
        <v>3</v>
      </c>
      <c r="L991">
        <v>246.05</v>
      </c>
      <c r="M991">
        <v>0.05</v>
      </c>
      <c r="N991">
        <v>701.24</v>
      </c>
      <c r="O991">
        <v>290.82</v>
      </c>
      <c r="P991">
        <v>410.42</v>
      </c>
      <c r="Q991" t="s">
        <v>67</v>
      </c>
      <c r="R991">
        <v>0.58527750841366721</v>
      </c>
      <c r="S991">
        <v>2024</v>
      </c>
      <c r="T991" t="s">
        <v>1802</v>
      </c>
      <c r="U991">
        <v>10</v>
      </c>
      <c r="V991" t="s">
        <v>1803</v>
      </c>
    </row>
    <row r="992" spans="1:22" x14ac:dyDescent="0.3">
      <c r="A992" t="s">
        <v>1883</v>
      </c>
      <c r="B992" s="1">
        <v>45588</v>
      </c>
      <c r="C992" t="s">
        <v>709</v>
      </c>
      <c r="D992" t="s">
        <v>206</v>
      </c>
      <c r="E992" t="s">
        <v>61</v>
      </c>
      <c r="F992" t="s">
        <v>78</v>
      </c>
      <c r="G992" t="s">
        <v>79</v>
      </c>
      <c r="H992" t="s">
        <v>28</v>
      </c>
      <c r="I992" t="s">
        <v>73</v>
      </c>
      <c r="J992" t="s">
        <v>80</v>
      </c>
      <c r="K992">
        <v>2</v>
      </c>
      <c r="L992">
        <v>804.03</v>
      </c>
      <c r="M992">
        <v>0.05</v>
      </c>
      <c r="N992">
        <v>1527.66</v>
      </c>
      <c r="O992">
        <v>1031.73</v>
      </c>
      <c r="P992">
        <v>495.93</v>
      </c>
      <c r="Q992" t="s">
        <v>53</v>
      </c>
      <c r="R992">
        <v>0.32463375358391272</v>
      </c>
      <c r="S992">
        <v>2024</v>
      </c>
      <c r="T992" t="s">
        <v>1802</v>
      </c>
      <c r="U992">
        <v>10</v>
      </c>
      <c r="V992" t="s">
        <v>1803</v>
      </c>
    </row>
    <row r="993" spans="1:22" x14ac:dyDescent="0.3">
      <c r="A993" t="s">
        <v>1884</v>
      </c>
      <c r="B993" s="1">
        <v>45589</v>
      </c>
      <c r="C993" t="s">
        <v>1885</v>
      </c>
      <c r="D993" t="s">
        <v>334</v>
      </c>
      <c r="E993" t="s">
        <v>25</v>
      </c>
      <c r="F993" t="s">
        <v>26</v>
      </c>
      <c r="G993" t="s">
        <v>260</v>
      </c>
      <c r="H993" t="s">
        <v>84</v>
      </c>
      <c r="I993" t="s">
        <v>138</v>
      </c>
      <c r="J993" t="s">
        <v>139</v>
      </c>
      <c r="K993">
        <v>2</v>
      </c>
      <c r="L993">
        <v>13516.85</v>
      </c>
      <c r="M993">
        <v>0.15</v>
      </c>
      <c r="N993">
        <v>22978.65</v>
      </c>
      <c r="O993">
        <v>18838.97</v>
      </c>
      <c r="P993">
        <v>4139.68</v>
      </c>
      <c r="Q993" t="s">
        <v>67</v>
      </c>
      <c r="R993">
        <v>0.1801533162305009</v>
      </c>
      <c r="S993">
        <v>2024</v>
      </c>
      <c r="T993" t="s">
        <v>1802</v>
      </c>
      <c r="U993">
        <v>10</v>
      </c>
      <c r="V993" t="s">
        <v>1803</v>
      </c>
    </row>
    <row r="994" spans="1:22" x14ac:dyDescent="0.3">
      <c r="A994" t="s">
        <v>1886</v>
      </c>
      <c r="B994" s="1">
        <v>45590</v>
      </c>
      <c r="C994" t="s">
        <v>338</v>
      </c>
      <c r="D994" t="s">
        <v>326</v>
      </c>
      <c r="E994" t="s">
        <v>61</v>
      </c>
      <c r="F994" t="s">
        <v>62</v>
      </c>
      <c r="G994" t="s">
        <v>134</v>
      </c>
      <c r="H994" t="s">
        <v>28</v>
      </c>
      <c r="I994" t="s">
        <v>91</v>
      </c>
      <c r="J994" t="s">
        <v>126</v>
      </c>
      <c r="K994">
        <v>6</v>
      </c>
      <c r="L994">
        <v>1902.21</v>
      </c>
      <c r="M994">
        <v>0.1</v>
      </c>
      <c r="N994">
        <v>10271.93</v>
      </c>
      <c r="O994">
        <v>6608.59</v>
      </c>
      <c r="P994">
        <v>3663.34</v>
      </c>
      <c r="Q994" t="s">
        <v>67</v>
      </c>
      <c r="R994">
        <v>0.35663599732474821</v>
      </c>
      <c r="S994">
        <v>2024</v>
      </c>
      <c r="T994" t="s">
        <v>1802</v>
      </c>
      <c r="U994">
        <v>10</v>
      </c>
      <c r="V994" t="s">
        <v>1803</v>
      </c>
    </row>
    <row r="995" spans="1:22" x14ac:dyDescent="0.3">
      <c r="A995" t="s">
        <v>1887</v>
      </c>
      <c r="B995" s="1">
        <v>45590</v>
      </c>
      <c r="C995" t="s">
        <v>1083</v>
      </c>
      <c r="D995" t="s">
        <v>1172</v>
      </c>
      <c r="E995" t="s">
        <v>41</v>
      </c>
      <c r="F995" t="s">
        <v>42</v>
      </c>
      <c r="G995" t="s">
        <v>50</v>
      </c>
      <c r="H995" t="s">
        <v>84</v>
      </c>
      <c r="I995" t="s">
        <v>85</v>
      </c>
      <c r="J995" t="s">
        <v>86</v>
      </c>
      <c r="K995">
        <v>3</v>
      </c>
      <c r="L995">
        <v>1803.55</v>
      </c>
      <c r="M995">
        <v>0.1</v>
      </c>
      <c r="N995">
        <v>4869.59</v>
      </c>
      <c r="O995">
        <v>2897.26</v>
      </c>
      <c r="P995">
        <v>1972.33</v>
      </c>
      <c r="Q995" t="s">
        <v>53</v>
      </c>
      <c r="R995">
        <v>0.40502999225807512</v>
      </c>
      <c r="S995">
        <v>2024</v>
      </c>
      <c r="T995" t="s">
        <v>1802</v>
      </c>
      <c r="U995">
        <v>10</v>
      </c>
      <c r="V995" t="s">
        <v>1803</v>
      </c>
    </row>
    <row r="996" spans="1:22" x14ac:dyDescent="0.3">
      <c r="A996" t="s">
        <v>1888</v>
      </c>
      <c r="B996" s="1">
        <v>45590</v>
      </c>
      <c r="C996" t="s">
        <v>1889</v>
      </c>
      <c r="D996" t="s">
        <v>623</v>
      </c>
      <c r="E996" t="s">
        <v>41</v>
      </c>
      <c r="F996" t="s">
        <v>42</v>
      </c>
      <c r="G996" t="s">
        <v>50</v>
      </c>
      <c r="H996" t="s">
        <v>64</v>
      </c>
      <c r="I996" t="s">
        <v>65</v>
      </c>
      <c r="J996" t="s">
        <v>66</v>
      </c>
      <c r="K996">
        <v>1</v>
      </c>
      <c r="L996">
        <v>4846.59</v>
      </c>
      <c r="M996">
        <v>0.15</v>
      </c>
      <c r="N996">
        <v>4119.6000000000004</v>
      </c>
      <c r="O996">
        <v>2898.05</v>
      </c>
      <c r="P996">
        <v>1221.55</v>
      </c>
      <c r="Q996" t="s">
        <v>31</v>
      </c>
      <c r="R996">
        <v>0.29652150694242158</v>
      </c>
      <c r="S996">
        <v>2024</v>
      </c>
      <c r="T996" t="s">
        <v>1802</v>
      </c>
      <c r="U996">
        <v>10</v>
      </c>
      <c r="V996" t="s">
        <v>1803</v>
      </c>
    </row>
    <row r="997" spans="1:22" x14ac:dyDescent="0.3">
      <c r="A997" t="s">
        <v>1890</v>
      </c>
      <c r="B997" s="1">
        <v>45590</v>
      </c>
      <c r="C997" t="s">
        <v>384</v>
      </c>
      <c r="D997" t="s">
        <v>1066</v>
      </c>
      <c r="E997" t="s">
        <v>25</v>
      </c>
      <c r="F997" t="s">
        <v>26</v>
      </c>
      <c r="G997" t="s">
        <v>37</v>
      </c>
      <c r="H997" t="s">
        <v>43</v>
      </c>
      <c r="I997" t="s">
        <v>51</v>
      </c>
      <c r="J997" t="s">
        <v>52</v>
      </c>
      <c r="K997">
        <v>4</v>
      </c>
      <c r="L997">
        <v>712.29</v>
      </c>
      <c r="M997">
        <v>0.05</v>
      </c>
      <c r="N997">
        <v>2706.7</v>
      </c>
      <c r="O997">
        <v>1382.93</v>
      </c>
      <c r="P997">
        <v>1323.77</v>
      </c>
      <c r="Q997" t="s">
        <v>53</v>
      </c>
      <c r="R997">
        <v>0.4890715631580892</v>
      </c>
      <c r="S997">
        <v>2024</v>
      </c>
      <c r="T997" t="s">
        <v>1802</v>
      </c>
      <c r="U997">
        <v>10</v>
      </c>
      <c r="V997" t="s">
        <v>1803</v>
      </c>
    </row>
    <row r="998" spans="1:22" x14ac:dyDescent="0.3">
      <c r="A998" t="s">
        <v>1891</v>
      </c>
      <c r="B998" s="1">
        <v>45591</v>
      </c>
      <c r="C998" t="s">
        <v>1892</v>
      </c>
      <c r="D998" t="s">
        <v>403</v>
      </c>
      <c r="E998" t="s">
        <v>41</v>
      </c>
      <c r="F998" t="s">
        <v>42</v>
      </c>
      <c r="G998" t="s">
        <v>50</v>
      </c>
      <c r="H998" t="s">
        <v>43</v>
      </c>
      <c r="I998" t="s">
        <v>44</v>
      </c>
      <c r="J998" t="s">
        <v>45</v>
      </c>
      <c r="K998">
        <v>3</v>
      </c>
      <c r="L998">
        <v>240.5</v>
      </c>
      <c r="M998">
        <v>0.15</v>
      </c>
      <c r="N998">
        <v>613.27</v>
      </c>
      <c r="O998">
        <v>266.99</v>
      </c>
      <c r="P998">
        <v>346.28</v>
      </c>
      <c r="Q998" t="s">
        <v>31</v>
      </c>
      <c r="R998">
        <v>0.56464526228251832</v>
      </c>
      <c r="S998">
        <v>2024</v>
      </c>
      <c r="T998" t="s">
        <v>1802</v>
      </c>
      <c r="U998">
        <v>10</v>
      </c>
      <c r="V998" t="s">
        <v>1803</v>
      </c>
    </row>
    <row r="999" spans="1:22" x14ac:dyDescent="0.3">
      <c r="A999" t="s">
        <v>1893</v>
      </c>
      <c r="B999" s="1">
        <v>45591</v>
      </c>
      <c r="C999" t="s">
        <v>193</v>
      </c>
      <c r="D999" t="s">
        <v>188</v>
      </c>
      <c r="E999" t="s">
        <v>25</v>
      </c>
      <c r="F999" t="s">
        <v>26</v>
      </c>
      <c r="G999" t="s">
        <v>27</v>
      </c>
      <c r="H999" t="s">
        <v>28</v>
      </c>
      <c r="I999" t="s">
        <v>73</v>
      </c>
      <c r="J999" t="s">
        <v>80</v>
      </c>
      <c r="K999">
        <v>2</v>
      </c>
      <c r="L999">
        <v>804.92</v>
      </c>
      <c r="M999">
        <v>0.05</v>
      </c>
      <c r="N999">
        <v>1529.35</v>
      </c>
      <c r="O999">
        <v>1018.04</v>
      </c>
      <c r="P999">
        <v>511.31</v>
      </c>
      <c r="Q999" t="s">
        <v>46</v>
      </c>
      <c r="R999">
        <v>0.33433157877529668</v>
      </c>
      <c r="S999">
        <v>2024</v>
      </c>
      <c r="T999" t="s">
        <v>1802</v>
      </c>
      <c r="U999">
        <v>10</v>
      </c>
      <c r="V999" t="s">
        <v>1803</v>
      </c>
    </row>
    <row r="1000" spans="1:22" x14ac:dyDescent="0.3">
      <c r="A1000" t="s">
        <v>1894</v>
      </c>
      <c r="B1000" s="1">
        <v>45591</v>
      </c>
      <c r="C1000" t="s">
        <v>896</v>
      </c>
      <c r="D1000" t="s">
        <v>540</v>
      </c>
      <c r="E1000" t="s">
        <v>61</v>
      </c>
      <c r="F1000" t="s">
        <v>71</v>
      </c>
      <c r="G1000" t="s">
        <v>201</v>
      </c>
      <c r="H1000" t="s">
        <v>28</v>
      </c>
      <c r="I1000" t="s">
        <v>29</v>
      </c>
      <c r="J1000" t="s">
        <v>30</v>
      </c>
      <c r="K1000">
        <v>1</v>
      </c>
      <c r="L1000">
        <v>58318.01</v>
      </c>
      <c r="M1000">
        <v>0.2</v>
      </c>
      <c r="N1000">
        <v>46654.41</v>
      </c>
      <c r="O1000">
        <v>50643.51</v>
      </c>
      <c r="P1000">
        <v>-3989.1</v>
      </c>
      <c r="Q1000" t="s">
        <v>113</v>
      </c>
      <c r="R1000">
        <v>-8.5503171082862262E-2</v>
      </c>
      <c r="S1000">
        <v>2024</v>
      </c>
      <c r="T1000" t="s">
        <v>1802</v>
      </c>
      <c r="U1000">
        <v>10</v>
      </c>
      <c r="V1000" t="s">
        <v>1803</v>
      </c>
    </row>
    <row r="1001" spans="1:22" x14ac:dyDescent="0.3">
      <c r="A1001" t="s">
        <v>1895</v>
      </c>
      <c r="B1001" s="1">
        <v>45592</v>
      </c>
      <c r="C1001" t="s">
        <v>677</v>
      </c>
      <c r="D1001" t="s">
        <v>1033</v>
      </c>
      <c r="E1001" t="s">
        <v>61</v>
      </c>
      <c r="F1001" t="s">
        <v>78</v>
      </c>
      <c r="G1001" t="s">
        <v>216</v>
      </c>
      <c r="H1001" t="s">
        <v>64</v>
      </c>
      <c r="I1001" t="s">
        <v>65</v>
      </c>
      <c r="J1001" t="s">
        <v>66</v>
      </c>
      <c r="K1001">
        <v>2</v>
      </c>
      <c r="L1001">
        <v>5207.2299999999996</v>
      </c>
      <c r="M1001">
        <v>0</v>
      </c>
      <c r="N1001">
        <v>10414.459999999999</v>
      </c>
      <c r="O1001">
        <v>6171.83</v>
      </c>
      <c r="P1001">
        <v>4242.63</v>
      </c>
      <c r="Q1001" t="s">
        <v>53</v>
      </c>
      <c r="R1001">
        <v>0.40737877912056902</v>
      </c>
      <c r="S1001">
        <v>2024</v>
      </c>
      <c r="T1001" t="s">
        <v>1802</v>
      </c>
      <c r="U1001">
        <v>10</v>
      </c>
      <c r="V1001" t="s">
        <v>1803</v>
      </c>
    </row>
    <row r="1002" spans="1:22" x14ac:dyDescent="0.3">
      <c r="A1002" t="s">
        <v>1896</v>
      </c>
      <c r="B1002" s="1">
        <v>45592</v>
      </c>
      <c r="C1002" t="s">
        <v>1314</v>
      </c>
      <c r="D1002" t="s">
        <v>1897</v>
      </c>
      <c r="E1002" t="s">
        <v>41</v>
      </c>
      <c r="F1002" t="s">
        <v>42</v>
      </c>
      <c r="G1002" t="s">
        <v>42</v>
      </c>
      <c r="H1002" t="s">
        <v>28</v>
      </c>
      <c r="I1002" t="s">
        <v>73</v>
      </c>
      <c r="J1002" t="s">
        <v>74</v>
      </c>
      <c r="K1002">
        <v>1</v>
      </c>
      <c r="L1002">
        <v>2570.64</v>
      </c>
      <c r="M1002">
        <v>0.05</v>
      </c>
      <c r="N1002">
        <v>2442.11</v>
      </c>
      <c r="O1002">
        <v>1383.91</v>
      </c>
      <c r="P1002">
        <v>1058.2</v>
      </c>
      <c r="Q1002" t="s">
        <v>67</v>
      </c>
      <c r="R1002">
        <v>0.43331381469303182</v>
      </c>
      <c r="S1002">
        <v>2024</v>
      </c>
      <c r="T1002" t="s">
        <v>1802</v>
      </c>
      <c r="U1002">
        <v>10</v>
      </c>
      <c r="V1002" t="s">
        <v>1803</v>
      </c>
    </row>
    <row r="1003" spans="1:22" x14ac:dyDescent="0.3">
      <c r="A1003" t="s">
        <v>1898</v>
      </c>
      <c r="B1003" s="1">
        <v>45592</v>
      </c>
      <c r="C1003" t="s">
        <v>1899</v>
      </c>
      <c r="D1003" t="s">
        <v>380</v>
      </c>
      <c r="E1003" t="s">
        <v>61</v>
      </c>
      <c r="F1003" t="s">
        <v>71</v>
      </c>
      <c r="G1003" t="s">
        <v>317</v>
      </c>
      <c r="H1003" t="s">
        <v>84</v>
      </c>
      <c r="I1003" t="s">
        <v>85</v>
      </c>
      <c r="J1003" t="s">
        <v>145</v>
      </c>
      <c r="K1003">
        <v>1</v>
      </c>
      <c r="L1003">
        <v>3228.3</v>
      </c>
      <c r="M1003">
        <v>0.15</v>
      </c>
      <c r="N1003">
        <v>2744.06</v>
      </c>
      <c r="O1003">
        <v>1853.23</v>
      </c>
      <c r="P1003">
        <v>890.83</v>
      </c>
      <c r="Q1003" t="s">
        <v>31</v>
      </c>
      <c r="R1003">
        <v>0.3246394029285074</v>
      </c>
      <c r="S1003">
        <v>2024</v>
      </c>
      <c r="T1003" t="s">
        <v>1802</v>
      </c>
      <c r="U1003">
        <v>10</v>
      </c>
      <c r="V1003" t="s">
        <v>1803</v>
      </c>
    </row>
    <row r="1004" spans="1:22" x14ac:dyDescent="0.3">
      <c r="A1004" t="s">
        <v>1900</v>
      </c>
      <c r="B1004" s="1">
        <v>45592</v>
      </c>
      <c r="C1004" t="s">
        <v>1901</v>
      </c>
      <c r="D1004" t="s">
        <v>735</v>
      </c>
      <c r="E1004" t="s">
        <v>41</v>
      </c>
      <c r="F1004" t="s">
        <v>42</v>
      </c>
      <c r="G1004" t="s">
        <v>50</v>
      </c>
      <c r="H1004" t="s">
        <v>84</v>
      </c>
      <c r="I1004" t="s">
        <v>138</v>
      </c>
      <c r="J1004" t="s">
        <v>139</v>
      </c>
      <c r="K1004">
        <v>3</v>
      </c>
      <c r="L1004">
        <v>12982.67</v>
      </c>
      <c r="M1004">
        <v>0.05</v>
      </c>
      <c r="N1004">
        <v>37000.61</v>
      </c>
      <c r="O1004">
        <v>28297.67</v>
      </c>
      <c r="P1004">
        <v>8702.94</v>
      </c>
      <c r="Q1004" t="s">
        <v>53</v>
      </c>
      <c r="R1004">
        <v>0.23521071679629069</v>
      </c>
      <c r="S1004">
        <v>2024</v>
      </c>
      <c r="T1004" t="s">
        <v>1802</v>
      </c>
      <c r="U1004">
        <v>10</v>
      </c>
      <c r="V1004" t="s">
        <v>1803</v>
      </c>
    </row>
    <row r="1005" spans="1:22" x14ac:dyDescent="0.3">
      <c r="A1005" t="s">
        <v>1902</v>
      </c>
      <c r="B1005" s="1">
        <v>45592</v>
      </c>
      <c r="C1005" t="s">
        <v>1903</v>
      </c>
      <c r="D1005" t="s">
        <v>112</v>
      </c>
      <c r="E1005" t="s">
        <v>61</v>
      </c>
      <c r="F1005" t="s">
        <v>62</v>
      </c>
      <c r="G1005" t="s">
        <v>90</v>
      </c>
      <c r="H1005" t="s">
        <v>43</v>
      </c>
      <c r="I1005" t="s">
        <v>51</v>
      </c>
      <c r="J1005" t="s">
        <v>52</v>
      </c>
      <c r="K1005">
        <v>2</v>
      </c>
      <c r="L1005">
        <v>693.24</v>
      </c>
      <c r="M1005">
        <v>0.05</v>
      </c>
      <c r="N1005">
        <v>1317.16</v>
      </c>
      <c r="O1005">
        <v>668.07</v>
      </c>
      <c r="P1005">
        <v>649.09</v>
      </c>
      <c r="Q1005" t="s">
        <v>67</v>
      </c>
      <c r="R1005">
        <v>0.49279510461902881</v>
      </c>
      <c r="S1005">
        <v>2024</v>
      </c>
      <c r="T1005" t="s">
        <v>1802</v>
      </c>
      <c r="U1005">
        <v>10</v>
      </c>
      <c r="V1005" t="s">
        <v>1803</v>
      </c>
    </row>
    <row r="1006" spans="1:22" x14ac:dyDescent="0.3">
      <c r="A1006" t="s">
        <v>1904</v>
      </c>
      <c r="B1006" s="1">
        <v>45593</v>
      </c>
      <c r="C1006" t="s">
        <v>1532</v>
      </c>
      <c r="D1006" t="s">
        <v>906</v>
      </c>
      <c r="E1006" t="s">
        <v>61</v>
      </c>
      <c r="F1006" t="s">
        <v>71</v>
      </c>
      <c r="G1006" t="s">
        <v>100</v>
      </c>
      <c r="H1006" t="s">
        <v>28</v>
      </c>
      <c r="I1006" t="s">
        <v>29</v>
      </c>
      <c r="J1006" t="s">
        <v>57</v>
      </c>
      <c r="K1006">
        <v>4</v>
      </c>
      <c r="L1006">
        <v>16807.04</v>
      </c>
      <c r="M1006">
        <v>0.05</v>
      </c>
      <c r="N1006">
        <v>63866.75</v>
      </c>
      <c r="O1006">
        <v>49485.17</v>
      </c>
      <c r="P1006">
        <v>14381.58</v>
      </c>
      <c r="Q1006" t="s">
        <v>31</v>
      </c>
      <c r="R1006">
        <v>0.22518102142351071</v>
      </c>
      <c r="S1006">
        <v>2024</v>
      </c>
      <c r="T1006" t="s">
        <v>1802</v>
      </c>
      <c r="U1006">
        <v>10</v>
      </c>
      <c r="V1006" t="s">
        <v>1803</v>
      </c>
    </row>
    <row r="1007" spans="1:22" x14ac:dyDescent="0.3">
      <c r="A1007" t="s">
        <v>1905</v>
      </c>
      <c r="B1007" s="1">
        <v>45594</v>
      </c>
      <c r="C1007" t="s">
        <v>1906</v>
      </c>
      <c r="D1007" t="s">
        <v>374</v>
      </c>
      <c r="E1007" t="s">
        <v>61</v>
      </c>
      <c r="F1007" t="s">
        <v>71</v>
      </c>
      <c r="G1007" t="s">
        <v>72</v>
      </c>
      <c r="H1007" t="s">
        <v>84</v>
      </c>
      <c r="I1007" t="s">
        <v>85</v>
      </c>
      <c r="J1007" t="s">
        <v>86</v>
      </c>
      <c r="K1007">
        <v>3</v>
      </c>
      <c r="L1007">
        <v>1805.01</v>
      </c>
      <c r="M1007">
        <v>0.05</v>
      </c>
      <c r="N1007">
        <v>5144.28</v>
      </c>
      <c r="O1007">
        <v>2963.76</v>
      </c>
      <c r="P1007">
        <v>2180.52</v>
      </c>
      <c r="Q1007" t="s">
        <v>31</v>
      </c>
      <c r="R1007">
        <v>0.42387272854510261</v>
      </c>
      <c r="S1007">
        <v>2024</v>
      </c>
      <c r="T1007" t="s">
        <v>1802</v>
      </c>
      <c r="U1007">
        <v>10</v>
      </c>
      <c r="V1007" t="s">
        <v>1803</v>
      </c>
    </row>
    <row r="1008" spans="1:22" x14ac:dyDescent="0.3">
      <c r="A1008" t="s">
        <v>1907</v>
      </c>
      <c r="B1008" s="1">
        <v>45595</v>
      </c>
      <c r="C1008" t="s">
        <v>1542</v>
      </c>
      <c r="D1008" t="s">
        <v>235</v>
      </c>
      <c r="E1008" t="s">
        <v>61</v>
      </c>
      <c r="F1008" t="s">
        <v>78</v>
      </c>
      <c r="G1008" t="s">
        <v>83</v>
      </c>
      <c r="H1008" t="s">
        <v>64</v>
      </c>
      <c r="I1008" t="s">
        <v>108</v>
      </c>
      <c r="J1008" t="s">
        <v>155</v>
      </c>
      <c r="K1008">
        <v>1</v>
      </c>
      <c r="L1008">
        <v>8402.11</v>
      </c>
      <c r="M1008">
        <v>0.2</v>
      </c>
      <c r="N1008">
        <v>6721.69</v>
      </c>
      <c r="O1008">
        <v>5854.66</v>
      </c>
      <c r="P1008">
        <v>867.03</v>
      </c>
      <c r="Q1008" t="s">
        <v>46</v>
      </c>
      <c r="R1008">
        <v>0.12898988200884001</v>
      </c>
      <c r="S1008">
        <v>2024</v>
      </c>
      <c r="T1008" t="s">
        <v>1802</v>
      </c>
      <c r="U1008">
        <v>10</v>
      </c>
      <c r="V1008" t="s">
        <v>1803</v>
      </c>
    </row>
    <row r="1009" spans="1:22" x14ac:dyDescent="0.3">
      <c r="A1009" t="s">
        <v>1908</v>
      </c>
      <c r="B1009" s="1">
        <v>45595</v>
      </c>
      <c r="C1009" t="s">
        <v>144</v>
      </c>
      <c r="D1009" t="s">
        <v>775</v>
      </c>
      <c r="E1009" t="s">
        <v>41</v>
      </c>
      <c r="F1009" t="s">
        <v>42</v>
      </c>
      <c r="G1009" t="s">
        <v>50</v>
      </c>
      <c r="H1009" t="s">
        <v>28</v>
      </c>
      <c r="I1009" t="s">
        <v>73</v>
      </c>
      <c r="J1009" t="s">
        <v>74</v>
      </c>
      <c r="K1009">
        <v>1</v>
      </c>
      <c r="L1009">
        <v>2480.42</v>
      </c>
      <c r="M1009">
        <v>0.1</v>
      </c>
      <c r="N1009">
        <v>2232.38</v>
      </c>
      <c r="O1009">
        <v>1361.39</v>
      </c>
      <c r="P1009">
        <v>870.99</v>
      </c>
      <c r="Q1009" t="s">
        <v>67</v>
      </c>
      <c r="R1009">
        <v>0.3901620691817701</v>
      </c>
      <c r="S1009">
        <v>2024</v>
      </c>
      <c r="T1009" t="s">
        <v>1802</v>
      </c>
      <c r="U1009">
        <v>10</v>
      </c>
      <c r="V1009" t="s">
        <v>1803</v>
      </c>
    </row>
    <row r="1010" spans="1:22" x14ac:dyDescent="0.3">
      <c r="A1010" t="s">
        <v>1909</v>
      </c>
      <c r="B1010" s="1">
        <v>45596</v>
      </c>
      <c r="C1010" t="s">
        <v>1395</v>
      </c>
      <c r="D1010" t="s">
        <v>820</v>
      </c>
      <c r="E1010" t="s">
        <v>120</v>
      </c>
      <c r="F1010" t="s">
        <v>121</v>
      </c>
      <c r="G1010" t="s">
        <v>130</v>
      </c>
      <c r="H1010" t="s">
        <v>28</v>
      </c>
      <c r="I1010" t="s">
        <v>91</v>
      </c>
      <c r="J1010" t="s">
        <v>126</v>
      </c>
      <c r="K1010">
        <v>4</v>
      </c>
      <c r="L1010">
        <v>2060.96</v>
      </c>
      <c r="M1010">
        <v>0.1</v>
      </c>
      <c r="N1010">
        <v>7419.46</v>
      </c>
      <c r="O1010">
        <v>4740.13</v>
      </c>
      <c r="P1010">
        <v>2679.33</v>
      </c>
      <c r="Q1010" t="s">
        <v>53</v>
      </c>
      <c r="R1010">
        <v>0.36112196844514288</v>
      </c>
      <c r="S1010">
        <v>2024</v>
      </c>
      <c r="T1010" t="s">
        <v>1802</v>
      </c>
      <c r="U1010">
        <v>10</v>
      </c>
      <c r="V1010" t="s">
        <v>1803</v>
      </c>
    </row>
    <row r="1011" spans="1:22" x14ac:dyDescent="0.3">
      <c r="A1011" t="s">
        <v>1910</v>
      </c>
      <c r="B1011" s="1">
        <v>45597</v>
      </c>
      <c r="C1011" t="s">
        <v>1606</v>
      </c>
      <c r="D1011" t="s">
        <v>247</v>
      </c>
      <c r="E1011" t="s">
        <v>120</v>
      </c>
      <c r="F1011" t="s">
        <v>121</v>
      </c>
      <c r="G1011" t="s">
        <v>130</v>
      </c>
      <c r="H1011" t="s">
        <v>28</v>
      </c>
      <c r="I1011" t="s">
        <v>29</v>
      </c>
      <c r="J1011" t="s">
        <v>57</v>
      </c>
      <c r="K1011">
        <v>2</v>
      </c>
      <c r="L1011">
        <v>15264.26</v>
      </c>
      <c r="M1011">
        <v>0.2</v>
      </c>
      <c r="N1011">
        <v>24422.82</v>
      </c>
      <c r="O1011">
        <v>23577.56</v>
      </c>
      <c r="P1011">
        <v>845.26</v>
      </c>
      <c r="Q1011" t="s">
        <v>31</v>
      </c>
      <c r="R1011">
        <v>3.4609434946496757E-2</v>
      </c>
      <c r="S1011">
        <v>2024</v>
      </c>
      <c r="T1011" t="s">
        <v>1911</v>
      </c>
      <c r="U1011">
        <v>11</v>
      </c>
      <c r="V1011" t="s">
        <v>1803</v>
      </c>
    </row>
    <row r="1012" spans="1:22" x14ac:dyDescent="0.3">
      <c r="A1012" t="s">
        <v>1912</v>
      </c>
      <c r="B1012" s="1">
        <v>45597</v>
      </c>
      <c r="C1012" t="s">
        <v>384</v>
      </c>
      <c r="D1012" t="s">
        <v>1285</v>
      </c>
      <c r="E1012" t="s">
        <v>61</v>
      </c>
      <c r="F1012" t="s">
        <v>62</v>
      </c>
      <c r="G1012" t="s">
        <v>228</v>
      </c>
      <c r="H1012" t="s">
        <v>43</v>
      </c>
      <c r="I1012" t="s">
        <v>44</v>
      </c>
      <c r="J1012" t="s">
        <v>45</v>
      </c>
      <c r="K1012">
        <v>2</v>
      </c>
      <c r="L1012">
        <v>253.91</v>
      </c>
      <c r="M1012">
        <v>0.15</v>
      </c>
      <c r="N1012">
        <v>431.65</v>
      </c>
      <c r="O1012">
        <v>191.53</v>
      </c>
      <c r="P1012">
        <v>240.12</v>
      </c>
      <c r="Q1012" t="s">
        <v>31</v>
      </c>
      <c r="R1012">
        <v>0.55628402641028618</v>
      </c>
      <c r="S1012">
        <v>2024</v>
      </c>
      <c r="T1012" t="s">
        <v>1911</v>
      </c>
      <c r="U1012">
        <v>11</v>
      </c>
      <c r="V1012" t="s">
        <v>1803</v>
      </c>
    </row>
    <row r="1013" spans="1:22" x14ac:dyDescent="0.3">
      <c r="A1013" t="s">
        <v>1913</v>
      </c>
      <c r="B1013" s="1">
        <v>45597</v>
      </c>
      <c r="C1013" t="s">
        <v>470</v>
      </c>
      <c r="D1013" t="s">
        <v>1218</v>
      </c>
      <c r="E1013" t="s">
        <v>61</v>
      </c>
      <c r="F1013" t="s">
        <v>78</v>
      </c>
      <c r="G1013" t="s">
        <v>79</v>
      </c>
      <c r="H1013" t="s">
        <v>64</v>
      </c>
      <c r="I1013" t="s">
        <v>108</v>
      </c>
      <c r="J1013" t="s">
        <v>109</v>
      </c>
      <c r="K1013">
        <v>3</v>
      </c>
      <c r="L1013">
        <v>7045.26</v>
      </c>
      <c r="M1013">
        <v>0</v>
      </c>
      <c r="N1013">
        <v>21135.78</v>
      </c>
      <c r="O1013">
        <v>13142.6</v>
      </c>
      <c r="P1013">
        <v>7993.18</v>
      </c>
      <c r="Q1013" t="s">
        <v>31</v>
      </c>
      <c r="R1013">
        <v>0.37818239970325213</v>
      </c>
      <c r="S1013">
        <v>2024</v>
      </c>
      <c r="T1013" t="s">
        <v>1911</v>
      </c>
      <c r="U1013">
        <v>11</v>
      </c>
      <c r="V1013" t="s">
        <v>1803</v>
      </c>
    </row>
    <row r="1014" spans="1:22" x14ac:dyDescent="0.3">
      <c r="A1014" t="s">
        <v>1914</v>
      </c>
      <c r="B1014" s="1">
        <v>45598</v>
      </c>
      <c r="C1014" t="s">
        <v>1202</v>
      </c>
      <c r="D1014" t="s">
        <v>712</v>
      </c>
      <c r="E1014" t="s">
        <v>61</v>
      </c>
      <c r="F1014" t="s">
        <v>78</v>
      </c>
      <c r="G1014" t="s">
        <v>216</v>
      </c>
      <c r="H1014" t="s">
        <v>64</v>
      </c>
      <c r="I1014" t="s">
        <v>108</v>
      </c>
      <c r="J1014" t="s">
        <v>155</v>
      </c>
      <c r="K1014">
        <v>5</v>
      </c>
      <c r="L1014">
        <v>8599.43</v>
      </c>
      <c r="M1014">
        <v>0.05</v>
      </c>
      <c r="N1014">
        <v>40847.29</v>
      </c>
      <c r="O1014">
        <v>30114.69</v>
      </c>
      <c r="P1014">
        <v>10732.6</v>
      </c>
      <c r="Q1014" t="s">
        <v>31</v>
      </c>
      <c r="R1014">
        <v>0.2627493770088542</v>
      </c>
      <c r="S1014">
        <v>2024</v>
      </c>
      <c r="T1014" t="s">
        <v>1911</v>
      </c>
      <c r="U1014">
        <v>11</v>
      </c>
      <c r="V1014" t="s">
        <v>1803</v>
      </c>
    </row>
    <row r="1015" spans="1:22" x14ac:dyDescent="0.3">
      <c r="A1015" t="s">
        <v>1915</v>
      </c>
      <c r="B1015" s="1">
        <v>45598</v>
      </c>
      <c r="C1015" t="s">
        <v>1916</v>
      </c>
      <c r="D1015" t="s">
        <v>415</v>
      </c>
      <c r="E1015" t="s">
        <v>61</v>
      </c>
      <c r="F1015" t="s">
        <v>62</v>
      </c>
      <c r="G1015" t="s">
        <v>63</v>
      </c>
      <c r="H1015" t="s">
        <v>28</v>
      </c>
      <c r="I1015" t="s">
        <v>73</v>
      </c>
      <c r="J1015" t="s">
        <v>80</v>
      </c>
      <c r="K1015">
        <v>3</v>
      </c>
      <c r="L1015">
        <v>753.15</v>
      </c>
      <c r="M1015">
        <v>0.1</v>
      </c>
      <c r="N1015">
        <v>2033.5</v>
      </c>
      <c r="O1015">
        <v>1436.39</v>
      </c>
      <c r="P1015">
        <v>597.11</v>
      </c>
      <c r="Q1015" t="s">
        <v>46</v>
      </c>
      <c r="R1015">
        <v>0.29363658716498647</v>
      </c>
      <c r="S1015">
        <v>2024</v>
      </c>
      <c r="T1015" t="s">
        <v>1911</v>
      </c>
      <c r="U1015">
        <v>11</v>
      </c>
      <c r="V1015" t="s">
        <v>1803</v>
      </c>
    </row>
    <row r="1016" spans="1:22" x14ac:dyDescent="0.3">
      <c r="A1016" t="s">
        <v>1917</v>
      </c>
      <c r="B1016" s="1">
        <v>45598</v>
      </c>
      <c r="C1016" t="s">
        <v>222</v>
      </c>
      <c r="D1016" t="s">
        <v>575</v>
      </c>
      <c r="E1016" t="s">
        <v>41</v>
      </c>
      <c r="F1016" t="s">
        <v>42</v>
      </c>
      <c r="G1016" t="s">
        <v>42</v>
      </c>
      <c r="H1016" t="s">
        <v>64</v>
      </c>
      <c r="I1016" t="s">
        <v>108</v>
      </c>
      <c r="J1016" t="s">
        <v>109</v>
      </c>
      <c r="K1016">
        <v>6</v>
      </c>
      <c r="L1016">
        <v>6930.45</v>
      </c>
      <c r="M1016">
        <v>0</v>
      </c>
      <c r="N1016">
        <v>41582.699999999997</v>
      </c>
      <c r="O1016">
        <v>25634.42</v>
      </c>
      <c r="P1016">
        <v>15948.28</v>
      </c>
      <c r="Q1016" t="s">
        <v>31</v>
      </c>
      <c r="R1016">
        <v>0.38353161290632892</v>
      </c>
      <c r="S1016">
        <v>2024</v>
      </c>
      <c r="T1016" t="s">
        <v>1911</v>
      </c>
      <c r="U1016">
        <v>11</v>
      </c>
      <c r="V1016" t="s">
        <v>1803</v>
      </c>
    </row>
    <row r="1017" spans="1:22" x14ac:dyDescent="0.3">
      <c r="A1017" t="s">
        <v>1918</v>
      </c>
      <c r="B1017" s="1">
        <v>45599</v>
      </c>
      <c r="C1017" t="s">
        <v>663</v>
      </c>
      <c r="D1017" t="s">
        <v>444</v>
      </c>
      <c r="E1017" t="s">
        <v>61</v>
      </c>
      <c r="F1017" t="s">
        <v>71</v>
      </c>
      <c r="G1017" t="s">
        <v>317</v>
      </c>
      <c r="H1017" t="s">
        <v>28</v>
      </c>
      <c r="I1017" t="s">
        <v>91</v>
      </c>
      <c r="J1017" t="s">
        <v>126</v>
      </c>
      <c r="K1017">
        <v>1</v>
      </c>
      <c r="L1017">
        <v>1887.57</v>
      </c>
      <c r="M1017">
        <v>0</v>
      </c>
      <c r="N1017">
        <v>1887.57</v>
      </c>
      <c r="O1017">
        <v>1081.67</v>
      </c>
      <c r="P1017">
        <v>805.9</v>
      </c>
      <c r="Q1017" t="s">
        <v>46</v>
      </c>
      <c r="R1017">
        <v>0.42695105347086459</v>
      </c>
      <c r="S1017">
        <v>2024</v>
      </c>
      <c r="T1017" t="s">
        <v>1911</v>
      </c>
      <c r="U1017">
        <v>11</v>
      </c>
      <c r="V1017" t="s">
        <v>1803</v>
      </c>
    </row>
    <row r="1018" spans="1:22" x14ac:dyDescent="0.3">
      <c r="A1018" t="s">
        <v>1919</v>
      </c>
      <c r="B1018" s="1">
        <v>45599</v>
      </c>
      <c r="C1018" t="s">
        <v>1920</v>
      </c>
      <c r="D1018" t="s">
        <v>119</v>
      </c>
      <c r="E1018" t="s">
        <v>25</v>
      </c>
      <c r="F1018" t="s">
        <v>26</v>
      </c>
      <c r="G1018" t="s">
        <v>171</v>
      </c>
      <c r="H1018" t="s">
        <v>84</v>
      </c>
      <c r="I1018" t="s">
        <v>138</v>
      </c>
      <c r="J1018" t="s">
        <v>139</v>
      </c>
      <c r="K1018">
        <v>2</v>
      </c>
      <c r="L1018">
        <v>13762.31</v>
      </c>
      <c r="M1018">
        <v>0.05</v>
      </c>
      <c r="N1018">
        <v>26148.39</v>
      </c>
      <c r="O1018">
        <v>20006.07</v>
      </c>
      <c r="P1018">
        <v>6142.32</v>
      </c>
      <c r="Q1018" t="s">
        <v>113</v>
      </c>
      <c r="R1018">
        <v>0.2349024165541358</v>
      </c>
      <c r="S1018">
        <v>2024</v>
      </c>
      <c r="T1018" t="s">
        <v>1911</v>
      </c>
      <c r="U1018">
        <v>11</v>
      </c>
      <c r="V1018" t="s">
        <v>1803</v>
      </c>
    </row>
    <row r="1019" spans="1:22" x14ac:dyDescent="0.3">
      <c r="A1019" t="s">
        <v>1921</v>
      </c>
      <c r="B1019" s="1">
        <v>45599</v>
      </c>
      <c r="C1019" t="s">
        <v>1147</v>
      </c>
      <c r="D1019" t="s">
        <v>1433</v>
      </c>
      <c r="E1019" t="s">
        <v>41</v>
      </c>
      <c r="F1019" t="s">
        <v>42</v>
      </c>
      <c r="G1019" t="s">
        <v>42</v>
      </c>
      <c r="H1019" t="s">
        <v>28</v>
      </c>
      <c r="I1019" t="s">
        <v>29</v>
      </c>
      <c r="J1019" t="s">
        <v>30</v>
      </c>
      <c r="K1019">
        <v>2</v>
      </c>
      <c r="L1019">
        <v>60806.54</v>
      </c>
      <c r="M1019">
        <v>0.1</v>
      </c>
      <c r="N1019">
        <v>109451.77</v>
      </c>
      <c r="O1019">
        <v>104330</v>
      </c>
      <c r="P1019">
        <v>5121.7700000000004</v>
      </c>
      <c r="Q1019" t="s">
        <v>46</v>
      </c>
      <c r="R1019">
        <v>4.6794766315793712E-2</v>
      </c>
      <c r="S1019">
        <v>2024</v>
      </c>
      <c r="T1019" t="s">
        <v>1911</v>
      </c>
      <c r="U1019">
        <v>11</v>
      </c>
      <c r="V1019" t="s">
        <v>1803</v>
      </c>
    </row>
    <row r="1020" spans="1:22" x14ac:dyDescent="0.3">
      <c r="A1020" t="s">
        <v>1922</v>
      </c>
      <c r="B1020" s="1">
        <v>45599</v>
      </c>
      <c r="C1020" t="s">
        <v>356</v>
      </c>
      <c r="D1020" t="s">
        <v>1795</v>
      </c>
      <c r="E1020" t="s">
        <v>25</v>
      </c>
      <c r="F1020" t="s">
        <v>26</v>
      </c>
      <c r="G1020" t="s">
        <v>37</v>
      </c>
      <c r="H1020" t="s">
        <v>64</v>
      </c>
      <c r="I1020" t="s">
        <v>108</v>
      </c>
      <c r="J1020" t="s">
        <v>155</v>
      </c>
      <c r="K1020">
        <v>1</v>
      </c>
      <c r="L1020">
        <v>8934.9599999999991</v>
      </c>
      <c r="M1020">
        <v>0</v>
      </c>
      <c r="N1020">
        <v>8934.9599999999991</v>
      </c>
      <c r="O1020">
        <v>6050.6</v>
      </c>
      <c r="P1020">
        <v>2884.36</v>
      </c>
      <c r="Q1020" t="s">
        <v>31</v>
      </c>
      <c r="R1020">
        <v>0.32281733773850141</v>
      </c>
      <c r="S1020">
        <v>2024</v>
      </c>
      <c r="T1020" t="s">
        <v>1911</v>
      </c>
      <c r="U1020">
        <v>11</v>
      </c>
      <c r="V1020" t="s">
        <v>1803</v>
      </c>
    </row>
    <row r="1021" spans="1:22" x14ac:dyDescent="0.3">
      <c r="A1021" t="s">
        <v>1923</v>
      </c>
      <c r="B1021" s="1">
        <v>45600</v>
      </c>
      <c r="C1021" t="s">
        <v>176</v>
      </c>
      <c r="D1021" t="s">
        <v>1138</v>
      </c>
      <c r="E1021" t="s">
        <v>61</v>
      </c>
      <c r="F1021" t="s">
        <v>62</v>
      </c>
      <c r="G1021" t="s">
        <v>134</v>
      </c>
      <c r="H1021" t="s">
        <v>64</v>
      </c>
      <c r="I1021" t="s">
        <v>108</v>
      </c>
      <c r="J1021" t="s">
        <v>155</v>
      </c>
      <c r="K1021">
        <v>2</v>
      </c>
      <c r="L1021">
        <v>8605.99</v>
      </c>
      <c r="M1021">
        <v>0.15</v>
      </c>
      <c r="N1021">
        <v>14630.18</v>
      </c>
      <c r="O1021">
        <v>11656.53</v>
      </c>
      <c r="P1021">
        <v>2973.65</v>
      </c>
      <c r="Q1021" t="s">
        <v>46</v>
      </c>
      <c r="R1021">
        <v>0.2032545054127837</v>
      </c>
      <c r="S1021">
        <v>2024</v>
      </c>
      <c r="T1021" t="s">
        <v>1911</v>
      </c>
      <c r="U1021">
        <v>11</v>
      </c>
      <c r="V1021" t="s">
        <v>1803</v>
      </c>
    </row>
    <row r="1022" spans="1:22" x14ac:dyDescent="0.3">
      <c r="A1022" t="s">
        <v>1924</v>
      </c>
      <c r="B1022" s="1">
        <v>45600</v>
      </c>
      <c r="C1022" t="s">
        <v>1055</v>
      </c>
      <c r="D1022" t="s">
        <v>1780</v>
      </c>
      <c r="E1022" t="s">
        <v>120</v>
      </c>
      <c r="F1022" t="s">
        <v>121</v>
      </c>
      <c r="G1022" t="s">
        <v>130</v>
      </c>
      <c r="H1022" t="s">
        <v>64</v>
      </c>
      <c r="I1022" t="s">
        <v>65</v>
      </c>
      <c r="J1022" t="s">
        <v>66</v>
      </c>
      <c r="K1022">
        <v>1</v>
      </c>
      <c r="L1022">
        <v>4721.51</v>
      </c>
      <c r="M1022">
        <v>0</v>
      </c>
      <c r="N1022">
        <v>4721.51</v>
      </c>
      <c r="O1022">
        <v>2961.31</v>
      </c>
      <c r="P1022">
        <v>1760.2</v>
      </c>
      <c r="Q1022" t="s">
        <v>31</v>
      </c>
      <c r="R1022">
        <v>0.3728044629790046</v>
      </c>
      <c r="S1022">
        <v>2024</v>
      </c>
      <c r="T1022" t="s">
        <v>1911</v>
      </c>
      <c r="U1022">
        <v>11</v>
      </c>
      <c r="V1022" t="s">
        <v>1803</v>
      </c>
    </row>
    <row r="1023" spans="1:22" x14ac:dyDescent="0.3">
      <c r="A1023" t="s">
        <v>1925</v>
      </c>
      <c r="B1023" s="1">
        <v>45600</v>
      </c>
      <c r="C1023" t="s">
        <v>549</v>
      </c>
      <c r="D1023" t="s">
        <v>349</v>
      </c>
      <c r="E1023" t="s">
        <v>25</v>
      </c>
      <c r="F1023" t="s">
        <v>26</v>
      </c>
      <c r="G1023" t="s">
        <v>27</v>
      </c>
      <c r="H1023" t="s">
        <v>84</v>
      </c>
      <c r="I1023" t="s">
        <v>138</v>
      </c>
      <c r="J1023" t="s">
        <v>220</v>
      </c>
      <c r="K1023">
        <v>1</v>
      </c>
      <c r="L1023">
        <v>7254.2</v>
      </c>
      <c r="M1023">
        <v>0.1</v>
      </c>
      <c r="N1023">
        <v>6528.78</v>
      </c>
      <c r="O1023">
        <v>4767.1400000000003</v>
      </c>
      <c r="P1023">
        <v>1761.64</v>
      </c>
      <c r="Q1023" t="s">
        <v>53</v>
      </c>
      <c r="R1023">
        <v>0.26982682828951199</v>
      </c>
      <c r="S1023">
        <v>2024</v>
      </c>
      <c r="T1023" t="s">
        <v>1911</v>
      </c>
      <c r="U1023">
        <v>11</v>
      </c>
      <c r="V1023" t="s">
        <v>1803</v>
      </c>
    </row>
    <row r="1024" spans="1:22" x14ac:dyDescent="0.3">
      <c r="A1024" t="s">
        <v>1926</v>
      </c>
      <c r="B1024" s="1">
        <v>45601</v>
      </c>
      <c r="C1024" t="s">
        <v>1927</v>
      </c>
      <c r="D1024" t="s">
        <v>129</v>
      </c>
      <c r="E1024" t="s">
        <v>120</v>
      </c>
      <c r="F1024" t="s">
        <v>121</v>
      </c>
      <c r="G1024" t="s">
        <v>130</v>
      </c>
      <c r="H1024" t="s">
        <v>64</v>
      </c>
      <c r="I1024" t="s">
        <v>65</v>
      </c>
      <c r="J1024" t="s">
        <v>66</v>
      </c>
      <c r="K1024">
        <v>2</v>
      </c>
      <c r="L1024">
        <v>5129.63</v>
      </c>
      <c r="M1024">
        <v>0.2</v>
      </c>
      <c r="N1024">
        <v>8207.41</v>
      </c>
      <c r="O1024">
        <v>6484.04</v>
      </c>
      <c r="P1024">
        <v>1723.37</v>
      </c>
      <c r="Q1024" t="s">
        <v>46</v>
      </c>
      <c r="R1024">
        <v>0.2099773253681734</v>
      </c>
      <c r="S1024">
        <v>2024</v>
      </c>
      <c r="T1024" t="s">
        <v>1911</v>
      </c>
      <c r="U1024">
        <v>11</v>
      </c>
      <c r="V1024" t="s">
        <v>1803</v>
      </c>
    </row>
    <row r="1025" spans="1:22" x14ac:dyDescent="0.3">
      <c r="A1025" t="s">
        <v>1928</v>
      </c>
      <c r="B1025" s="1">
        <v>45601</v>
      </c>
      <c r="C1025" t="s">
        <v>1929</v>
      </c>
      <c r="D1025" t="s">
        <v>265</v>
      </c>
      <c r="E1025" t="s">
        <v>61</v>
      </c>
      <c r="F1025" t="s">
        <v>78</v>
      </c>
      <c r="G1025" t="s">
        <v>83</v>
      </c>
      <c r="H1025" t="s">
        <v>84</v>
      </c>
      <c r="I1025" t="s">
        <v>85</v>
      </c>
      <c r="J1025" t="s">
        <v>145</v>
      </c>
      <c r="K1025">
        <v>1</v>
      </c>
      <c r="L1025">
        <v>3354.24</v>
      </c>
      <c r="M1025">
        <v>0.05</v>
      </c>
      <c r="N1025">
        <v>3186.53</v>
      </c>
      <c r="O1025">
        <v>1977.46</v>
      </c>
      <c r="P1025">
        <v>1209.07</v>
      </c>
      <c r="Q1025" t="s">
        <v>46</v>
      </c>
      <c r="R1025">
        <v>0.37943154465829598</v>
      </c>
      <c r="S1025">
        <v>2024</v>
      </c>
      <c r="T1025" t="s">
        <v>1911</v>
      </c>
      <c r="U1025">
        <v>11</v>
      </c>
      <c r="V1025" t="s">
        <v>1803</v>
      </c>
    </row>
    <row r="1026" spans="1:22" x14ac:dyDescent="0.3">
      <c r="A1026" t="s">
        <v>1930</v>
      </c>
      <c r="B1026" s="1">
        <v>45601</v>
      </c>
      <c r="C1026" t="s">
        <v>910</v>
      </c>
      <c r="D1026" t="s">
        <v>371</v>
      </c>
      <c r="E1026" t="s">
        <v>25</v>
      </c>
      <c r="F1026" t="s">
        <v>26</v>
      </c>
      <c r="G1026" t="s">
        <v>37</v>
      </c>
      <c r="H1026" t="s">
        <v>28</v>
      </c>
      <c r="I1026" t="s">
        <v>73</v>
      </c>
      <c r="J1026" t="s">
        <v>80</v>
      </c>
      <c r="K1026">
        <v>1</v>
      </c>
      <c r="L1026">
        <v>797.63</v>
      </c>
      <c r="M1026">
        <v>0.1</v>
      </c>
      <c r="N1026">
        <v>717.87</v>
      </c>
      <c r="O1026">
        <v>479.16</v>
      </c>
      <c r="P1026">
        <v>238.71</v>
      </c>
      <c r="Q1026" t="s">
        <v>46</v>
      </c>
      <c r="R1026">
        <v>0.33252538760499811</v>
      </c>
      <c r="S1026">
        <v>2024</v>
      </c>
      <c r="T1026" t="s">
        <v>1911</v>
      </c>
      <c r="U1026">
        <v>11</v>
      </c>
      <c r="V1026" t="s">
        <v>1803</v>
      </c>
    </row>
    <row r="1027" spans="1:22" x14ac:dyDescent="0.3">
      <c r="A1027" t="s">
        <v>1931</v>
      </c>
      <c r="B1027" s="1">
        <v>45601</v>
      </c>
      <c r="C1027" t="s">
        <v>1591</v>
      </c>
      <c r="D1027" t="s">
        <v>112</v>
      </c>
      <c r="E1027" t="s">
        <v>61</v>
      </c>
      <c r="F1027" t="s">
        <v>62</v>
      </c>
      <c r="G1027" t="s">
        <v>90</v>
      </c>
      <c r="H1027" t="s">
        <v>84</v>
      </c>
      <c r="I1027" t="s">
        <v>85</v>
      </c>
      <c r="J1027" t="s">
        <v>86</v>
      </c>
      <c r="K1027">
        <v>4</v>
      </c>
      <c r="L1027">
        <v>1867.91</v>
      </c>
      <c r="M1027">
        <v>0.1</v>
      </c>
      <c r="N1027">
        <v>6724.48</v>
      </c>
      <c r="O1027">
        <v>3903.24</v>
      </c>
      <c r="P1027">
        <v>2821.24</v>
      </c>
      <c r="Q1027" t="s">
        <v>31</v>
      </c>
      <c r="R1027">
        <v>0.41954768249738272</v>
      </c>
      <c r="S1027">
        <v>2024</v>
      </c>
      <c r="T1027" t="s">
        <v>1911</v>
      </c>
      <c r="U1027">
        <v>11</v>
      </c>
      <c r="V1027" t="s">
        <v>1803</v>
      </c>
    </row>
    <row r="1028" spans="1:22" x14ac:dyDescent="0.3">
      <c r="A1028" t="s">
        <v>1932</v>
      </c>
      <c r="B1028" s="1">
        <v>45601</v>
      </c>
      <c r="C1028" t="s">
        <v>1619</v>
      </c>
      <c r="D1028" t="s">
        <v>935</v>
      </c>
      <c r="E1028" t="s">
        <v>25</v>
      </c>
      <c r="F1028" t="s">
        <v>26</v>
      </c>
      <c r="G1028" t="s">
        <v>171</v>
      </c>
      <c r="H1028" t="s">
        <v>64</v>
      </c>
      <c r="I1028" t="s">
        <v>108</v>
      </c>
      <c r="J1028" t="s">
        <v>109</v>
      </c>
      <c r="K1028">
        <v>3</v>
      </c>
      <c r="L1028">
        <v>7186.43</v>
      </c>
      <c r="M1028">
        <v>0.1</v>
      </c>
      <c r="N1028">
        <v>19403.36</v>
      </c>
      <c r="O1028">
        <v>14169.28</v>
      </c>
      <c r="P1028">
        <v>5234.08</v>
      </c>
      <c r="Q1028" t="s">
        <v>53</v>
      </c>
      <c r="R1028">
        <v>0.26975121834568849</v>
      </c>
      <c r="S1028">
        <v>2024</v>
      </c>
      <c r="T1028" t="s">
        <v>1911</v>
      </c>
      <c r="U1028">
        <v>11</v>
      </c>
      <c r="V1028" t="s">
        <v>1803</v>
      </c>
    </row>
    <row r="1029" spans="1:22" x14ac:dyDescent="0.3">
      <c r="A1029" t="s">
        <v>1933</v>
      </c>
      <c r="B1029" s="1">
        <v>45601</v>
      </c>
      <c r="C1029" t="s">
        <v>654</v>
      </c>
      <c r="D1029" t="s">
        <v>789</v>
      </c>
      <c r="E1029" t="s">
        <v>25</v>
      </c>
      <c r="F1029" t="s">
        <v>26</v>
      </c>
      <c r="G1029" t="s">
        <v>37</v>
      </c>
      <c r="H1029" t="s">
        <v>43</v>
      </c>
      <c r="I1029" t="s">
        <v>51</v>
      </c>
      <c r="J1029" t="s">
        <v>96</v>
      </c>
      <c r="K1029">
        <v>2</v>
      </c>
      <c r="L1029">
        <v>485.74</v>
      </c>
      <c r="M1029">
        <v>0.05</v>
      </c>
      <c r="N1029">
        <v>922.91</v>
      </c>
      <c r="O1029">
        <v>444.68</v>
      </c>
      <c r="P1029">
        <v>478.23</v>
      </c>
      <c r="Q1029" t="s">
        <v>53</v>
      </c>
      <c r="R1029">
        <v>0.51817620353013838</v>
      </c>
      <c r="S1029">
        <v>2024</v>
      </c>
      <c r="T1029" t="s">
        <v>1911</v>
      </c>
      <c r="U1029">
        <v>11</v>
      </c>
      <c r="V1029" t="s">
        <v>1803</v>
      </c>
    </row>
    <row r="1030" spans="1:22" x14ac:dyDescent="0.3">
      <c r="A1030" t="s">
        <v>1934</v>
      </c>
      <c r="B1030" s="1">
        <v>45601</v>
      </c>
      <c r="C1030" t="s">
        <v>262</v>
      </c>
      <c r="D1030" t="s">
        <v>164</v>
      </c>
      <c r="E1030" t="s">
        <v>61</v>
      </c>
      <c r="F1030" t="s">
        <v>71</v>
      </c>
      <c r="G1030" t="s">
        <v>100</v>
      </c>
      <c r="H1030" t="s">
        <v>28</v>
      </c>
      <c r="I1030" t="s">
        <v>73</v>
      </c>
      <c r="J1030" t="s">
        <v>80</v>
      </c>
      <c r="K1030">
        <v>2</v>
      </c>
      <c r="L1030">
        <v>822.38</v>
      </c>
      <c r="M1030">
        <v>0.15</v>
      </c>
      <c r="N1030">
        <v>1398.05</v>
      </c>
      <c r="O1030">
        <v>1048.44</v>
      </c>
      <c r="P1030">
        <v>349.61</v>
      </c>
      <c r="Q1030" t="s">
        <v>53</v>
      </c>
      <c r="R1030">
        <v>0.25006973999499299</v>
      </c>
      <c r="S1030">
        <v>2024</v>
      </c>
      <c r="T1030" t="s">
        <v>1911</v>
      </c>
      <c r="U1030">
        <v>11</v>
      </c>
      <c r="V1030" t="s">
        <v>1803</v>
      </c>
    </row>
    <row r="1031" spans="1:22" x14ac:dyDescent="0.3">
      <c r="A1031" t="s">
        <v>1935</v>
      </c>
      <c r="B1031" s="1">
        <v>45602</v>
      </c>
      <c r="C1031" t="s">
        <v>321</v>
      </c>
      <c r="D1031" t="s">
        <v>227</v>
      </c>
      <c r="E1031" t="s">
        <v>41</v>
      </c>
      <c r="F1031" t="s">
        <v>42</v>
      </c>
      <c r="G1031" t="s">
        <v>42</v>
      </c>
      <c r="H1031" t="s">
        <v>84</v>
      </c>
      <c r="I1031" t="s">
        <v>85</v>
      </c>
      <c r="J1031" t="s">
        <v>86</v>
      </c>
      <c r="K1031">
        <v>6</v>
      </c>
      <c r="L1031">
        <v>1857.09</v>
      </c>
      <c r="M1031">
        <v>0.1</v>
      </c>
      <c r="N1031">
        <v>10028.290000000001</v>
      </c>
      <c r="O1031">
        <v>6019.74</v>
      </c>
      <c r="P1031">
        <v>4008.55</v>
      </c>
      <c r="Q1031" t="s">
        <v>113</v>
      </c>
      <c r="R1031">
        <v>0.39972418029394841</v>
      </c>
      <c r="S1031">
        <v>2024</v>
      </c>
      <c r="T1031" t="s">
        <v>1911</v>
      </c>
      <c r="U1031">
        <v>11</v>
      </c>
      <c r="V1031" t="s">
        <v>1803</v>
      </c>
    </row>
    <row r="1032" spans="1:22" x14ac:dyDescent="0.3">
      <c r="A1032" t="s">
        <v>1936</v>
      </c>
      <c r="B1032" s="1">
        <v>45602</v>
      </c>
      <c r="C1032" t="s">
        <v>803</v>
      </c>
      <c r="D1032" t="s">
        <v>133</v>
      </c>
      <c r="E1032" t="s">
        <v>61</v>
      </c>
      <c r="F1032" t="s">
        <v>78</v>
      </c>
      <c r="G1032" t="s">
        <v>104</v>
      </c>
      <c r="H1032" t="s">
        <v>28</v>
      </c>
      <c r="I1032" t="s">
        <v>73</v>
      </c>
      <c r="J1032" t="s">
        <v>80</v>
      </c>
      <c r="K1032">
        <v>1</v>
      </c>
      <c r="L1032">
        <v>783.91</v>
      </c>
      <c r="M1032">
        <v>0.1</v>
      </c>
      <c r="N1032">
        <v>705.52</v>
      </c>
      <c r="O1032">
        <v>472.49</v>
      </c>
      <c r="P1032">
        <v>233.03</v>
      </c>
      <c r="Q1032" t="s">
        <v>31</v>
      </c>
      <c r="R1032">
        <v>0.33029538496428168</v>
      </c>
      <c r="S1032">
        <v>2024</v>
      </c>
      <c r="T1032" t="s">
        <v>1911</v>
      </c>
      <c r="U1032">
        <v>11</v>
      </c>
      <c r="V1032" t="s">
        <v>1803</v>
      </c>
    </row>
    <row r="1033" spans="1:22" x14ac:dyDescent="0.3">
      <c r="A1033" t="s">
        <v>1937</v>
      </c>
      <c r="B1033" s="1">
        <v>45602</v>
      </c>
      <c r="C1033" t="s">
        <v>408</v>
      </c>
      <c r="D1033" t="s">
        <v>385</v>
      </c>
      <c r="E1033" t="s">
        <v>61</v>
      </c>
      <c r="F1033" t="s">
        <v>78</v>
      </c>
      <c r="G1033" t="s">
        <v>216</v>
      </c>
      <c r="H1033" t="s">
        <v>84</v>
      </c>
      <c r="I1033" t="s">
        <v>85</v>
      </c>
      <c r="J1033" t="s">
        <v>145</v>
      </c>
      <c r="K1033">
        <v>3</v>
      </c>
      <c r="L1033">
        <v>3205.86</v>
      </c>
      <c r="M1033">
        <v>0.1</v>
      </c>
      <c r="N1033">
        <v>8655.82</v>
      </c>
      <c r="O1033">
        <v>5544.32</v>
      </c>
      <c r="P1033">
        <v>3111.5</v>
      </c>
      <c r="Q1033" t="s">
        <v>67</v>
      </c>
      <c r="R1033">
        <v>0.3594691201988951</v>
      </c>
      <c r="S1033">
        <v>2024</v>
      </c>
      <c r="T1033" t="s">
        <v>1911</v>
      </c>
      <c r="U1033">
        <v>11</v>
      </c>
      <c r="V1033" t="s">
        <v>1803</v>
      </c>
    </row>
    <row r="1034" spans="1:22" x14ac:dyDescent="0.3">
      <c r="A1034" t="s">
        <v>1938</v>
      </c>
      <c r="B1034" s="1">
        <v>45603</v>
      </c>
      <c r="C1034" t="s">
        <v>1410</v>
      </c>
      <c r="D1034" t="s">
        <v>231</v>
      </c>
      <c r="E1034" t="s">
        <v>25</v>
      </c>
      <c r="F1034" t="s">
        <v>26</v>
      </c>
      <c r="G1034" t="s">
        <v>260</v>
      </c>
      <c r="H1034" t="s">
        <v>43</v>
      </c>
      <c r="I1034" t="s">
        <v>51</v>
      </c>
      <c r="J1034" t="s">
        <v>96</v>
      </c>
      <c r="K1034">
        <v>1</v>
      </c>
      <c r="L1034">
        <v>509.36</v>
      </c>
      <c r="M1034">
        <v>0.1</v>
      </c>
      <c r="N1034">
        <v>458.42</v>
      </c>
      <c r="O1034">
        <v>228.11</v>
      </c>
      <c r="P1034">
        <v>230.31</v>
      </c>
      <c r="Q1034" t="s">
        <v>31</v>
      </c>
      <c r="R1034">
        <v>0.50239954626761485</v>
      </c>
      <c r="S1034">
        <v>2024</v>
      </c>
      <c r="T1034" t="s">
        <v>1911</v>
      </c>
      <c r="U1034">
        <v>11</v>
      </c>
      <c r="V1034" t="s">
        <v>1803</v>
      </c>
    </row>
    <row r="1035" spans="1:22" x14ac:dyDescent="0.3">
      <c r="A1035" t="s">
        <v>1939</v>
      </c>
      <c r="B1035" s="1">
        <v>45603</v>
      </c>
      <c r="C1035" t="s">
        <v>1826</v>
      </c>
      <c r="D1035" t="s">
        <v>1516</v>
      </c>
      <c r="E1035" t="s">
        <v>41</v>
      </c>
      <c r="F1035" t="s">
        <v>42</v>
      </c>
      <c r="G1035" t="s">
        <v>42</v>
      </c>
      <c r="H1035" t="s">
        <v>84</v>
      </c>
      <c r="I1035" t="s">
        <v>85</v>
      </c>
      <c r="J1035" t="s">
        <v>86</v>
      </c>
      <c r="K1035">
        <v>1</v>
      </c>
      <c r="L1035">
        <v>1826.67</v>
      </c>
      <c r="M1035">
        <v>0.1</v>
      </c>
      <c r="N1035">
        <v>1644</v>
      </c>
      <c r="O1035">
        <v>996.06</v>
      </c>
      <c r="P1035">
        <v>647.94000000000005</v>
      </c>
      <c r="Q1035" t="s">
        <v>31</v>
      </c>
      <c r="R1035">
        <v>0.3941240875912409</v>
      </c>
      <c r="S1035">
        <v>2024</v>
      </c>
      <c r="T1035" t="s">
        <v>1911</v>
      </c>
      <c r="U1035">
        <v>11</v>
      </c>
      <c r="V1035" t="s">
        <v>1803</v>
      </c>
    </row>
    <row r="1036" spans="1:22" x14ac:dyDescent="0.3">
      <c r="A1036" t="s">
        <v>1940</v>
      </c>
      <c r="B1036" s="1">
        <v>45603</v>
      </c>
      <c r="C1036" t="s">
        <v>1124</v>
      </c>
      <c r="D1036" t="s">
        <v>935</v>
      </c>
      <c r="E1036" t="s">
        <v>41</v>
      </c>
      <c r="F1036" t="s">
        <v>42</v>
      </c>
      <c r="G1036" t="s">
        <v>42</v>
      </c>
      <c r="H1036" t="s">
        <v>84</v>
      </c>
      <c r="I1036" t="s">
        <v>85</v>
      </c>
      <c r="J1036" t="s">
        <v>145</v>
      </c>
      <c r="K1036">
        <v>1</v>
      </c>
      <c r="L1036">
        <v>3412.03</v>
      </c>
      <c r="M1036">
        <v>0</v>
      </c>
      <c r="N1036">
        <v>3412.03</v>
      </c>
      <c r="O1036">
        <v>2012.65</v>
      </c>
      <c r="P1036">
        <v>1399.38</v>
      </c>
      <c r="Q1036" t="s">
        <v>31</v>
      </c>
      <c r="R1036">
        <v>0.41013121221091259</v>
      </c>
      <c r="S1036">
        <v>2024</v>
      </c>
      <c r="T1036" t="s">
        <v>1911</v>
      </c>
      <c r="U1036">
        <v>11</v>
      </c>
      <c r="V1036" t="s">
        <v>1803</v>
      </c>
    </row>
    <row r="1037" spans="1:22" x14ac:dyDescent="0.3">
      <c r="A1037" t="s">
        <v>1941</v>
      </c>
      <c r="B1037" s="1">
        <v>45603</v>
      </c>
      <c r="C1037" t="s">
        <v>1752</v>
      </c>
      <c r="D1037" t="s">
        <v>851</v>
      </c>
      <c r="E1037" t="s">
        <v>41</v>
      </c>
      <c r="F1037" t="s">
        <v>42</v>
      </c>
      <c r="G1037" t="s">
        <v>42</v>
      </c>
      <c r="H1037" t="s">
        <v>64</v>
      </c>
      <c r="I1037" t="s">
        <v>108</v>
      </c>
      <c r="J1037" t="s">
        <v>109</v>
      </c>
      <c r="K1037">
        <v>2</v>
      </c>
      <c r="L1037">
        <v>6900.73</v>
      </c>
      <c r="M1037">
        <v>0</v>
      </c>
      <c r="N1037">
        <v>13801.46</v>
      </c>
      <c r="O1037">
        <v>8814.86</v>
      </c>
      <c r="P1037">
        <v>4986.6000000000004</v>
      </c>
      <c r="Q1037" t="s">
        <v>46</v>
      </c>
      <c r="R1037">
        <v>0.3613096005784896</v>
      </c>
      <c r="S1037">
        <v>2024</v>
      </c>
      <c r="T1037" t="s">
        <v>1911</v>
      </c>
      <c r="U1037">
        <v>11</v>
      </c>
      <c r="V1037" t="s">
        <v>1803</v>
      </c>
    </row>
    <row r="1038" spans="1:22" x14ac:dyDescent="0.3">
      <c r="A1038" t="s">
        <v>1942</v>
      </c>
      <c r="B1038" s="1">
        <v>45604</v>
      </c>
      <c r="C1038" t="s">
        <v>908</v>
      </c>
      <c r="D1038" t="s">
        <v>1096</v>
      </c>
      <c r="E1038" t="s">
        <v>61</v>
      </c>
      <c r="F1038" t="s">
        <v>78</v>
      </c>
      <c r="G1038" t="s">
        <v>216</v>
      </c>
      <c r="H1038" t="s">
        <v>84</v>
      </c>
      <c r="I1038" t="s">
        <v>138</v>
      </c>
      <c r="J1038" t="s">
        <v>139</v>
      </c>
      <c r="K1038">
        <v>1</v>
      </c>
      <c r="L1038">
        <v>12380.46</v>
      </c>
      <c r="M1038">
        <v>0.15</v>
      </c>
      <c r="N1038">
        <v>10523.39</v>
      </c>
      <c r="O1038">
        <v>9031.7800000000007</v>
      </c>
      <c r="P1038">
        <v>1491.61</v>
      </c>
      <c r="Q1038" t="s">
        <v>31</v>
      </c>
      <c r="R1038">
        <v>0.14174234728542801</v>
      </c>
      <c r="S1038">
        <v>2024</v>
      </c>
      <c r="T1038" t="s">
        <v>1911</v>
      </c>
      <c r="U1038">
        <v>11</v>
      </c>
      <c r="V1038" t="s">
        <v>1803</v>
      </c>
    </row>
    <row r="1039" spans="1:22" x14ac:dyDescent="0.3">
      <c r="A1039" t="s">
        <v>1943</v>
      </c>
      <c r="B1039" s="1">
        <v>45604</v>
      </c>
      <c r="C1039" t="s">
        <v>373</v>
      </c>
      <c r="D1039" t="s">
        <v>888</v>
      </c>
      <c r="E1039" t="s">
        <v>41</v>
      </c>
      <c r="F1039" t="s">
        <v>42</v>
      </c>
      <c r="G1039" t="s">
        <v>42</v>
      </c>
      <c r="H1039" t="s">
        <v>28</v>
      </c>
      <c r="I1039" t="s">
        <v>73</v>
      </c>
      <c r="J1039" t="s">
        <v>80</v>
      </c>
      <c r="K1039">
        <v>2</v>
      </c>
      <c r="L1039">
        <v>753.01</v>
      </c>
      <c r="M1039">
        <v>0.1</v>
      </c>
      <c r="N1039">
        <v>1355.42</v>
      </c>
      <c r="O1039">
        <v>933.96</v>
      </c>
      <c r="P1039">
        <v>421.46</v>
      </c>
      <c r="Q1039" t="s">
        <v>46</v>
      </c>
      <c r="R1039">
        <v>0.31094420917501581</v>
      </c>
      <c r="S1039">
        <v>2024</v>
      </c>
      <c r="T1039" t="s">
        <v>1911</v>
      </c>
      <c r="U1039">
        <v>11</v>
      </c>
      <c r="V1039" t="s">
        <v>1803</v>
      </c>
    </row>
    <row r="1040" spans="1:22" x14ac:dyDescent="0.3">
      <c r="A1040" t="s">
        <v>1944</v>
      </c>
      <c r="B1040" s="1">
        <v>45604</v>
      </c>
      <c r="C1040" t="s">
        <v>1297</v>
      </c>
      <c r="D1040" t="s">
        <v>24</v>
      </c>
      <c r="E1040" t="s">
        <v>61</v>
      </c>
      <c r="F1040" t="s">
        <v>78</v>
      </c>
      <c r="G1040" t="s">
        <v>104</v>
      </c>
      <c r="H1040" t="s">
        <v>84</v>
      </c>
      <c r="I1040" t="s">
        <v>85</v>
      </c>
      <c r="J1040" t="s">
        <v>145</v>
      </c>
      <c r="K1040">
        <v>1</v>
      </c>
      <c r="L1040">
        <v>3383.81</v>
      </c>
      <c r="M1040">
        <v>0.1</v>
      </c>
      <c r="N1040">
        <v>3045.43</v>
      </c>
      <c r="O1040">
        <v>1906.02</v>
      </c>
      <c r="P1040">
        <v>1139.4100000000001</v>
      </c>
      <c r="Q1040" t="s">
        <v>31</v>
      </c>
      <c r="R1040">
        <v>0.37413764230338581</v>
      </c>
      <c r="S1040">
        <v>2024</v>
      </c>
      <c r="T1040" t="s">
        <v>1911</v>
      </c>
      <c r="U1040">
        <v>11</v>
      </c>
      <c r="V1040" t="s">
        <v>1803</v>
      </c>
    </row>
    <row r="1041" spans="1:22" x14ac:dyDescent="0.3">
      <c r="A1041" t="s">
        <v>1945</v>
      </c>
      <c r="B1041" s="1">
        <v>45604</v>
      </c>
      <c r="C1041" t="s">
        <v>485</v>
      </c>
      <c r="D1041" t="s">
        <v>1946</v>
      </c>
      <c r="E1041" t="s">
        <v>61</v>
      </c>
      <c r="F1041" t="s">
        <v>62</v>
      </c>
      <c r="G1041" t="s">
        <v>134</v>
      </c>
      <c r="H1041" t="s">
        <v>64</v>
      </c>
      <c r="I1041" t="s">
        <v>108</v>
      </c>
      <c r="J1041" t="s">
        <v>155</v>
      </c>
      <c r="K1041">
        <v>3</v>
      </c>
      <c r="L1041">
        <v>8701.74</v>
      </c>
      <c r="M1041">
        <v>0.1</v>
      </c>
      <c r="N1041">
        <v>23494.7</v>
      </c>
      <c r="O1041">
        <v>17578.009999999998</v>
      </c>
      <c r="P1041">
        <v>5916.69</v>
      </c>
      <c r="Q1041" t="s">
        <v>46</v>
      </c>
      <c r="R1041">
        <v>0.25183083844441512</v>
      </c>
      <c r="S1041">
        <v>2024</v>
      </c>
      <c r="T1041" t="s">
        <v>1911</v>
      </c>
      <c r="U1041">
        <v>11</v>
      </c>
      <c r="V1041" t="s">
        <v>1803</v>
      </c>
    </row>
    <row r="1042" spans="1:22" x14ac:dyDescent="0.3">
      <c r="A1042" t="s">
        <v>1947</v>
      </c>
      <c r="B1042" s="1">
        <v>45605</v>
      </c>
      <c r="C1042" t="s">
        <v>473</v>
      </c>
      <c r="D1042" t="s">
        <v>726</v>
      </c>
      <c r="E1042" t="s">
        <v>61</v>
      </c>
      <c r="F1042" t="s">
        <v>71</v>
      </c>
      <c r="G1042" t="s">
        <v>317</v>
      </c>
      <c r="H1042" t="s">
        <v>43</v>
      </c>
      <c r="I1042" t="s">
        <v>51</v>
      </c>
      <c r="J1042" t="s">
        <v>52</v>
      </c>
      <c r="K1042">
        <v>1</v>
      </c>
      <c r="L1042">
        <v>709.26</v>
      </c>
      <c r="M1042">
        <v>0.1</v>
      </c>
      <c r="N1042">
        <v>638.33000000000004</v>
      </c>
      <c r="O1042">
        <v>338.03</v>
      </c>
      <c r="P1042">
        <v>300.3</v>
      </c>
      <c r="Q1042" t="s">
        <v>53</v>
      </c>
      <c r="R1042">
        <v>0.47044632086851629</v>
      </c>
      <c r="S1042">
        <v>2024</v>
      </c>
      <c r="T1042" t="s">
        <v>1911</v>
      </c>
      <c r="U1042">
        <v>11</v>
      </c>
      <c r="V1042" t="s">
        <v>1803</v>
      </c>
    </row>
    <row r="1043" spans="1:22" x14ac:dyDescent="0.3">
      <c r="A1043" t="s">
        <v>1948</v>
      </c>
      <c r="B1043" s="1">
        <v>45605</v>
      </c>
      <c r="C1043" t="s">
        <v>1626</v>
      </c>
      <c r="D1043" t="s">
        <v>24</v>
      </c>
      <c r="E1043" t="s">
        <v>41</v>
      </c>
      <c r="F1043" t="s">
        <v>42</v>
      </c>
      <c r="G1043" t="s">
        <v>50</v>
      </c>
      <c r="H1043" t="s">
        <v>28</v>
      </c>
      <c r="I1043" t="s">
        <v>73</v>
      </c>
      <c r="J1043" t="s">
        <v>80</v>
      </c>
      <c r="K1043">
        <v>5</v>
      </c>
      <c r="L1043">
        <v>795.56</v>
      </c>
      <c r="M1043">
        <v>0.15</v>
      </c>
      <c r="N1043">
        <v>3381.13</v>
      </c>
      <c r="O1043">
        <v>2559.5500000000002</v>
      </c>
      <c r="P1043">
        <v>821.58</v>
      </c>
      <c r="Q1043" t="s">
        <v>31</v>
      </c>
      <c r="R1043">
        <v>0.24298976969238101</v>
      </c>
      <c r="S1043">
        <v>2024</v>
      </c>
      <c r="T1043" t="s">
        <v>1911</v>
      </c>
      <c r="U1043">
        <v>11</v>
      </c>
      <c r="V1043" t="s">
        <v>1803</v>
      </c>
    </row>
    <row r="1044" spans="1:22" x14ac:dyDescent="0.3">
      <c r="A1044" t="s">
        <v>1949</v>
      </c>
      <c r="B1044" s="1">
        <v>45605</v>
      </c>
      <c r="C1044" t="s">
        <v>102</v>
      </c>
      <c r="D1044" t="s">
        <v>1490</v>
      </c>
      <c r="E1044" t="s">
        <v>120</v>
      </c>
      <c r="F1044" t="s">
        <v>121</v>
      </c>
      <c r="G1044" t="s">
        <v>130</v>
      </c>
      <c r="H1044" t="s">
        <v>28</v>
      </c>
      <c r="I1044" t="s">
        <v>29</v>
      </c>
      <c r="J1044" t="s">
        <v>57</v>
      </c>
      <c r="K1044">
        <v>2</v>
      </c>
      <c r="L1044">
        <v>16807.18</v>
      </c>
      <c r="M1044">
        <v>0</v>
      </c>
      <c r="N1044">
        <v>33614.36</v>
      </c>
      <c r="O1044">
        <v>24402.21</v>
      </c>
      <c r="P1044">
        <v>9212.15</v>
      </c>
      <c r="Q1044" t="s">
        <v>46</v>
      </c>
      <c r="R1044">
        <v>0.27405400549051062</v>
      </c>
      <c r="S1044">
        <v>2024</v>
      </c>
      <c r="T1044" t="s">
        <v>1911</v>
      </c>
      <c r="U1044">
        <v>11</v>
      </c>
      <c r="V1044" t="s">
        <v>1803</v>
      </c>
    </row>
    <row r="1045" spans="1:22" x14ac:dyDescent="0.3">
      <c r="A1045" t="s">
        <v>1950</v>
      </c>
      <c r="B1045" s="1">
        <v>45606</v>
      </c>
      <c r="C1045" t="s">
        <v>1551</v>
      </c>
      <c r="D1045" t="s">
        <v>40</v>
      </c>
      <c r="E1045" t="s">
        <v>61</v>
      </c>
      <c r="F1045" t="s">
        <v>71</v>
      </c>
      <c r="G1045" t="s">
        <v>317</v>
      </c>
      <c r="H1045" t="s">
        <v>84</v>
      </c>
      <c r="I1045" t="s">
        <v>138</v>
      </c>
      <c r="J1045" t="s">
        <v>220</v>
      </c>
      <c r="K1045">
        <v>2</v>
      </c>
      <c r="L1045">
        <v>7542.78</v>
      </c>
      <c r="M1045">
        <v>0.15</v>
      </c>
      <c r="N1045">
        <v>12822.73</v>
      </c>
      <c r="O1045">
        <v>9913.25</v>
      </c>
      <c r="P1045">
        <v>2909.48</v>
      </c>
      <c r="Q1045" t="s">
        <v>67</v>
      </c>
      <c r="R1045">
        <v>0.22690019987943291</v>
      </c>
      <c r="S1045">
        <v>2024</v>
      </c>
      <c r="T1045" t="s">
        <v>1911</v>
      </c>
      <c r="U1045">
        <v>11</v>
      </c>
      <c r="V1045" t="s">
        <v>1803</v>
      </c>
    </row>
    <row r="1046" spans="1:22" x14ac:dyDescent="0.3">
      <c r="A1046" t="s">
        <v>1951</v>
      </c>
      <c r="B1046" s="1">
        <v>45606</v>
      </c>
      <c r="C1046" t="s">
        <v>315</v>
      </c>
      <c r="D1046" t="s">
        <v>1172</v>
      </c>
      <c r="E1046" t="s">
        <v>61</v>
      </c>
      <c r="F1046" t="s">
        <v>62</v>
      </c>
      <c r="G1046" t="s">
        <v>134</v>
      </c>
      <c r="H1046" t="s">
        <v>43</v>
      </c>
      <c r="I1046" t="s">
        <v>51</v>
      </c>
      <c r="J1046" t="s">
        <v>52</v>
      </c>
      <c r="K1046">
        <v>6</v>
      </c>
      <c r="L1046">
        <v>667.9</v>
      </c>
      <c r="M1046">
        <v>0.2</v>
      </c>
      <c r="N1046">
        <v>3205.92</v>
      </c>
      <c r="O1046">
        <v>1863.55</v>
      </c>
      <c r="P1046">
        <v>1342.37</v>
      </c>
      <c r="Q1046" t="s">
        <v>53</v>
      </c>
      <c r="R1046">
        <v>0.41871600039926132</v>
      </c>
      <c r="S1046">
        <v>2024</v>
      </c>
      <c r="T1046" t="s">
        <v>1911</v>
      </c>
      <c r="U1046">
        <v>11</v>
      </c>
      <c r="V1046" t="s">
        <v>1803</v>
      </c>
    </row>
    <row r="1047" spans="1:22" x14ac:dyDescent="0.3">
      <c r="A1047" t="s">
        <v>1952</v>
      </c>
      <c r="B1047" s="1">
        <v>45607</v>
      </c>
      <c r="C1047" t="s">
        <v>725</v>
      </c>
      <c r="D1047" t="s">
        <v>253</v>
      </c>
      <c r="E1047" t="s">
        <v>25</v>
      </c>
      <c r="F1047" t="s">
        <v>26</v>
      </c>
      <c r="G1047" t="s">
        <v>37</v>
      </c>
      <c r="H1047" t="s">
        <v>43</v>
      </c>
      <c r="I1047" t="s">
        <v>44</v>
      </c>
      <c r="J1047" t="s">
        <v>45</v>
      </c>
      <c r="K1047">
        <v>4</v>
      </c>
      <c r="L1047">
        <v>235.02</v>
      </c>
      <c r="M1047">
        <v>0.1</v>
      </c>
      <c r="N1047">
        <v>846.07</v>
      </c>
      <c r="O1047">
        <v>359.23</v>
      </c>
      <c r="P1047">
        <v>486.84</v>
      </c>
      <c r="Q1047" t="s">
        <v>31</v>
      </c>
      <c r="R1047">
        <v>0.57541338187147628</v>
      </c>
      <c r="S1047">
        <v>2024</v>
      </c>
      <c r="T1047" t="s">
        <v>1911</v>
      </c>
      <c r="U1047">
        <v>11</v>
      </c>
      <c r="V1047" t="s">
        <v>1803</v>
      </c>
    </row>
    <row r="1048" spans="1:22" x14ac:dyDescent="0.3">
      <c r="A1048" t="s">
        <v>1953</v>
      </c>
      <c r="B1048" s="1">
        <v>45607</v>
      </c>
      <c r="C1048" t="s">
        <v>956</v>
      </c>
      <c r="D1048" t="s">
        <v>582</v>
      </c>
      <c r="E1048" t="s">
        <v>61</v>
      </c>
      <c r="F1048" t="s">
        <v>71</v>
      </c>
      <c r="G1048" t="s">
        <v>201</v>
      </c>
      <c r="H1048" t="s">
        <v>84</v>
      </c>
      <c r="I1048" t="s">
        <v>138</v>
      </c>
      <c r="J1048" t="s">
        <v>139</v>
      </c>
      <c r="K1048">
        <v>3</v>
      </c>
      <c r="L1048">
        <v>12865.52</v>
      </c>
      <c r="M1048">
        <v>0.1</v>
      </c>
      <c r="N1048">
        <v>34736.9</v>
      </c>
      <c r="O1048">
        <v>27845.73</v>
      </c>
      <c r="P1048">
        <v>6891.17</v>
      </c>
      <c r="Q1048" t="s">
        <v>53</v>
      </c>
      <c r="R1048">
        <v>0.19838183603027329</v>
      </c>
      <c r="S1048">
        <v>2024</v>
      </c>
      <c r="T1048" t="s">
        <v>1911</v>
      </c>
      <c r="U1048">
        <v>11</v>
      </c>
      <c r="V1048" t="s">
        <v>1803</v>
      </c>
    </row>
    <row r="1049" spans="1:22" x14ac:dyDescent="0.3">
      <c r="A1049" t="s">
        <v>1954</v>
      </c>
      <c r="B1049" s="1">
        <v>45607</v>
      </c>
      <c r="C1049" t="s">
        <v>492</v>
      </c>
      <c r="D1049" t="s">
        <v>393</v>
      </c>
      <c r="E1049" t="s">
        <v>25</v>
      </c>
      <c r="F1049" t="s">
        <v>26</v>
      </c>
      <c r="G1049" t="s">
        <v>171</v>
      </c>
      <c r="H1049" t="s">
        <v>43</v>
      </c>
      <c r="I1049" t="s">
        <v>51</v>
      </c>
      <c r="J1049" t="s">
        <v>96</v>
      </c>
      <c r="K1049">
        <v>4</v>
      </c>
      <c r="L1049">
        <v>508.19</v>
      </c>
      <c r="M1049">
        <v>0.2</v>
      </c>
      <c r="N1049">
        <v>1626.21</v>
      </c>
      <c r="O1049">
        <v>896.61</v>
      </c>
      <c r="P1049">
        <v>729.6</v>
      </c>
      <c r="Q1049" t="s">
        <v>46</v>
      </c>
      <c r="R1049">
        <v>0.44865054328776732</v>
      </c>
      <c r="S1049">
        <v>2024</v>
      </c>
      <c r="T1049" t="s">
        <v>1911</v>
      </c>
      <c r="U1049">
        <v>11</v>
      </c>
      <c r="V1049" t="s">
        <v>1803</v>
      </c>
    </row>
    <row r="1050" spans="1:22" x14ac:dyDescent="0.3">
      <c r="A1050" t="s">
        <v>1955</v>
      </c>
      <c r="B1050" s="1">
        <v>45607</v>
      </c>
      <c r="C1050" t="s">
        <v>1848</v>
      </c>
      <c r="D1050" t="s">
        <v>571</v>
      </c>
      <c r="E1050" t="s">
        <v>61</v>
      </c>
      <c r="F1050" t="s">
        <v>78</v>
      </c>
      <c r="G1050" t="s">
        <v>104</v>
      </c>
      <c r="H1050" t="s">
        <v>84</v>
      </c>
      <c r="I1050" t="s">
        <v>85</v>
      </c>
      <c r="J1050" t="s">
        <v>86</v>
      </c>
      <c r="K1050">
        <v>5</v>
      </c>
      <c r="L1050">
        <v>1835.67</v>
      </c>
      <c r="M1050">
        <v>0.15</v>
      </c>
      <c r="N1050">
        <v>7801.6</v>
      </c>
      <c r="O1050">
        <v>5081.41</v>
      </c>
      <c r="P1050">
        <v>2720.19</v>
      </c>
      <c r="Q1050" t="s">
        <v>53</v>
      </c>
      <c r="R1050">
        <v>0.34867078547990149</v>
      </c>
      <c r="S1050">
        <v>2024</v>
      </c>
      <c r="T1050" t="s">
        <v>1911</v>
      </c>
      <c r="U1050">
        <v>11</v>
      </c>
      <c r="V1050" t="s">
        <v>1803</v>
      </c>
    </row>
    <row r="1051" spans="1:22" x14ac:dyDescent="0.3">
      <c r="A1051" t="s">
        <v>1956</v>
      </c>
      <c r="B1051" s="1">
        <v>45608</v>
      </c>
      <c r="C1051" t="s">
        <v>1135</v>
      </c>
      <c r="D1051" t="s">
        <v>451</v>
      </c>
      <c r="E1051" t="s">
        <v>61</v>
      </c>
      <c r="F1051" t="s">
        <v>62</v>
      </c>
      <c r="G1051" t="s">
        <v>134</v>
      </c>
      <c r="H1051" t="s">
        <v>28</v>
      </c>
      <c r="I1051" t="s">
        <v>73</v>
      </c>
      <c r="J1051" t="s">
        <v>80</v>
      </c>
      <c r="K1051">
        <v>1</v>
      </c>
      <c r="L1051">
        <v>802.9</v>
      </c>
      <c r="M1051">
        <v>0.05</v>
      </c>
      <c r="N1051">
        <v>762.75</v>
      </c>
      <c r="O1051">
        <v>483.1</v>
      </c>
      <c r="P1051">
        <v>279.64999999999998</v>
      </c>
      <c r="Q1051" t="s">
        <v>31</v>
      </c>
      <c r="R1051">
        <v>0.36663389052769579</v>
      </c>
      <c r="S1051">
        <v>2024</v>
      </c>
      <c r="T1051" t="s">
        <v>1911</v>
      </c>
      <c r="U1051">
        <v>11</v>
      </c>
      <c r="V1051" t="s">
        <v>1803</v>
      </c>
    </row>
    <row r="1052" spans="1:22" x14ac:dyDescent="0.3">
      <c r="A1052" t="s">
        <v>1957</v>
      </c>
      <c r="B1052" s="1">
        <v>45608</v>
      </c>
      <c r="C1052" t="s">
        <v>596</v>
      </c>
      <c r="D1052" t="s">
        <v>670</v>
      </c>
      <c r="E1052" t="s">
        <v>25</v>
      </c>
      <c r="F1052" t="s">
        <v>26</v>
      </c>
      <c r="G1052" t="s">
        <v>37</v>
      </c>
      <c r="H1052" t="s">
        <v>28</v>
      </c>
      <c r="I1052" t="s">
        <v>73</v>
      </c>
      <c r="J1052" t="s">
        <v>74</v>
      </c>
      <c r="K1052">
        <v>2</v>
      </c>
      <c r="L1052">
        <v>2360.37</v>
      </c>
      <c r="M1052">
        <v>0.1</v>
      </c>
      <c r="N1052">
        <v>4248.67</v>
      </c>
      <c r="O1052">
        <v>2510.61</v>
      </c>
      <c r="P1052">
        <v>1738.06</v>
      </c>
      <c r="Q1052" t="s">
        <v>31</v>
      </c>
      <c r="R1052">
        <v>0.40908331313093271</v>
      </c>
      <c r="S1052">
        <v>2024</v>
      </c>
      <c r="T1052" t="s">
        <v>1911</v>
      </c>
      <c r="U1052">
        <v>11</v>
      </c>
      <c r="V1052" t="s">
        <v>1803</v>
      </c>
    </row>
    <row r="1053" spans="1:22" x14ac:dyDescent="0.3">
      <c r="A1053" t="s">
        <v>1958</v>
      </c>
      <c r="B1053" s="1">
        <v>45609</v>
      </c>
      <c r="C1053" t="s">
        <v>389</v>
      </c>
      <c r="D1053" t="s">
        <v>1002</v>
      </c>
      <c r="E1053" t="s">
        <v>61</v>
      </c>
      <c r="F1053" t="s">
        <v>62</v>
      </c>
      <c r="G1053" t="s">
        <v>228</v>
      </c>
      <c r="H1053" t="s">
        <v>64</v>
      </c>
      <c r="I1053" t="s">
        <v>65</v>
      </c>
      <c r="J1053" t="s">
        <v>66</v>
      </c>
      <c r="K1053">
        <v>2</v>
      </c>
      <c r="L1053">
        <v>4950.38</v>
      </c>
      <c r="M1053">
        <v>0</v>
      </c>
      <c r="N1053">
        <v>9900.76</v>
      </c>
      <c r="O1053">
        <v>6039.75</v>
      </c>
      <c r="P1053">
        <v>3861.01</v>
      </c>
      <c r="Q1053" t="s">
        <v>31</v>
      </c>
      <c r="R1053">
        <v>0.38997107292773492</v>
      </c>
      <c r="S1053">
        <v>2024</v>
      </c>
      <c r="T1053" t="s">
        <v>1911</v>
      </c>
      <c r="U1053">
        <v>11</v>
      </c>
      <c r="V1053" t="s">
        <v>1803</v>
      </c>
    </row>
    <row r="1054" spans="1:22" x14ac:dyDescent="0.3">
      <c r="A1054" t="s">
        <v>1959</v>
      </c>
      <c r="B1054" s="1">
        <v>45609</v>
      </c>
      <c r="C1054" t="s">
        <v>1542</v>
      </c>
      <c r="D1054" t="s">
        <v>544</v>
      </c>
      <c r="E1054" t="s">
        <v>61</v>
      </c>
      <c r="F1054" t="s">
        <v>78</v>
      </c>
      <c r="G1054" t="s">
        <v>104</v>
      </c>
      <c r="H1054" t="s">
        <v>84</v>
      </c>
      <c r="I1054" t="s">
        <v>138</v>
      </c>
      <c r="J1054" t="s">
        <v>220</v>
      </c>
      <c r="K1054">
        <v>1</v>
      </c>
      <c r="L1054">
        <v>7527.36</v>
      </c>
      <c r="M1054">
        <v>0</v>
      </c>
      <c r="N1054">
        <v>7527.36</v>
      </c>
      <c r="O1054">
        <v>5033.92</v>
      </c>
      <c r="P1054">
        <v>2493.44</v>
      </c>
      <c r="Q1054" t="s">
        <v>53</v>
      </c>
      <c r="R1054">
        <v>0.33125026569740262</v>
      </c>
      <c r="S1054">
        <v>2024</v>
      </c>
      <c r="T1054" t="s">
        <v>1911</v>
      </c>
      <c r="U1054">
        <v>11</v>
      </c>
      <c r="V1054" t="s">
        <v>1803</v>
      </c>
    </row>
    <row r="1055" spans="1:22" x14ac:dyDescent="0.3">
      <c r="A1055" t="s">
        <v>1960</v>
      </c>
      <c r="B1055" s="1">
        <v>45609</v>
      </c>
      <c r="C1055" t="s">
        <v>1868</v>
      </c>
      <c r="D1055" t="s">
        <v>148</v>
      </c>
      <c r="E1055" t="s">
        <v>61</v>
      </c>
      <c r="F1055" t="s">
        <v>62</v>
      </c>
      <c r="G1055" t="s">
        <v>134</v>
      </c>
      <c r="H1055" t="s">
        <v>84</v>
      </c>
      <c r="I1055" t="s">
        <v>85</v>
      </c>
      <c r="J1055" t="s">
        <v>86</v>
      </c>
      <c r="K1055">
        <v>2</v>
      </c>
      <c r="L1055">
        <v>1823.76</v>
      </c>
      <c r="M1055">
        <v>0</v>
      </c>
      <c r="N1055">
        <v>3647.52</v>
      </c>
      <c r="O1055">
        <v>1937.48</v>
      </c>
      <c r="P1055">
        <v>1710.04</v>
      </c>
      <c r="Q1055" t="s">
        <v>31</v>
      </c>
      <c r="R1055">
        <v>0.46882265210334689</v>
      </c>
      <c r="S1055">
        <v>2024</v>
      </c>
      <c r="T1055" t="s">
        <v>1911</v>
      </c>
      <c r="U1055">
        <v>11</v>
      </c>
      <c r="V1055" t="s">
        <v>1803</v>
      </c>
    </row>
    <row r="1056" spans="1:22" x14ac:dyDescent="0.3">
      <c r="A1056" t="s">
        <v>1961</v>
      </c>
      <c r="B1056" s="1">
        <v>45609</v>
      </c>
      <c r="C1056" t="s">
        <v>643</v>
      </c>
      <c r="D1056" t="s">
        <v>822</v>
      </c>
      <c r="E1056" t="s">
        <v>25</v>
      </c>
      <c r="F1056" t="s">
        <v>26</v>
      </c>
      <c r="G1056" t="s">
        <v>171</v>
      </c>
      <c r="H1056" t="s">
        <v>43</v>
      </c>
      <c r="I1056" t="s">
        <v>44</v>
      </c>
      <c r="J1056" t="s">
        <v>248</v>
      </c>
      <c r="K1056">
        <v>1</v>
      </c>
      <c r="L1056">
        <v>286.83999999999997</v>
      </c>
      <c r="M1056">
        <v>0</v>
      </c>
      <c r="N1056">
        <v>286.83999999999997</v>
      </c>
      <c r="O1056">
        <v>118.57</v>
      </c>
      <c r="P1056">
        <v>168.27</v>
      </c>
      <c r="Q1056" t="s">
        <v>53</v>
      </c>
      <c r="R1056">
        <v>0.58663366336633671</v>
      </c>
      <c r="S1056">
        <v>2024</v>
      </c>
      <c r="T1056" t="s">
        <v>1911</v>
      </c>
      <c r="U1056">
        <v>11</v>
      </c>
      <c r="V1056" t="s">
        <v>1803</v>
      </c>
    </row>
    <row r="1057" spans="1:22" x14ac:dyDescent="0.3">
      <c r="A1057" t="s">
        <v>1962</v>
      </c>
      <c r="B1057" s="1">
        <v>45610</v>
      </c>
      <c r="C1057" t="s">
        <v>1104</v>
      </c>
      <c r="D1057" t="s">
        <v>1280</v>
      </c>
      <c r="E1057" t="s">
        <v>41</v>
      </c>
      <c r="F1057" t="s">
        <v>42</v>
      </c>
      <c r="G1057" t="s">
        <v>42</v>
      </c>
      <c r="H1057" t="s">
        <v>64</v>
      </c>
      <c r="I1057" t="s">
        <v>65</v>
      </c>
      <c r="J1057" t="s">
        <v>232</v>
      </c>
      <c r="K1057">
        <v>2</v>
      </c>
      <c r="L1057">
        <v>3805.17</v>
      </c>
      <c r="M1057">
        <v>0.05</v>
      </c>
      <c r="N1057">
        <v>7229.82</v>
      </c>
      <c r="O1057">
        <v>4704.82</v>
      </c>
      <c r="P1057">
        <v>2525</v>
      </c>
      <c r="Q1057" t="s">
        <v>53</v>
      </c>
      <c r="R1057">
        <v>0.34924797574490102</v>
      </c>
      <c r="S1057">
        <v>2024</v>
      </c>
      <c r="T1057" t="s">
        <v>1911</v>
      </c>
      <c r="U1057">
        <v>11</v>
      </c>
      <c r="V1057" t="s">
        <v>1803</v>
      </c>
    </row>
    <row r="1058" spans="1:22" x14ac:dyDescent="0.3">
      <c r="A1058" t="s">
        <v>1963</v>
      </c>
      <c r="B1058" s="1">
        <v>45610</v>
      </c>
      <c r="C1058" t="s">
        <v>1964</v>
      </c>
      <c r="D1058" t="s">
        <v>424</v>
      </c>
      <c r="E1058" t="s">
        <v>61</v>
      </c>
      <c r="F1058" t="s">
        <v>71</v>
      </c>
      <c r="G1058" t="s">
        <v>201</v>
      </c>
      <c r="H1058" t="s">
        <v>64</v>
      </c>
      <c r="I1058" t="s">
        <v>108</v>
      </c>
      <c r="J1058" t="s">
        <v>109</v>
      </c>
      <c r="K1058">
        <v>1</v>
      </c>
      <c r="L1058">
        <v>6920.55</v>
      </c>
      <c r="M1058">
        <v>0</v>
      </c>
      <c r="N1058">
        <v>6920.55</v>
      </c>
      <c r="O1058">
        <v>4482.0200000000004</v>
      </c>
      <c r="P1058">
        <v>2438.5300000000002</v>
      </c>
      <c r="Q1058" t="s">
        <v>53</v>
      </c>
      <c r="R1058">
        <v>0.35236072277492397</v>
      </c>
      <c r="S1058">
        <v>2024</v>
      </c>
      <c r="T1058" t="s">
        <v>1911</v>
      </c>
      <c r="U1058">
        <v>11</v>
      </c>
      <c r="V1058" t="s">
        <v>1803</v>
      </c>
    </row>
    <row r="1059" spans="1:22" x14ac:dyDescent="0.3">
      <c r="A1059" t="s">
        <v>1965</v>
      </c>
      <c r="B1059" s="1">
        <v>45610</v>
      </c>
      <c r="C1059" t="s">
        <v>1390</v>
      </c>
      <c r="D1059" t="s">
        <v>565</v>
      </c>
      <c r="E1059" t="s">
        <v>41</v>
      </c>
      <c r="F1059" t="s">
        <v>42</v>
      </c>
      <c r="G1059" t="s">
        <v>42</v>
      </c>
      <c r="H1059" t="s">
        <v>28</v>
      </c>
      <c r="I1059" t="s">
        <v>91</v>
      </c>
      <c r="J1059" t="s">
        <v>92</v>
      </c>
      <c r="K1059">
        <v>2</v>
      </c>
      <c r="L1059">
        <v>3105.69</v>
      </c>
      <c r="M1059">
        <v>0.15</v>
      </c>
      <c r="N1059">
        <v>5279.67</v>
      </c>
      <c r="O1059">
        <v>3345.39</v>
      </c>
      <c r="P1059">
        <v>1934.28</v>
      </c>
      <c r="Q1059" t="s">
        <v>53</v>
      </c>
      <c r="R1059">
        <v>0.3663638068288359</v>
      </c>
      <c r="S1059">
        <v>2024</v>
      </c>
      <c r="T1059" t="s">
        <v>1911</v>
      </c>
      <c r="U1059">
        <v>11</v>
      </c>
      <c r="V1059" t="s">
        <v>1803</v>
      </c>
    </row>
    <row r="1060" spans="1:22" x14ac:dyDescent="0.3">
      <c r="A1060" t="s">
        <v>1966</v>
      </c>
      <c r="B1060" s="1">
        <v>45610</v>
      </c>
      <c r="C1060" t="s">
        <v>330</v>
      </c>
      <c r="D1060" t="s">
        <v>780</v>
      </c>
      <c r="E1060" t="s">
        <v>61</v>
      </c>
      <c r="F1060" t="s">
        <v>71</v>
      </c>
      <c r="G1060" t="s">
        <v>100</v>
      </c>
      <c r="H1060" t="s">
        <v>84</v>
      </c>
      <c r="I1060" t="s">
        <v>85</v>
      </c>
      <c r="J1060" t="s">
        <v>145</v>
      </c>
      <c r="K1060">
        <v>2</v>
      </c>
      <c r="L1060">
        <v>3429.21</v>
      </c>
      <c r="M1060">
        <v>0.1</v>
      </c>
      <c r="N1060">
        <v>6172.58</v>
      </c>
      <c r="O1060">
        <v>3908.84</v>
      </c>
      <c r="P1060">
        <v>2263.7399999999998</v>
      </c>
      <c r="Q1060" t="s">
        <v>31</v>
      </c>
      <c r="R1060">
        <v>0.36674129780415959</v>
      </c>
      <c r="S1060">
        <v>2024</v>
      </c>
      <c r="T1060" t="s">
        <v>1911</v>
      </c>
      <c r="U1060">
        <v>11</v>
      </c>
      <c r="V1060" t="s">
        <v>1803</v>
      </c>
    </row>
    <row r="1061" spans="1:22" x14ac:dyDescent="0.3">
      <c r="A1061" t="s">
        <v>1967</v>
      </c>
      <c r="B1061" s="1">
        <v>45610</v>
      </c>
      <c r="C1061" t="s">
        <v>1143</v>
      </c>
      <c r="D1061" t="s">
        <v>1525</v>
      </c>
      <c r="E1061" t="s">
        <v>25</v>
      </c>
      <c r="F1061" t="s">
        <v>26</v>
      </c>
      <c r="G1061" t="s">
        <v>260</v>
      </c>
      <c r="H1061" t="s">
        <v>28</v>
      </c>
      <c r="I1061" t="s">
        <v>29</v>
      </c>
      <c r="J1061" t="s">
        <v>30</v>
      </c>
      <c r="K1061">
        <v>2</v>
      </c>
      <c r="L1061">
        <v>58659.72</v>
      </c>
      <c r="M1061">
        <v>0.1</v>
      </c>
      <c r="N1061">
        <v>105587.5</v>
      </c>
      <c r="O1061">
        <v>102737.49</v>
      </c>
      <c r="P1061">
        <v>2850.01</v>
      </c>
      <c r="Q1061" t="s">
        <v>31</v>
      </c>
      <c r="R1061">
        <v>2.6991926127619279E-2</v>
      </c>
      <c r="S1061">
        <v>2024</v>
      </c>
      <c r="T1061" t="s">
        <v>1911</v>
      </c>
      <c r="U1061">
        <v>11</v>
      </c>
      <c r="V1061" t="s">
        <v>1803</v>
      </c>
    </row>
    <row r="1062" spans="1:22" x14ac:dyDescent="0.3">
      <c r="A1062" t="s">
        <v>1968</v>
      </c>
      <c r="B1062" s="1">
        <v>45610</v>
      </c>
      <c r="C1062" t="s">
        <v>1969</v>
      </c>
      <c r="D1062" t="s">
        <v>24</v>
      </c>
      <c r="E1062" t="s">
        <v>61</v>
      </c>
      <c r="F1062" t="s">
        <v>71</v>
      </c>
      <c r="G1062" t="s">
        <v>317</v>
      </c>
      <c r="H1062" t="s">
        <v>84</v>
      </c>
      <c r="I1062" t="s">
        <v>138</v>
      </c>
      <c r="J1062" t="s">
        <v>220</v>
      </c>
      <c r="K1062">
        <v>4</v>
      </c>
      <c r="L1062">
        <v>7499.92</v>
      </c>
      <c r="M1062">
        <v>0</v>
      </c>
      <c r="N1062">
        <v>29999.68</v>
      </c>
      <c r="O1062">
        <v>19007.37</v>
      </c>
      <c r="P1062">
        <v>10992.31</v>
      </c>
      <c r="Q1062" t="s">
        <v>53</v>
      </c>
      <c r="R1062">
        <v>0.36641424175191201</v>
      </c>
      <c r="S1062">
        <v>2024</v>
      </c>
      <c r="T1062" t="s">
        <v>1911</v>
      </c>
      <c r="U1062">
        <v>11</v>
      </c>
      <c r="V1062" t="s">
        <v>1803</v>
      </c>
    </row>
    <row r="1063" spans="1:22" x14ac:dyDescent="0.3">
      <c r="A1063" t="s">
        <v>1970</v>
      </c>
      <c r="B1063" s="1">
        <v>45611</v>
      </c>
      <c r="C1063" t="s">
        <v>35</v>
      </c>
      <c r="D1063" t="s">
        <v>371</v>
      </c>
      <c r="E1063" t="s">
        <v>120</v>
      </c>
      <c r="F1063" t="s">
        <v>121</v>
      </c>
      <c r="G1063" t="s">
        <v>122</v>
      </c>
      <c r="H1063" t="s">
        <v>28</v>
      </c>
      <c r="I1063" t="s">
        <v>29</v>
      </c>
      <c r="J1063" t="s">
        <v>30</v>
      </c>
      <c r="K1063">
        <v>6</v>
      </c>
      <c r="L1063">
        <v>60205.919999999998</v>
      </c>
      <c r="M1063">
        <v>0.05</v>
      </c>
      <c r="N1063">
        <v>343173.74</v>
      </c>
      <c r="O1063">
        <v>329040.36</v>
      </c>
      <c r="P1063">
        <v>14133.38</v>
      </c>
      <c r="Q1063" t="s">
        <v>53</v>
      </c>
      <c r="R1063">
        <v>4.1184328381303301E-2</v>
      </c>
      <c r="S1063">
        <v>2024</v>
      </c>
      <c r="T1063" t="s">
        <v>1911</v>
      </c>
      <c r="U1063">
        <v>11</v>
      </c>
      <c r="V1063" t="s">
        <v>1803</v>
      </c>
    </row>
    <row r="1064" spans="1:22" x14ac:dyDescent="0.3">
      <c r="A1064" t="s">
        <v>1971</v>
      </c>
      <c r="B1064" s="1">
        <v>45611</v>
      </c>
      <c r="C1064" t="s">
        <v>1065</v>
      </c>
      <c r="D1064" t="s">
        <v>1449</v>
      </c>
      <c r="E1064" t="s">
        <v>61</v>
      </c>
      <c r="F1064" t="s">
        <v>71</v>
      </c>
      <c r="G1064" t="s">
        <v>317</v>
      </c>
      <c r="H1064" t="s">
        <v>28</v>
      </c>
      <c r="I1064" t="s">
        <v>29</v>
      </c>
      <c r="J1064" t="s">
        <v>57</v>
      </c>
      <c r="K1064">
        <v>2</v>
      </c>
      <c r="L1064">
        <v>15115.74</v>
      </c>
      <c r="M1064">
        <v>0.1</v>
      </c>
      <c r="N1064">
        <v>27208.33</v>
      </c>
      <c r="O1064">
        <v>23208.76</v>
      </c>
      <c r="P1064">
        <v>3999.57</v>
      </c>
      <c r="Q1064" t="s">
        <v>46</v>
      </c>
      <c r="R1064">
        <v>0.14699799656943299</v>
      </c>
      <c r="S1064">
        <v>2024</v>
      </c>
      <c r="T1064" t="s">
        <v>1911</v>
      </c>
      <c r="U1064">
        <v>11</v>
      </c>
      <c r="V1064" t="s">
        <v>1803</v>
      </c>
    </row>
    <row r="1065" spans="1:22" x14ac:dyDescent="0.3">
      <c r="A1065" t="s">
        <v>1972</v>
      </c>
      <c r="B1065" s="1">
        <v>45611</v>
      </c>
      <c r="C1065" t="s">
        <v>620</v>
      </c>
      <c r="D1065" t="s">
        <v>474</v>
      </c>
      <c r="E1065" t="s">
        <v>25</v>
      </c>
      <c r="F1065" t="s">
        <v>26</v>
      </c>
      <c r="G1065" t="s">
        <v>37</v>
      </c>
      <c r="H1065" t="s">
        <v>64</v>
      </c>
      <c r="I1065" t="s">
        <v>108</v>
      </c>
      <c r="J1065" t="s">
        <v>155</v>
      </c>
      <c r="K1065">
        <v>1</v>
      </c>
      <c r="L1065">
        <v>8859.43</v>
      </c>
      <c r="M1065">
        <v>0.05</v>
      </c>
      <c r="N1065">
        <v>8416.4599999999991</v>
      </c>
      <c r="O1065">
        <v>5896.18</v>
      </c>
      <c r="P1065">
        <v>2520.2800000000002</v>
      </c>
      <c r="Q1065" t="s">
        <v>31</v>
      </c>
      <c r="R1065">
        <v>0.29944656066802439</v>
      </c>
      <c r="S1065">
        <v>2024</v>
      </c>
      <c r="T1065" t="s">
        <v>1911</v>
      </c>
      <c r="U1065">
        <v>11</v>
      </c>
      <c r="V1065" t="s">
        <v>1803</v>
      </c>
    </row>
    <row r="1066" spans="1:22" x14ac:dyDescent="0.3">
      <c r="A1066" t="s">
        <v>1973</v>
      </c>
      <c r="B1066" s="1">
        <v>45612</v>
      </c>
      <c r="C1066" t="s">
        <v>881</v>
      </c>
      <c r="D1066" t="s">
        <v>1289</v>
      </c>
      <c r="E1066" t="s">
        <v>41</v>
      </c>
      <c r="F1066" t="s">
        <v>42</v>
      </c>
      <c r="G1066" t="s">
        <v>42</v>
      </c>
      <c r="H1066" t="s">
        <v>64</v>
      </c>
      <c r="I1066" t="s">
        <v>65</v>
      </c>
      <c r="J1066" t="s">
        <v>66</v>
      </c>
      <c r="K1066">
        <v>1</v>
      </c>
      <c r="L1066">
        <v>4733.12</v>
      </c>
      <c r="M1066">
        <v>0.15</v>
      </c>
      <c r="N1066">
        <v>4023.15</v>
      </c>
      <c r="O1066">
        <v>2863.93</v>
      </c>
      <c r="P1066">
        <v>1159.22</v>
      </c>
      <c r="Q1066" t="s">
        <v>31</v>
      </c>
      <c r="R1066">
        <v>0.28813740476989419</v>
      </c>
      <c r="S1066">
        <v>2024</v>
      </c>
      <c r="T1066" t="s">
        <v>1911</v>
      </c>
      <c r="U1066">
        <v>11</v>
      </c>
      <c r="V1066" t="s">
        <v>1803</v>
      </c>
    </row>
    <row r="1067" spans="1:22" x14ac:dyDescent="0.3">
      <c r="A1067" t="s">
        <v>1974</v>
      </c>
      <c r="B1067" s="1">
        <v>45612</v>
      </c>
      <c r="C1067" t="s">
        <v>646</v>
      </c>
      <c r="D1067" t="s">
        <v>527</v>
      </c>
      <c r="E1067" t="s">
        <v>61</v>
      </c>
      <c r="F1067" t="s">
        <v>62</v>
      </c>
      <c r="G1067" t="s">
        <v>63</v>
      </c>
      <c r="H1067" t="s">
        <v>43</v>
      </c>
      <c r="I1067" t="s">
        <v>51</v>
      </c>
      <c r="J1067" t="s">
        <v>52</v>
      </c>
      <c r="K1067">
        <v>3</v>
      </c>
      <c r="L1067">
        <v>684.86</v>
      </c>
      <c r="M1067">
        <v>0.1</v>
      </c>
      <c r="N1067">
        <v>1849.12</v>
      </c>
      <c r="O1067">
        <v>976.96</v>
      </c>
      <c r="P1067">
        <v>872.16</v>
      </c>
      <c r="Q1067" t="s">
        <v>31</v>
      </c>
      <c r="R1067">
        <v>0.47166219607164489</v>
      </c>
      <c r="S1067">
        <v>2024</v>
      </c>
      <c r="T1067" t="s">
        <v>1911</v>
      </c>
      <c r="U1067">
        <v>11</v>
      </c>
      <c r="V1067" t="s">
        <v>1803</v>
      </c>
    </row>
    <row r="1068" spans="1:22" x14ac:dyDescent="0.3">
      <c r="A1068" t="s">
        <v>1975</v>
      </c>
      <c r="B1068" s="1">
        <v>45612</v>
      </c>
      <c r="C1068" t="s">
        <v>1342</v>
      </c>
      <c r="D1068" t="s">
        <v>813</v>
      </c>
      <c r="E1068" t="s">
        <v>120</v>
      </c>
      <c r="F1068" t="s">
        <v>121</v>
      </c>
      <c r="G1068" t="s">
        <v>122</v>
      </c>
      <c r="H1068" t="s">
        <v>43</v>
      </c>
      <c r="I1068" t="s">
        <v>51</v>
      </c>
      <c r="J1068" t="s">
        <v>96</v>
      </c>
      <c r="K1068">
        <v>4</v>
      </c>
      <c r="L1068">
        <v>514.30999999999995</v>
      </c>
      <c r="M1068">
        <v>0.15</v>
      </c>
      <c r="N1068">
        <v>1748.65</v>
      </c>
      <c r="O1068">
        <v>961.02</v>
      </c>
      <c r="P1068">
        <v>787.63</v>
      </c>
      <c r="Q1068" t="s">
        <v>31</v>
      </c>
      <c r="R1068">
        <v>0.45042175392445599</v>
      </c>
      <c r="S1068">
        <v>2024</v>
      </c>
      <c r="T1068" t="s">
        <v>1911</v>
      </c>
      <c r="U1068">
        <v>11</v>
      </c>
      <c r="V1068" t="s">
        <v>1803</v>
      </c>
    </row>
    <row r="1069" spans="1:22" x14ac:dyDescent="0.3">
      <c r="A1069" t="s">
        <v>1976</v>
      </c>
      <c r="B1069" s="1">
        <v>45612</v>
      </c>
      <c r="C1069" t="s">
        <v>193</v>
      </c>
      <c r="D1069" t="s">
        <v>599</v>
      </c>
      <c r="E1069" t="s">
        <v>61</v>
      </c>
      <c r="F1069" t="s">
        <v>78</v>
      </c>
      <c r="G1069" t="s">
        <v>104</v>
      </c>
      <c r="H1069" t="s">
        <v>43</v>
      </c>
      <c r="I1069" t="s">
        <v>44</v>
      </c>
      <c r="J1069" t="s">
        <v>45</v>
      </c>
      <c r="K1069">
        <v>4</v>
      </c>
      <c r="L1069">
        <v>236.87</v>
      </c>
      <c r="M1069">
        <v>0.1</v>
      </c>
      <c r="N1069">
        <v>852.73</v>
      </c>
      <c r="O1069">
        <v>373.74</v>
      </c>
      <c r="P1069">
        <v>478.99</v>
      </c>
      <c r="Q1069" t="s">
        <v>31</v>
      </c>
      <c r="R1069">
        <v>0.56171355528713662</v>
      </c>
      <c r="S1069">
        <v>2024</v>
      </c>
      <c r="T1069" t="s">
        <v>1911</v>
      </c>
      <c r="U1069">
        <v>11</v>
      </c>
      <c r="V1069" t="s">
        <v>1803</v>
      </c>
    </row>
    <row r="1070" spans="1:22" x14ac:dyDescent="0.3">
      <c r="A1070" t="s">
        <v>1977</v>
      </c>
      <c r="B1070" s="1">
        <v>45613</v>
      </c>
      <c r="C1070" t="s">
        <v>1131</v>
      </c>
      <c r="D1070" t="s">
        <v>1096</v>
      </c>
      <c r="E1070" t="s">
        <v>61</v>
      </c>
      <c r="F1070" t="s">
        <v>62</v>
      </c>
      <c r="G1070" t="s">
        <v>228</v>
      </c>
      <c r="H1070" t="s">
        <v>84</v>
      </c>
      <c r="I1070" t="s">
        <v>138</v>
      </c>
      <c r="J1070" t="s">
        <v>220</v>
      </c>
      <c r="K1070">
        <v>6</v>
      </c>
      <c r="L1070">
        <v>7864.45</v>
      </c>
      <c r="M1070">
        <v>0.2</v>
      </c>
      <c r="N1070">
        <v>37749.360000000001</v>
      </c>
      <c r="O1070">
        <v>31403.66</v>
      </c>
      <c r="P1070">
        <v>6345.7</v>
      </c>
      <c r="Q1070" t="s">
        <v>53</v>
      </c>
      <c r="R1070">
        <v>0.16810086316695169</v>
      </c>
      <c r="S1070">
        <v>2024</v>
      </c>
      <c r="T1070" t="s">
        <v>1911</v>
      </c>
      <c r="U1070">
        <v>11</v>
      </c>
      <c r="V1070" t="s">
        <v>1803</v>
      </c>
    </row>
    <row r="1071" spans="1:22" x14ac:dyDescent="0.3">
      <c r="A1071" t="s">
        <v>1978</v>
      </c>
      <c r="B1071" s="1">
        <v>45613</v>
      </c>
      <c r="C1071" t="s">
        <v>1143</v>
      </c>
      <c r="D1071" t="s">
        <v>70</v>
      </c>
      <c r="E1071" t="s">
        <v>25</v>
      </c>
      <c r="F1071" t="s">
        <v>26</v>
      </c>
      <c r="G1071" t="s">
        <v>27</v>
      </c>
      <c r="H1071" t="s">
        <v>28</v>
      </c>
      <c r="I1071" t="s">
        <v>73</v>
      </c>
      <c r="J1071" t="s">
        <v>80</v>
      </c>
      <c r="K1071">
        <v>3</v>
      </c>
      <c r="L1071">
        <v>837.48</v>
      </c>
      <c r="M1071">
        <v>0.05</v>
      </c>
      <c r="N1071">
        <v>2386.8200000000002</v>
      </c>
      <c r="O1071">
        <v>1599.9</v>
      </c>
      <c r="P1071">
        <v>786.92</v>
      </c>
      <c r="Q1071" t="s">
        <v>31</v>
      </c>
      <c r="R1071">
        <v>0.32969390234705592</v>
      </c>
      <c r="S1071">
        <v>2024</v>
      </c>
      <c r="T1071" t="s">
        <v>1911</v>
      </c>
      <c r="U1071">
        <v>11</v>
      </c>
      <c r="V1071" t="s">
        <v>1803</v>
      </c>
    </row>
    <row r="1072" spans="1:22" x14ac:dyDescent="0.3">
      <c r="A1072" t="s">
        <v>1979</v>
      </c>
      <c r="B1072" s="1">
        <v>45613</v>
      </c>
      <c r="C1072" t="s">
        <v>453</v>
      </c>
      <c r="D1072" t="s">
        <v>532</v>
      </c>
      <c r="E1072" t="s">
        <v>120</v>
      </c>
      <c r="F1072" t="s">
        <v>121</v>
      </c>
      <c r="G1072" t="s">
        <v>224</v>
      </c>
      <c r="H1072" t="s">
        <v>28</v>
      </c>
      <c r="I1072" t="s">
        <v>29</v>
      </c>
      <c r="J1072" t="s">
        <v>30</v>
      </c>
      <c r="K1072">
        <v>2</v>
      </c>
      <c r="L1072">
        <v>58313.83</v>
      </c>
      <c r="M1072">
        <v>0.05</v>
      </c>
      <c r="N1072">
        <v>110796.28</v>
      </c>
      <c r="O1072">
        <v>99044.47</v>
      </c>
      <c r="P1072">
        <v>11751.81</v>
      </c>
      <c r="Q1072" t="s">
        <v>46</v>
      </c>
      <c r="R1072">
        <v>0.1060668282364715</v>
      </c>
      <c r="S1072">
        <v>2024</v>
      </c>
      <c r="T1072" t="s">
        <v>1911</v>
      </c>
      <c r="U1072">
        <v>11</v>
      </c>
      <c r="V1072" t="s">
        <v>1803</v>
      </c>
    </row>
    <row r="1073" spans="1:22" x14ac:dyDescent="0.3">
      <c r="A1073" t="s">
        <v>1980</v>
      </c>
      <c r="B1073" s="1">
        <v>45613</v>
      </c>
      <c r="C1073" t="s">
        <v>1577</v>
      </c>
      <c r="D1073" t="s">
        <v>430</v>
      </c>
      <c r="E1073" t="s">
        <v>41</v>
      </c>
      <c r="F1073" t="s">
        <v>42</v>
      </c>
      <c r="G1073" t="s">
        <v>50</v>
      </c>
      <c r="H1073" t="s">
        <v>64</v>
      </c>
      <c r="I1073" t="s">
        <v>65</v>
      </c>
      <c r="J1073" t="s">
        <v>66</v>
      </c>
      <c r="K1073">
        <v>1</v>
      </c>
      <c r="L1073">
        <v>5099.47</v>
      </c>
      <c r="M1073">
        <v>0</v>
      </c>
      <c r="N1073">
        <v>5099.47</v>
      </c>
      <c r="O1073">
        <v>3149.38</v>
      </c>
      <c r="P1073">
        <v>1950.09</v>
      </c>
      <c r="Q1073" t="s">
        <v>31</v>
      </c>
      <c r="R1073">
        <v>0.38241032891653443</v>
      </c>
      <c r="S1073">
        <v>2024</v>
      </c>
      <c r="T1073" t="s">
        <v>1911</v>
      </c>
      <c r="U1073">
        <v>11</v>
      </c>
      <c r="V1073" t="s">
        <v>1803</v>
      </c>
    </row>
    <row r="1074" spans="1:22" x14ac:dyDescent="0.3">
      <c r="A1074" t="s">
        <v>1981</v>
      </c>
      <c r="B1074" s="1">
        <v>45613</v>
      </c>
      <c r="C1074" t="s">
        <v>612</v>
      </c>
      <c r="D1074" t="s">
        <v>935</v>
      </c>
      <c r="E1074" t="s">
        <v>61</v>
      </c>
      <c r="F1074" t="s">
        <v>62</v>
      </c>
      <c r="G1074" t="s">
        <v>228</v>
      </c>
      <c r="H1074" t="s">
        <v>64</v>
      </c>
      <c r="I1074" t="s">
        <v>108</v>
      </c>
      <c r="J1074" t="s">
        <v>155</v>
      </c>
      <c r="K1074">
        <v>2</v>
      </c>
      <c r="L1074">
        <v>8520.81</v>
      </c>
      <c r="M1074">
        <v>0.05</v>
      </c>
      <c r="N1074">
        <v>16189.54</v>
      </c>
      <c r="O1074">
        <v>11569.89</v>
      </c>
      <c r="P1074">
        <v>4619.6499999999996</v>
      </c>
      <c r="Q1074" t="s">
        <v>67</v>
      </c>
      <c r="R1074">
        <v>0.28534782334766767</v>
      </c>
      <c r="S1074">
        <v>2024</v>
      </c>
      <c r="T1074" t="s">
        <v>1911</v>
      </c>
      <c r="U1074">
        <v>11</v>
      </c>
      <c r="V1074" t="s">
        <v>1803</v>
      </c>
    </row>
    <row r="1075" spans="1:22" x14ac:dyDescent="0.3">
      <c r="A1075" t="s">
        <v>1982</v>
      </c>
      <c r="B1075" s="1">
        <v>45614</v>
      </c>
      <c r="C1075" t="s">
        <v>1182</v>
      </c>
      <c r="D1075" t="s">
        <v>735</v>
      </c>
      <c r="E1075" t="s">
        <v>120</v>
      </c>
      <c r="F1075" t="s">
        <v>121</v>
      </c>
      <c r="G1075" t="s">
        <v>130</v>
      </c>
      <c r="H1075" t="s">
        <v>28</v>
      </c>
      <c r="I1075" t="s">
        <v>73</v>
      </c>
      <c r="J1075" t="s">
        <v>74</v>
      </c>
      <c r="K1075">
        <v>1</v>
      </c>
      <c r="L1075">
        <v>2506.54</v>
      </c>
      <c r="M1075">
        <v>0.15</v>
      </c>
      <c r="N1075">
        <v>2130.56</v>
      </c>
      <c r="O1075">
        <v>1425.26</v>
      </c>
      <c r="P1075">
        <v>705.3</v>
      </c>
      <c r="Q1075" t="s">
        <v>67</v>
      </c>
      <c r="R1075">
        <v>0.33103972664463799</v>
      </c>
      <c r="S1075">
        <v>2024</v>
      </c>
      <c r="T1075" t="s">
        <v>1911</v>
      </c>
      <c r="U1075">
        <v>11</v>
      </c>
      <c r="V1075" t="s">
        <v>1803</v>
      </c>
    </row>
    <row r="1076" spans="1:22" x14ac:dyDescent="0.3">
      <c r="A1076" t="s">
        <v>1983</v>
      </c>
      <c r="B1076" s="1">
        <v>45614</v>
      </c>
      <c r="C1076" t="s">
        <v>1152</v>
      </c>
      <c r="D1076" t="s">
        <v>510</v>
      </c>
      <c r="E1076" t="s">
        <v>61</v>
      </c>
      <c r="F1076" t="s">
        <v>78</v>
      </c>
      <c r="G1076" t="s">
        <v>79</v>
      </c>
      <c r="H1076" t="s">
        <v>43</v>
      </c>
      <c r="I1076" t="s">
        <v>44</v>
      </c>
      <c r="J1076" t="s">
        <v>45</v>
      </c>
      <c r="K1076">
        <v>1</v>
      </c>
      <c r="L1076">
        <v>248.01</v>
      </c>
      <c r="M1076">
        <v>0.15</v>
      </c>
      <c r="N1076">
        <v>210.81</v>
      </c>
      <c r="O1076">
        <v>92.92</v>
      </c>
      <c r="P1076">
        <v>117.89</v>
      </c>
      <c r="Q1076" t="s">
        <v>46</v>
      </c>
      <c r="R1076">
        <v>0.55922394573312462</v>
      </c>
      <c r="S1076">
        <v>2024</v>
      </c>
      <c r="T1076" t="s">
        <v>1911</v>
      </c>
      <c r="U1076">
        <v>11</v>
      </c>
      <c r="V1076" t="s">
        <v>1803</v>
      </c>
    </row>
    <row r="1077" spans="1:22" x14ac:dyDescent="0.3">
      <c r="A1077" t="s">
        <v>1984</v>
      </c>
      <c r="B1077" s="1">
        <v>45614</v>
      </c>
      <c r="C1077" t="s">
        <v>1985</v>
      </c>
      <c r="D1077" t="s">
        <v>1525</v>
      </c>
      <c r="E1077" t="s">
        <v>61</v>
      </c>
      <c r="F1077" t="s">
        <v>62</v>
      </c>
      <c r="G1077" t="s">
        <v>90</v>
      </c>
      <c r="H1077" t="s">
        <v>64</v>
      </c>
      <c r="I1077" t="s">
        <v>108</v>
      </c>
      <c r="J1077" t="s">
        <v>109</v>
      </c>
      <c r="K1077">
        <v>4</v>
      </c>
      <c r="L1077">
        <v>7002.18</v>
      </c>
      <c r="M1077">
        <v>0.05</v>
      </c>
      <c r="N1077">
        <v>26608.28</v>
      </c>
      <c r="O1077">
        <v>17239.5</v>
      </c>
      <c r="P1077">
        <v>9368.7800000000007</v>
      </c>
      <c r="Q1077" t="s">
        <v>53</v>
      </c>
      <c r="R1077">
        <v>0.352100173329505</v>
      </c>
      <c r="S1077">
        <v>2024</v>
      </c>
      <c r="T1077" t="s">
        <v>1911</v>
      </c>
      <c r="U1077">
        <v>11</v>
      </c>
      <c r="V1077" t="s">
        <v>1803</v>
      </c>
    </row>
    <row r="1078" spans="1:22" x14ac:dyDescent="0.3">
      <c r="A1078" t="s">
        <v>1986</v>
      </c>
      <c r="B1078" s="1">
        <v>45614</v>
      </c>
      <c r="C1078" t="s">
        <v>1725</v>
      </c>
      <c r="D1078" t="s">
        <v>1503</v>
      </c>
      <c r="E1078" t="s">
        <v>41</v>
      </c>
      <c r="F1078" t="s">
        <v>42</v>
      </c>
      <c r="G1078" t="s">
        <v>50</v>
      </c>
      <c r="H1078" t="s">
        <v>43</v>
      </c>
      <c r="I1078" t="s">
        <v>44</v>
      </c>
      <c r="J1078" t="s">
        <v>248</v>
      </c>
      <c r="K1078">
        <v>1</v>
      </c>
      <c r="L1078">
        <v>282.31</v>
      </c>
      <c r="M1078">
        <v>0.05</v>
      </c>
      <c r="N1078">
        <v>268.19</v>
      </c>
      <c r="O1078">
        <v>115.43</v>
      </c>
      <c r="P1078">
        <v>152.76</v>
      </c>
      <c r="Q1078" t="s">
        <v>46</v>
      </c>
      <c r="R1078">
        <v>0.56959618181140237</v>
      </c>
      <c r="S1078">
        <v>2024</v>
      </c>
      <c r="T1078" t="s">
        <v>1911</v>
      </c>
      <c r="U1078">
        <v>11</v>
      </c>
      <c r="V1078" t="s">
        <v>1803</v>
      </c>
    </row>
    <row r="1079" spans="1:22" x14ac:dyDescent="0.3">
      <c r="A1079" t="s">
        <v>1987</v>
      </c>
      <c r="B1079" s="1">
        <v>45615</v>
      </c>
      <c r="C1079" t="s">
        <v>1100</v>
      </c>
      <c r="D1079" t="s">
        <v>1988</v>
      </c>
      <c r="E1079" t="s">
        <v>25</v>
      </c>
      <c r="F1079" t="s">
        <v>26</v>
      </c>
      <c r="G1079" t="s">
        <v>260</v>
      </c>
      <c r="H1079" t="s">
        <v>28</v>
      </c>
      <c r="I1079" t="s">
        <v>73</v>
      </c>
      <c r="J1079" t="s">
        <v>74</v>
      </c>
      <c r="K1079">
        <v>1</v>
      </c>
      <c r="L1079">
        <v>2446.0100000000002</v>
      </c>
      <c r="M1079">
        <v>0.15</v>
      </c>
      <c r="N1079">
        <v>2079.11</v>
      </c>
      <c r="O1079">
        <v>1342.16</v>
      </c>
      <c r="P1079">
        <v>736.95</v>
      </c>
      <c r="Q1079" t="s">
        <v>31</v>
      </c>
      <c r="R1079">
        <v>0.35445455026429579</v>
      </c>
      <c r="S1079">
        <v>2024</v>
      </c>
      <c r="T1079" t="s">
        <v>1911</v>
      </c>
      <c r="U1079">
        <v>11</v>
      </c>
      <c r="V1079" t="s">
        <v>1803</v>
      </c>
    </row>
    <row r="1080" spans="1:22" x14ac:dyDescent="0.3">
      <c r="A1080" t="s">
        <v>1989</v>
      </c>
      <c r="B1080" s="1">
        <v>45615</v>
      </c>
      <c r="C1080" t="s">
        <v>985</v>
      </c>
      <c r="D1080" t="s">
        <v>1415</v>
      </c>
      <c r="E1080" t="s">
        <v>61</v>
      </c>
      <c r="F1080" t="s">
        <v>62</v>
      </c>
      <c r="G1080" t="s">
        <v>63</v>
      </c>
      <c r="H1080" t="s">
        <v>84</v>
      </c>
      <c r="I1080" t="s">
        <v>85</v>
      </c>
      <c r="J1080" t="s">
        <v>145</v>
      </c>
      <c r="K1080">
        <v>1</v>
      </c>
      <c r="L1080">
        <v>3249.09</v>
      </c>
      <c r="M1080">
        <v>0.15</v>
      </c>
      <c r="N1080">
        <v>2761.73</v>
      </c>
      <c r="O1080">
        <v>1843.99</v>
      </c>
      <c r="P1080">
        <v>917.74</v>
      </c>
      <c r="Q1080" t="s">
        <v>46</v>
      </c>
      <c r="R1080">
        <v>0.33230619937502942</v>
      </c>
      <c r="S1080">
        <v>2024</v>
      </c>
      <c r="T1080" t="s">
        <v>1911</v>
      </c>
      <c r="U1080">
        <v>11</v>
      </c>
      <c r="V1080" t="s">
        <v>1803</v>
      </c>
    </row>
    <row r="1081" spans="1:22" x14ac:dyDescent="0.3">
      <c r="A1081" t="s">
        <v>1990</v>
      </c>
      <c r="B1081" s="1">
        <v>45615</v>
      </c>
      <c r="C1081" t="s">
        <v>1518</v>
      </c>
      <c r="D1081" t="s">
        <v>1289</v>
      </c>
      <c r="E1081" t="s">
        <v>120</v>
      </c>
      <c r="F1081" t="s">
        <v>121</v>
      </c>
      <c r="G1081" t="s">
        <v>224</v>
      </c>
      <c r="H1081" t="s">
        <v>84</v>
      </c>
      <c r="I1081" t="s">
        <v>85</v>
      </c>
      <c r="J1081" t="s">
        <v>145</v>
      </c>
      <c r="K1081">
        <v>1</v>
      </c>
      <c r="L1081">
        <v>3167.04</v>
      </c>
      <c r="M1081">
        <v>0.1</v>
      </c>
      <c r="N1081">
        <v>2850.34</v>
      </c>
      <c r="O1081">
        <v>1787.27</v>
      </c>
      <c r="P1081">
        <v>1063.07</v>
      </c>
      <c r="Q1081" t="s">
        <v>46</v>
      </c>
      <c r="R1081">
        <v>0.37296252376909422</v>
      </c>
      <c r="S1081">
        <v>2024</v>
      </c>
      <c r="T1081" t="s">
        <v>1911</v>
      </c>
      <c r="U1081">
        <v>11</v>
      </c>
      <c r="V1081" t="s">
        <v>1803</v>
      </c>
    </row>
    <row r="1082" spans="1:22" x14ac:dyDescent="0.3">
      <c r="A1082" t="s">
        <v>1991</v>
      </c>
      <c r="B1082" s="1">
        <v>45616</v>
      </c>
      <c r="C1082" t="s">
        <v>1488</v>
      </c>
      <c r="D1082" t="s">
        <v>298</v>
      </c>
      <c r="E1082" t="s">
        <v>25</v>
      </c>
      <c r="F1082" t="s">
        <v>26</v>
      </c>
      <c r="G1082" t="s">
        <v>260</v>
      </c>
      <c r="H1082" t="s">
        <v>43</v>
      </c>
      <c r="I1082" t="s">
        <v>51</v>
      </c>
      <c r="J1082" t="s">
        <v>52</v>
      </c>
      <c r="K1082">
        <v>5</v>
      </c>
      <c r="L1082">
        <v>730.64</v>
      </c>
      <c r="M1082">
        <v>0.15</v>
      </c>
      <c r="N1082">
        <v>3105.22</v>
      </c>
      <c r="O1082">
        <v>1719.69</v>
      </c>
      <c r="P1082">
        <v>1385.53</v>
      </c>
      <c r="Q1082" t="s">
        <v>31</v>
      </c>
      <c r="R1082">
        <v>0.44619382845659888</v>
      </c>
      <c r="S1082">
        <v>2024</v>
      </c>
      <c r="T1082" t="s">
        <v>1911</v>
      </c>
      <c r="U1082">
        <v>11</v>
      </c>
      <c r="V1082" t="s">
        <v>1803</v>
      </c>
    </row>
    <row r="1083" spans="1:22" x14ac:dyDescent="0.3">
      <c r="A1083" t="s">
        <v>1992</v>
      </c>
      <c r="B1083" s="1">
        <v>45616</v>
      </c>
      <c r="C1083" t="s">
        <v>1288</v>
      </c>
      <c r="D1083" t="s">
        <v>604</v>
      </c>
      <c r="E1083" t="s">
        <v>120</v>
      </c>
      <c r="F1083" t="s">
        <v>121</v>
      </c>
      <c r="G1083" t="s">
        <v>122</v>
      </c>
      <c r="H1083" t="s">
        <v>64</v>
      </c>
      <c r="I1083" t="s">
        <v>65</v>
      </c>
      <c r="J1083" t="s">
        <v>232</v>
      </c>
      <c r="K1083">
        <v>4</v>
      </c>
      <c r="L1083">
        <v>4152.4399999999996</v>
      </c>
      <c r="M1083">
        <v>0.05</v>
      </c>
      <c r="N1083">
        <v>15779.27</v>
      </c>
      <c r="O1083">
        <v>10048.15</v>
      </c>
      <c r="P1083">
        <v>5731.12</v>
      </c>
      <c r="Q1083" t="s">
        <v>46</v>
      </c>
      <c r="R1083">
        <v>0.3632056489305272</v>
      </c>
      <c r="S1083">
        <v>2024</v>
      </c>
      <c r="T1083" t="s">
        <v>1911</v>
      </c>
      <c r="U1083">
        <v>11</v>
      </c>
      <c r="V1083" t="s">
        <v>1803</v>
      </c>
    </row>
    <row r="1084" spans="1:22" x14ac:dyDescent="0.3">
      <c r="A1084" t="s">
        <v>1993</v>
      </c>
      <c r="B1084" s="1">
        <v>45616</v>
      </c>
      <c r="C1084" t="s">
        <v>230</v>
      </c>
      <c r="D1084" t="s">
        <v>615</v>
      </c>
      <c r="E1084" t="s">
        <v>120</v>
      </c>
      <c r="F1084" t="s">
        <v>121</v>
      </c>
      <c r="G1084" t="s">
        <v>130</v>
      </c>
      <c r="H1084" t="s">
        <v>64</v>
      </c>
      <c r="I1084" t="s">
        <v>65</v>
      </c>
      <c r="J1084" t="s">
        <v>232</v>
      </c>
      <c r="K1084">
        <v>3</v>
      </c>
      <c r="L1084">
        <v>4134.79</v>
      </c>
      <c r="M1084">
        <v>0.1</v>
      </c>
      <c r="N1084">
        <v>11163.93</v>
      </c>
      <c r="O1084">
        <v>7858.47</v>
      </c>
      <c r="P1084">
        <v>3305.46</v>
      </c>
      <c r="Q1084" t="s">
        <v>113</v>
      </c>
      <c r="R1084">
        <v>0.29608390593635042</v>
      </c>
      <c r="S1084">
        <v>2024</v>
      </c>
      <c r="T1084" t="s">
        <v>1911</v>
      </c>
      <c r="U1084">
        <v>11</v>
      </c>
      <c r="V1084" t="s">
        <v>1803</v>
      </c>
    </row>
    <row r="1085" spans="1:22" x14ac:dyDescent="0.3">
      <c r="A1085" t="s">
        <v>1994</v>
      </c>
      <c r="B1085" s="1">
        <v>45616</v>
      </c>
      <c r="C1085" t="s">
        <v>1757</v>
      </c>
      <c r="D1085" t="s">
        <v>1066</v>
      </c>
      <c r="E1085" t="s">
        <v>120</v>
      </c>
      <c r="F1085" t="s">
        <v>121</v>
      </c>
      <c r="G1085" t="s">
        <v>130</v>
      </c>
      <c r="H1085" t="s">
        <v>64</v>
      </c>
      <c r="I1085" t="s">
        <v>108</v>
      </c>
      <c r="J1085" t="s">
        <v>155</v>
      </c>
      <c r="K1085">
        <v>5</v>
      </c>
      <c r="L1085">
        <v>8317.68</v>
      </c>
      <c r="M1085">
        <v>0.15</v>
      </c>
      <c r="N1085">
        <v>35350.14</v>
      </c>
      <c r="O1085">
        <v>28380.9</v>
      </c>
      <c r="P1085">
        <v>6969.24</v>
      </c>
      <c r="Q1085" t="s">
        <v>31</v>
      </c>
      <c r="R1085">
        <v>0.1971488656056242</v>
      </c>
      <c r="S1085">
        <v>2024</v>
      </c>
      <c r="T1085" t="s">
        <v>1911</v>
      </c>
      <c r="U1085">
        <v>11</v>
      </c>
      <c r="V1085" t="s">
        <v>1803</v>
      </c>
    </row>
    <row r="1086" spans="1:22" x14ac:dyDescent="0.3">
      <c r="A1086" t="s">
        <v>1995</v>
      </c>
      <c r="B1086" s="1">
        <v>45616</v>
      </c>
      <c r="C1086" t="s">
        <v>1996</v>
      </c>
      <c r="D1086" t="s">
        <v>158</v>
      </c>
      <c r="E1086" t="s">
        <v>25</v>
      </c>
      <c r="F1086" t="s">
        <v>26</v>
      </c>
      <c r="G1086" t="s">
        <v>260</v>
      </c>
      <c r="H1086" t="s">
        <v>64</v>
      </c>
      <c r="I1086" t="s">
        <v>108</v>
      </c>
      <c r="J1086" t="s">
        <v>155</v>
      </c>
      <c r="K1086">
        <v>1</v>
      </c>
      <c r="L1086">
        <v>8371.7999999999993</v>
      </c>
      <c r="M1086">
        <v>0.1</v>
      </c>
      <c r="N1086">
        <v>7534.62</v>
      </c>
      <c r="O1086">
        <v>5906.84</v>
      </c>
      <c r="P1086">
        <v>1627.78</v>
      </c>
      <c r="Q1086" t="s">
        <v>31</v>
      </c>
      <c r="R1086">
        <v>0.2160400922674269</v>
      </c>
      <c r="S1086">
        <v>2024</v>
      </c>
      <c r="T1086" t="s">
        <v>1911</v>
      </c>
      <c r="U1086">
        <v>11</v>
      </c>
      <c r="V1086" t="s">
        <v>1803</v>
      </c>
    </row>
    <row r="1087" spans="1:22" x14ac:dyDescent="0.3">
      <c r="A1087" t="s">
        <v>1997</v>
      </c>
      <c r="B1087" s="1">
        <v>45617</v>
      </c>
      <c r="C1087" t="s">
        <v>694</v>
      </c>
      <c r="D1087" t="s">
        <v>1345</v>
      </c>
      <c r="E1087" t="s">
        <v>61</v>
      </c>
      <c r="F1087" t="s">
        <v>71</v>
      </c>
      <c r="G1087" t="s">
        <v>201</v>
      </c>
      <c r="H1087" t="s">
        <v>64</v>
      </c>
      <c r="I1087" t="s">
        <v>108</v>
      </c>
      <c r="J1087" t="s">
        <v>109</v>
      </c>
      <c r="K1087">
        <v>5</v>
      </c>
      <c r="L1087">
        <v>7025.36</v>
      </c>
      <c r="M1087">
        <v>0.1</v>
      </c>
      <c r="N1087">
        <v>31614.12</v>
      </c>
      <c r="O1087">
        <v>22762.85</v>
      </c>
      <c r="P1087">
        <v>8851.27</v>
      </c>
      <c r="Q1087" t="s">
        <v>67</v>
      </c>
      <c r="R1087">
        <v>0.2799783767506418</v>
      </c>
      <c r="S1087">
        <v>2024</v>
      </c>
      <c r="T1087" t="s">
        <v>1911</v>
      </c>
      <c r="U1087">
        <v>11</v>
      </c>
      <c r="V1087" t="s">
        <v>1803</v>
      </c>
    </row>
    <row r="1088" spans="1:22" x14ac:dyDescent="0.3">
      <c r="A1088" t="s">
        <v>1998</v>
      </c>
      <c r="B1088" s="1">
        <v>45617</v>
      </c>
      <c r="C1088" t="s">
        <v>1999</v>
      </c>
      <c r="D1088" t="s">
        <v>562</v>
      </c>
      <c r="E1088" t="s">
        <v>120</v>
      </c>
      <c r="F1088" t="s">
        <v>121</v>
      </c>
      <c r="G1088" t="s">
        <v>122</v>
      </c>
      <c r="H1088" t="s">
        <v>64</v>
      </c>
      <c r="I1088" t="s">
        <v>65</v>
      </c>
      <c r="J1088" t="s">
        <v>232</v>
      </c>
      <c r="K1088">
        <v>1</v>
      </c>
      <c r="L1088">
        <v>3850.79</v>
      </c>
      <c r="M1088">
        <v>0.15</v>
      </c>
      <c r="N1088">
        <v>3273.17</v>
      </c>
      <c r="O1088">
        <v>2358.84</v>
      </c>
      <c r="P1088">
        <v>914.33</v>
      </c>
      <c r="Q1088" t="s">
        <v>31</v>
      </c>
      <c r="R1088">
        <v>0.27934082250539999</v>
      </c>
      <c r="S1088">
        <v>2024</v>
      </c>
      <c r="T1088" t="s">
        <v>1911</v>
      </c>
      <c r="U1088">
        <v>11</v>
      </c>
      <c r="V1088" t="s">
        <v>1803</v>
      </c>
    </row>
    <row r="1089" spans="1:22" x14ac:dyDescent="0.3">
      <c r="A1089" t="s">
        <v>2000</v>
      </c>
      <c r="B1089" s="1">
        <v>45617</v>
      </c>
      <c r="C1089" t="s">
        <v>1395</v>
      </c>
      <c r="D1089" t="s">
        <v>301</v>
      </c>
      <c r="E1089" t="s">
        <v>61</v>
      </c>
      <c r="F1089" t="s">
        <v>71</v>
      </c>
      <c r="G1089" t="s">
        <v>72</v>
      </c>
      <c r="H1089" t="s">
        <v>43</v>
      </c>
      <c r="I1089" t="s">
        <v>44</v>
      </c>
      <c r="J1089" t="s">
        <v>248</v>
      </c>
      <c r="K1089">
        <v>2</v>
      </c>
      <c r="L1089">
        <v>297.25</v>
      </c>
      <c r="M1089">
        <v>0</v>
      </c>
      <c r="N1089">
        <v>594.5</v>
      </c>
      <c r="O1089">
        <v>247.74</v>
      </c>
      <c r="P1089">
        <v>346.76</v>
      </c>
      <c r="Q1089" t="s">
        <v>46</v>
      </c>
      <c r="R1089">
        <v>0.5832800672834314</v>
      </c>
      <c r="S1089">
        <v>2024</v>
      </c>
      <c r="T1089" t="s">
        <v>1911</v>
      </c>
      <c r="U1089">
        <v>11</v>
      </c>
      <c r="V1089" t="s">
        <v>1803</v>
      </c>
    </row>
    <row r="1090" spans="1:22" x14ac:dyDescent="0.3">
      <c r="A1090" t="s">
        <v>2001</v>
      </c>
      <c r="B1090" s="1">
        <v>45617</v>
      </c>
      <c r="C1090" t="s">
        <v>1316</v>
      </c>
      <c r="D1090" t="s">
        <v>987</v>
      </c>
      <c r="E1090" t="s">
        <v>25</v>
      </c>
      <c r="F1090" t="s">
        <v>26</v>
      </c>
      <c r="G1090" t="s">
        <v>37</v>
      </c>
      <c r="H1090" t="s">
        <v>28</v>
      </c>
      <c r="I1090" t="s">
        <v>91</v>
      </c>
      <c r="J1090" t="s">
        <v>126</v>
      </c>
      <c r="K1090">
        <v>1</v>
      </c>
      <c r="L1090">
        <v>2113.41</v>
      </c>
      <c r="M1090">
        <v>0</v>
      </c>
      <c r="N1090">
        <v>2113.41</v>
      </c>
      <c r="O1090">
        <v>1197.55</v>
      </c>
      <c r="P1090">
        <v>915.86</v>
      </c>
      <c r="Q1090" t="s">
        <v>46</v>
      </c>
      <c r="R1090">
        <v>0.43335651861210078</v>
      </c>
      <c r="S1090">
        <v>2024</v>
      </c>
      <c r="T1090" t="s">
        <v>1911</v>
      </c>
      <c r="U1090">
        <v>11</v>
      </c>
      <c r="V1090" t="s">
        <v>1803</v>
      </c>
    </row>
    <row r="1091" spans="1:22" x14ac:dyDescent="0.3">
      <c r="A1091" t="s">
        <v>2002</v>
      </c>
      <c r="B1091" s="1">
        <v>45617</v>
      </c>
      <c r="C1091" t="s">
        <v>1017</v>
      </c>
      <c r="D1091" t="s">
        <v>170</v>
      </c>
      <c r="E1091" t="s">
        <v>25</v>
      </c>
      <c r="F1091" t="s">
        <v>26</v>
      </c>
      <c r="G1091" t="s">
        <v>260</v>
      </c>
      <c r="H1091" t="s">
        <v>28</v>
      </c>
      <c r="I1091" t="s">
        <v>29</v>
      </c>
      <c r="J1091" t="s">
        <v>30</v>
      </c>
      <c r="K1091">
        <v>2</v>
      </c>
      <c r="L1091">
        <v>61142.45</v>
      </c>
      <c r="M1091">
        <v>0</v>
      </c>
      <c r="N1091">
        <v>122284.9</v>
      </c>
      <c r="O1091">
        <v>110994.44</v>
      </c>
      <c r="P1091">
        <v>11290.46</v>
      </c>
      <c r="Q1091" t="s">
        <v>67</v>
      </c>
      <c r="R1091">
        <v>9.2329142845927831E-2</v>
      </c>
      <c r="S1091">
        <v>2024</v>
      </c>
      <c r="T1091" t="s">
        <v>1911</v>
      </c>
      <c r="U1091">
        <v>11</v>
      </c>
      <c r="V1091" t="s">
        <v>1803</v>
      </c>
    </row>
    <row r="1092" spans="1:22" x14ac:dyDescent="0.3">
      <c r="A1092" t="s">
        <v>2003</v>
      </c>
      <c r="B1092" s="1">
        <v>45618</v>
      </c>
      <c r="C1092" t="s">
        <v>546</v>
      </c>
      <c r="D1092" t="s">
        <v>477</v>
      </c>
      <c r="E1092" t="s">
        <v>25</v>
      </c>
      <c r="F1092" t="s">
        <v>26</v>
      </c>
      <c r="G1092" t="s">
        <v>171</v>
      </c>
      <c r="H1092" t="s">
        <v>43</v>
      </c>
      <c r="I1092" t="s">
        <v>51</v>
      </c>
      <c r="J1092" t="s">
        <v>52</v>
      </c>
      <c r="K1092">
        <v>5</v>
      </c>
      <c r="L1092">
        <v>660.01</v>
      </c>
      <c r="M1092">
        <v>0.1</v>
      </c>
      <c r="N1092">
        <v>2970.05</v>
      </c>
      <c r="O1092">
        <v>1508.53</v>
      </c>
      <c r="P1092">
        <v>1461.52</v>
      </c>
      <c r="Q1092" t="s">
        <v>31</v>
      </c>
      <c r="R1092">
        <v>0.49208599181831952</v>
      </c>
      <c r="S1092">
        <v>2024</v>
      </c>
      <c r="T1092" t="s">
        <v>1911</v>
      </c>
      <c r="U1092">
        <v>11</v>
      </c>
      <c r="V1092" t="s">
        <v>1803</v>
      </c>
    </row>
    <row r="1093" spans="1:22" x14ac:dyDescent="0.3">
      <c r="A1093" t="s">
        <v>2004</v>
      </c>
      <c r="B1093" s="1">
        <v>45618</v>
      </c>
      <c r="C1093" t="s">
        <v>1080</v>
      </c>
      <c r="D1093" t="s">
        <v>418</v>
      </c>
      <c r="E1093" t="s">
        <v>61</v>
      </c>
      <c r="F1093" t="s">
        <v>62</v>
      </c>
      <c r="G1093" t="s">
        <v>63</v>
      </c>
      <c r="H1093" t="s">
        <v>28</v>
      </c>
      <c r="I1093" t="s">
        <v>73</v>
      </c>
      <c r="J1093" t="s">
        <v>74</v>
      </c>
      <c r="K1093">
        <v>3</v>
      </c>
      <c r="L1093">
        <v>2626.49</v>
      </c>
      <c r="M1093">
        <v>0</v>
      </c>
      <c r="N1093">
        <v>7879.47</v>
      </c>
      <c r="O1093">
        <v>4361.8100000000004</v>
      </c>
      <c r="P1093">
        <v>3517.66</v>
      </c>
      <c r="Q1093" t="s">
        <v>31</v>
      </c>
      <c r="R1093">
        <v>0.44643357992352273</v>
      </c>
      <c r="S1093">
        <v>2024</v>
      </c>
      <c r="T1093" t="s">
        <v>1911</v>
      </c>
      <c r="U1093">
        <v>11</v>
      </c>
      <c r="V1093" t="s">
        <v>1803</v>
      </c>
    </row>
    <row r="1094" spans="1:22" x14ac:dyDescent="0.3">
      <c r="A1094" t="s">
        <v>2005</v>
      </c>
      <c r="B1094" s="1">
        <v>45619</v>
      </c>
      <c r="C1094" t="s">
        <v>2006</v>
      </c>
      <c r="D1094" t="s">
        <v>129</v>
      </c>
      <c r="E1094" t="s">
        <v>120</v>
      </c>
      <c r="F1094" t="s">
        <v>121</v>
      </c>
      <c r="G1094" t="s">
        <v>122</v>
      </c>
      <c r="H1094" t="s">
        <v>43</v>
      </c>
      <c r="I1094" t="s">
        <v>44</v>
      </c>
      <c r="J1094" t="s">
        <v>45</v>
      </c>
      <c r="K1094">
        <v>1</v>
      </c>
      <c r="L1094">
        <v>246.76</v>
      </c>
      <c r="M1094">
        <v>0.05</v>
      </c>
      <c r="N1094">
        <v>234.42</v>
      </c>
      <c r="O1094">
        <v>96.61</v>
      </c>
      <c r="P1094">
        <v>137.81</v>
      </c>
      <c r="Q1094" t="s">
        <v>53</v>
      </c>
      <c r="R1094">
        <v>0.58787646105281122</v>
      </c>
      <c r="S1094">
        <v>2024</v>
      </c>
      <c r="T1094" t="s">
        <v>1911</v>
      </c>
      <c r="U1094">
        <v>11</v>
      </c>
      <c r="V1094" t="s">
        <v>1803</v>
      </c>
    </row>
    <row r="1095" spans="1:22" x14ac:dyDescent="0.3">
      <c r="A1095" t="s">
        <v>2007</v>
      </c>
      <c r="B1095" s="1">
        <v>45619</v>
      </c>
      <c r="C1095" t="s">
        <v>1032</v>
      </c>
      <c r="D1095" t="s">
        <v>1455</v>
      </c>
      <c r="E1095" t="s">
        <v>120</v>
      </c>
      <c r="F1095" t="s">
        <v>121</v>
      </c>
      <c r="G1095" t="s">
        <v>224</v>
      </c>
      <c r="H1095" t="s">
        <v>84</v>
      </c>
      <c r="I1095" t="s">
        <v>85</v>
      </c>
      <c r="J1095" t="s">
        <v>86</v>
      </c>
      <c r="K1095">
        <v>2</v>
      </c>
      <c r="L1095">
        <v>1768.64</v>
      </c>
      <c r="M1095">
        <v>0.1</v>
      </c>
      <c r="N1095">
        <v>3183.55</v>
      </c>
      <c r="O1095">
        <v>1960.33</v>
      </c>
      <c r="P1095">
        <v>1223.22</v>
      </c>
      <c r="Q1095" t="s">
        <v>53</v>
      </c>
      <c r="R1095">
        <v>0.38423143974493879</v>
      </c>
      <c r="S1095">
        <v>2024</v>
      </c>
      <c r="T1095" t="s">
        <v>1911</v>
      </c>
      <c r="U1095">
        <v>11</v>
      </c>
      <c r="V1095" t="s">
        <v>1803</v>
      </c>
    </row>
    <row r="1096" spans="1:22" x14ac:dyDescent="0.3">
      <c r="A1096" t="s">
        <v>2008</v>
      </c>
      <c r="B1096" s="1">
        <v>45619</v>
      </c>
      <c r="C1096" t="s">
        <v>2009</v>
      </c>
      <c r="D1096" t="s">
        <v>1897</v>
      </c>
      <c r="E1096" t="s">
        <v>61</v>
      </c>
      <c r="F1096" t="s">
        <v>78</v>
      </c>
      <c r="G1096" t="s">
        <v>83</v>
      </c>
      <c r="H1096" t="s">
        <v>43</v>
      </c>
      <c r="I1096" t="s">
        <v>51</v>
      </c>
      <c r="J1096" t="s">
        <v>52</v>
      </c>
      <c r="K1096">
        <v>1</v>
      </c>
      <c r="L1096">
        <v>714.42</v>
      </c>
      <c r="M1096">
        <v>0.15</v>
      </c>
      <c r="N1096">
        <v>607.26</v>
      </c>
      <c r="O1096">
        <v>330.74</v>
      </c>
      <c r="P1096">
        <v>276.52</v>
      </c>
      <c r="Q1096" t="s">
        <v>46</v>
      </c>
      <c r="R1096">
        <v>0.45535684879623223</v>
      </c>
      <c r="S1096">
        <v>2024</v>
      </c>
      <c r="T1096" t="s">
        <v>1911</v>
      </c>
      <c r="U1096">
        <v>11</v>
      </c>
      <c r="V1096" t="s">
        <v>1803</v>
      </c>
    </row>
    <row r="1097" spans="1:22" x14ac:dyDescent="0.3">
      <c r="A1097" t="s">
        <v>2010</v>
      </c>
      <c r="B1097" s="1">
        <v>45619</v>
      </c>
      <c r="C1097" t="s">
        <v>687</v>
      </c>
      <c r="D1097" t="s">
        <v>507</v>
      </c>
      <c r="E1097" t="s">
        <v>25</v>
      </c>
      <c r="F1097" t="s">
        <v>26</v>
      </c>
      <c r="G1097" t="s">
        <v>37</v>
      </c>
      <c r="H1097" t="s">
        <v>64</v>
      </c>
      <c r="I1097" t="s">
        <v>65</v>
      </c>
      <c r="J1097" t="s">
        <v>232</v>
      </c>
      <c r="K1097">
        <v>2</v>
      </c>
      <c r="L1097">
        <v>4121.53</v>
      </c>
      <c r="M1097">
        <v>0</v>
      </c>
      <c r="N1097">
        <v>8243.06</v>
      </c>
      <c r="O1097">
        <v>5165.62</v>
      </c>
      <c r="P1097">
        <v>3077.44</v>
      </c>
      <c r="Q1097" t="s">
        <v>31</v>
      </c>
      <c r="R1097">
        <v>0.37333708598505899</v>
      </c>
      <c r="S1097">
        <v>2024</v>
      </c>
      <c r="T1097" t="s">
        <v>1911</v>
      </c>
      <c r="U1097">
        <v>11</v>
      </c>
      <c r="V1097" t="s">
        <v>1803</v>
      </c>
    </row>
    <row r="1098" spans="1:22" x14ac:dyDescent="0.3">
      <c r="A1098" t="s">
        <v>2011</v>
      </c>
      <c r="B1098" s="1">
        <v>45619</v>
      </c>
      <c r="C1098" t="s">
        <v>1546</v>
      </c>
      <c r="D1098" t="s">
        <v>2012</v>
      </c>
      <c r="E1098" t="s">
        <v>61</v>
      </c>
      <c r="F1098" t="s">
        <v>71</v>
      </c>
      <c r="G1098" t="s">
        <v>100</v>
      </c>
      <c r="H1098" t="s">
        <v>84</v>
      </c>
      <c r="I1098" t="s">
        <v>138</v>
      </c>
      <c r="J1098" t="s">
        <v>139</v>
      </c>
      <c r="K1098">
        <v>1</v>
      </c>
      <c r="L1098">
        <v>13103.95</v>
      </c>
      <c r="M1098">
        <v>0.15</v>
      </c>
      <c r="N1098">
        <v>11138.36</v>
      </c>
      <c r="O1098">
        <v>9722.2199999999993</v>
      </c>
      <c r="P1098">
        <v>1416.14</v>
      </c>
      <c r="Q1098" t="s">
        <v>31</v>
      </c>
      <c r="R1098">
        <v>0.12714079990231961</v>
      </c>
      <c r="S1098">
        <v>2024</v>
      </c>
      <c r="T1098" t="s">
        <v>1911</v>
      </c>
      <c r="U1098">
        <v>11</v>
      </c>
      <c r="V1098" t="s">
        <v>1803</v>
      </c>
    </row>
    <row r="1099" spans="1:22" x14ac:dyDescent="0.3">
      <c r="A1099" t="s">
        <v>2013</v>
      </c>
      <c r="B1099" s="1">
        <v>45620</v>
      </c>
      <c r="C1099" t="s">
        <v>2014</v>
      </c>
      <c r="D1099" t="s">
        <v>940</v>
      </c>
      <c r="E1099" t="s">
        <v>41</v>
      </c>
      <c r="F1099" t="s">
        <v>42</v>
      </c>
      <c r="G1099" t="s">
        <v>42</v>
      </c>
      <c r="H1099" t="s">
        <v>43</v>
      </c>
      <c r="I1099" t="s">
        <v>51</v>
      </c>
      <c r="J1099" t="s">
        <v>96</v>
      </c>
      <c r="K1099">
        <v>1</v>
      </c>
      <c r="L1099">
        <v>515.58000000000004</v>
      </c>
      <c r="M1099">
        <v>0.1</v>
      </c>
      <c r="N1099">
        <v>464.02</v>
      </c>
      <c r="O1099">
        <v>238.8</v>
      </c>
      <c r="P1099">
        <v>225.22</v>
      </c>
      <c r="Q1099" t="s">
        <v>46</v>
      </c>
      <c r="R1099">
        <v>0.48536701004267058</v>
      </c>
      <c r="S1099">
        <v>2024</v>
      </c>
      <c r="T1099" t="s">
        <v>1911</v>
      </c>
      <c r="U1099">
        <v>11</v>
      </c>
      <c r="V1099" t="s">
        <v>1803</v>
      </c>
    </row>
    <row r="1100" spans="1:22" x14ac:dyDescent="0.3">
      <c r="A1100" t="s">
        <v>2015</v>
      </c>
      <c r="B1100" s="1">
        <v>45620</v>
      </c>
      <c r="C1100" t="s">
        <v>1996</v>
      </c>
      <c r="D1100" t="s">
        <v>406</v>
      </c>
      <c r="E1100" t="s">
        <v>120</v>
      </c>
      <c r="F1100" t="s">
        <v>121</v>
      </c>
      <c r="G1100" t="s">
        <v>130</v>
      </c>
      <c r="H1100" t="s">
        <v>64</v>
      </c>
      <c r="I1100" t="s">
        <v>65</v>
      </c>
      <c r="J1100" t="s">
        <v>232</v>
      </c>
      <c r="K1100">
        <v>2</v>
      </c>
      <c r="L1100">
        <v>4082.78</v>
      </c>
      <c r="M1100">
        <v>0.05</v>
      </c>
      <c r="N1100">
        <v>7757.28</v>
      </c>
      <c r="O1100">
        <v>4944.26</v>
      </c>
      <c r="P1100">
        <v>2813.02</v>
      </c>
      <c r="Q1100" t="s">
        <v>67</v>
      </c>
      <c r="R1100">
        <v>0.36262968463172662</v>
      </c>
      <c r="S1100">
        <v>2024</v>
      </c>
      <c r="T1100" t="s">
        <v>1911</v>
      </c>
      <c r="U1100">
        <v>11</v>
      </c>
      <c r="V1100" t="s">
        <v>1803</v>
      </c>
    </row>
    <row r="1101" spans="1:22" x14ac:dyDescent="0.3">
      <c r="A1101" t="s">
        <v>2016</v>
      </c>
      <c r="B1101" s="1">
        <v>45621</v>
      </c>
      <c r="C1101" t="s">
        <v>830</v>
      </c>
      <c r="D1101" t="s">
        <v>154</v>
      </c>
      <c r="E1101" t="s">
        <v>61</v>
      </c>
      <c r="F1101" t="s">
        <v>62</v>
      </c>
      <c r="G1101" t="s">
        <v>134</v>
      </c>
      <c r="H1101" t="s">
        <v>84</v>
      </c>
      <c r="I1101" t="s">
        <v>85</v>
      </c>
      <c r="J1101" t="s">
        <v>145</v>
      </c>
      <c r="K1101">
        <v>5</v>
      </c>
      <c r="L1101">
        <v>3255.77</v>
      </c>
      <c r="M1101">
        <v>0.05</v>
      </c>
      <c r="N1101">
        <v>15464.91</v>
      </c>
      <c r="O1101">
        <v>9245.41</v>
      </c>
      <c r="P1101">
        <v>6219.5</v>
      </c>
      <c r="Q1101" t="s">
        <v>31</v>
      </c>
      <c r="R1101">
        <v>0.40216852215758131</v>
      </c>
      <c r="S1101">
        <v>2024</v>
      </c>
      <c r="T1101" t="s">
        <v>1911</v>
      </c>
      <c r="U1101">
        <v>11</v>
      </c>
      <c r="V1101" t="s">
        <v>1803</v>
      </c>
    </row>
    <row r="1102" spans="1:22" x14ac:dyDescent="0.3">
      <c r="A1102" t="s">
        <v>2017</v>
      </c>
      <c r="B1102" s="1">
        <v>45621</v>
      </c>
      <c r="C1102" t="s">
        <v>554</v>
      </c>
      <c r="D1102" t="s">
        <v>142</v>
      </c>
      <c r="E1102" t="s">
        <v>61</v>
      </c>
      <c r="F1102" t="s">
        <v>62</v>
      </c>
      <c r="G1102" t="s">
        <v>228</v>
      </c>
      <c r="H1102" t="s">
        <v>43</v>
      </c>
      <c r="I1102" t="s">
        <v>51</v>
      </c>
      <c r="J1102" t="s">
        <v>52</v>
      </c>
      <c r="K1102">
        <v>4</v>
      </c>
      <c r="L1102">
        <v>704.09</v>
      </c>
      <c r="M1102">
        <v>0.1</v>
      </c>
      <c r="N1102">
        <v>2534.7199999999998</v>
      </c>
      <c r="O1102">
        <v>1364.48</v>
      </c>
      <c r="P1102">
        <v>1170.24</v>
      </c>
      <c r="Q1102" t="s">
        <v>31</v>
      </c>
      <c r="R1102">
        <v>0.46168413079156678</v>
      </c>
      <c r="S1102">
        <v>2024</v>
      </c>
      <c r="T1102" t="s">
        <v>1911</v>
      </c>
      <c r="U1102">
        <v>11</v>
      </c>
      <c r="V1102" t="s">
        <v>1803</v>
      </c>
    </row>
    <row r="1103" spans="1:22" x14ac:dyDescent="0.3">
      <c r="A1103" t="s">
        <v>2018</v>
      </c>
      <c r="B1103" s="1">
        <v>45622</v>
      </c>
      <c r="C1103" t="s">
        <v>1329</v>
      </c>
      <c r="D1103" t="s">
        <v>223</v>
      </c>
      <c r="E1103" t="s">
        <v>61</v>
      </c>
      <c r="F1103" t="s">
        <v>71</v>
      </c>
      <c r="G1103" t="s">
        <v>72</v>
      </c>
      <c r="H1103" t="s">
        <v>28</v>
      </c>
      <c r="I1103" t="s">
        <v>29</v>
      </c>
      <c r="J1103" t="s">
        <v>30</v>
      </c>
      <c r="K1103">
        <v>2</v>
      </c>
      <c r="L1103">
        <v>57905.74</v>
      </c>
      <c r="M1103">
        <v>0</v>
      </c>
      <c r="N1103">
        <v>115811.48</v>
      </c>
      <c r="O1103">
        <v>100692.15</v>
      </c>
      <c r="P1103">
        <v>15119.33</v>
      </c>
      <c r="Q1103" t="s">
        <v>53</v>
      </c>
      <c r="R1103">
        <v>0.13055121996541269</v>
      </c>
      <c r="S1103">
        <v>2024</v>
      </c>
      <c r="T1103" t="s">
        <v>1911</v>
      </c>
      <c r="U1103">
        <v>11</v>
      </c>
      <c r="V1103" t="s">
        <v>1803</v>
      </c>
    </row>
    <row r="1104" spans="1:22" x14ac:dyDescent="0.3">
      <c r="A1104" t="s">
        <v>2019</v>
      </c>
      <c r="B1104" s="1">
        <v>45623</v>
      </c>
      <c r="C1104" t="s">
        <v>1057</v>
      </c>
      <c r="D1104" t="s">
        <v>133</v>
      </c>
      <c r="E1104" t="s">
        <v>41</v>
      </c>
      <c r="F1104" t="s">
        <v>42</v>
      </c>
      <c r="G1104" t="s">
        <v>42</v>
      </c>
      <c r="H1104" t="s">
        <v>64</v>
      </c>
      <c r="I1104" t="s">
        <v>108</v>
      </c>
      <c r="J1104" t="s">
        <v>109</v>
      </c>
      <c r="K1104">
        <v>1</v>
      </c>
      <c r="L1104">
        <v>6592.55</v>
      </c>
      <c r="M1104">
        <v>0.1</v>
      </c>
      <c r="N1104">
        <v>5933.3</v>
      </c>
      <c r="O1104">
        <v>4207.38</v>
      </c>
      <c r="P1104">
        <v>1725.92</v>
      </c>
      <c r="Q1104" t="s">
        <v>113</v>
      </c>
      <c r="R1104">
        <v>0.29088702745521039</v>
      </c>
      <c r="S1104">
        <v>2024</v>
      </c>
      <c r="T1104" t="s">
        <v>1911</v>
      </c>
      <c r="U1104">
        <v>11</v>
      </c>
      <c r="V1104" t="s">
        <v>1803</v>
      </c>
    </row>
    <row r="1105" spans="1:22" x14ac:dyDescent="0.3">
      <c r="A1105" t="s">
        <v>2020</v>
      </c>
      <c r="B1105" s="1">
        <v>45623</v>
      </c>
      <c r="C1105" t="s">
        <v>2021</v>
      </c>
      <c r="D1105" t="s">
        <v>363</v>
      </c>
      <c r="E1105" t="s">
        <v>61</v>
      </c>
      <c r="F1105" t="s">
        <v>78</v>
      </c>
      <c r="G1105" t="s">
        <v>83</v>
      </c>
      <c r="H1105" t="s">
        <v>28</v>
      </c>
      <c r="I1105" t="s">
        <v>91</v>
      </c>
      <c r="J1105" t="s">
        <v>126</v>
      </c>
      <c r="K1105">
        <v>2</v>
      </c>
      <c r="L1105">
        <v>1922.5</v>
      </c>
      <c r="M1105">
        <v>0.2</v>
      </c>
      <c r="N1105">
        <v>3076</v>
      </c>
      <c r="O1105">
        <v>2197.79</v>
      </c>
      <c r="P1105">
        <v>878.21</v>
      </c>
      <c r="Q1105" t="s">
        <v>31</v>
      </c>
      <c r="R1105">
        <v>0.28550390117035113</v>
      </c>
      <c r="S1105">
        <v>2024</v>
      </c>
      <c r="T1105" t="s">
        <v>1911</v>
      </c>
      <c r="U1105">
        <v>11</v>
      </c>
      <c r="V1105" t="s">
        <v>1803</v>
      </c>
    </row>
    <row r="1106" spans="1:22" x14ac:dyDescent="0.3">
      <c r="A1106" t="s">
        <v>2022</v>
      </c>
      <c r="B1106" s="1">
        <v>45624</v>
      </c>
      <c r="C1106" t="s">
        <v>784</v>
      </c>
      <c r="D1106" t="s">
        <v>1108</v>
      </c>
      <c r="E1106" t="s">
        <v>61</v>
      </c>
      <c r="F1106" t="s">
        <v>62</v>
      </c>
      <c r="G1106" t="s">
        <v>90</v>
      </c>
      <c r="H1106" t="s">
        <v>84</v>
      </c>
      <c r="I1106" t="s">
        <v>85</v>
      </c>
      <c r="J1106" t="s">
        <v>145</v>
      </c>
      <c r="K1106">
        <v>1</v>
      </c>
      <c r="L1106">
        <v>3341.68</v>
      </c>
      <c r="M1106">
        <v>0.1</v>
      </c>
      <c r="N1106">
        <v>3007.51</v>
      </c>
      <c r="O1106">
        <v>1878.39</v>
      </c>
      <c r="P1106">
        <v>1129.1199999999999</v>
      </c>
      <c r="Q1106" t="s">
        <v>31</v>
      </c>
      <c r="R1106">
        <v>0.37543349814298199</v>
      </c>
      <c r="S1106">
        <v>2024</v>
      </c>
      <c r="T1106" t="s">
        <v>1911</v>
      </c>
      <c r="U1106">
        <v>11</v>
      </c>
      <c r="V1106" t="s">
        <v>1803</v>
      </c>
    </row>
    <row r="1107" spans="1:22" x14ac:dyDescent="0.3">
      <c r="A1107" t="s">
        <v>2023</v>
      </c>
      <c r="B1107" s="1">
        <v>45624</v>
      </c>
      <c r="C1107" t="s">
        <v>2024</v>
      </c>
      <c r="D1107" t="s">
        <v>670</v>
      </c>
      <c r="E1107" t="s">
        <v>41</v>
      </c>
      <c r="F1107" t="s">
        <v>42</v>
      </c>
      <c r="G1107" t="s">
        <v>50</v>
      </c>
      <c r="H1107" t="s">
        <v>64</v>
      </c>
      <c r="I1107" t="s">
        <v>108</v>
      </c>
      <c r="J1107" t="s">
        <v>109</v>
      </c>
      <c r="K1107">
        <v>3</v>
      </c>
      <c r="L1107">
        <v>7310.67</v>
      </c>
      <c r="M1107">
        <v>0.05</v>
      </c>
      <c r="N1107">
        <v>20835.41</v>
      </c>
      <c r="O1107">
        <v>14238.37</v>
      </c>
      <c r="P1107">
        <v>6597.04</v>
      </c>
      <c r="Q1107" t="s">
        <v>31</v>
      </c>
      <c r="R1107">
        <v>0.31662635868456629</v>
      </c>
      <c r="S1107">
        <v>2024</v>
      </c>
      <c r="T1107" t="s">
        <v>1911</v>
      </c>
      <c r="U1107">
        <v>11</v>
      </c>
      <c r="V1107" t="s">
        <v>1803</v>
      </c>
    </row>
    <row r="1108" spans="1:22" x14ac:dyDescent="0.3">
      <c r="A1108" t="s">
        <v>2025</v>
      </c>
      <c r="B1108" s="1">
        <v>45624</v>
      </c>
      <c r="C1108" t="s">
        <v>428</v>
      </c>
      <c r="D1108" t="s">
        <v>712</v>
      </c>
      <c r="E1108" t="s">
        <v>61</v>
      </c>
      <c r="F1108" t="s">
        <v>78</v>
      </c>
      <c r="G1108" t="s">
        <v>104</v>
      </c>
      <c r="H1108" t="s">
        <v>43</v>
      </c>
      <c r="I1108" t="s">
        <v>51</v>
      </c>
      <c r="J1108" t="s">
        <v>52</v>
      </c>
      <c r="K1108">
        <v>4</v>
      </c>
      <c r="L1108">
        <v>657.17</v>
      </c>
      <c r="M1108">
        <v>0</v>
      </c>
      <c r="N1108">
        <v>2628.68</v>
      </c>
      <c r="O1108">
        <v>1238.28</v>
      </c>
      <c r="P1108">
        <v>1390.4</v>
      </c>
      <c r="Q1108" t="s">
        <v>31</v>
      </c>
      <c r="R1108">
        <v>0.52893467443736031</v>
      </c>
      <c r="S1108">
        <v>2024</v>
      </c>
      <c r="T1108" t="s">
        <v>1911</v>
      </c>
      <c r="U1108">
        <v>11</v>
      </c>
      <c r="V1108" t="s">
        <v>1803</v>
      </c>
    </row>
    <row r="1109" spans="1:22" x14ac:dyDescent="0.3">
      <c r="A1109" t="s">
        <v>2026</v>
      </c>
      <c r="B1109" s="1">
        <v>45624</v>
      </c>
      <c r="C1109" t="s">
        <v>881</v>
      </c>
      <c r="D1109" t="s">
        <v>366</v>
      </c>
      <c r="E1109" t="s">
        <v>61</v>
      </c>
      <c r="F1109" t="s">
        <v>71</v>
      </c>
      <c r="G1109" t="s">
        <v>201</v>
      </c>
      <c r="H1109" t="s">
        <v>84</v>
      </c>
      <c r="I1109" t="s">
        <v>85</v>
      </c>
      <c r="J1109" t="s">
        <v>145</v>
      </c>
      <c r="K1109">
        <v>4</v>
      </c>
      <c r="L1109">
        <v>3104.03</v>
      </c>
      <c r="M1109">
        <v>0</v>
      </c>
      <c r="N1109">
        <v>12416.12</v>
      </c>
      <c r="O1109">
        <v>6984.41</v>
      </c>
      <c r="P1109">
        <v>5431.71</v>
      </c>
      <c r="Q1109" t="s">
        <v>31</v>
      </c>
      <c r="R1109">
        <v>0.43747241489289729</v>
      </c>
      <c r="S1109">
        <v>2024</v>
      </c>
      <c r="T1109" t="s">
        <v>1911</v>
      </c>
      <c r="U1109">
        <v>11</v>
      </c>
      <c r="V1109" t="s">
        <v>1803</v>
      </c>
    </row>
    <row r="1110" spans="1:22" x14ac:dyDescent="0.3">
      <c r="A1110" t="s">
        <v>2027</v>
      </c>
      <c r="B1110" s="1">
        <v>45624</v>
      </c>
      <c r="C1110" t="s">
        <v>118</v>
      </c>
      <c r="D1110" t="s">
        <v>1795</v>
      </c>
      <c r="E1110" t="s">
        <v>41</v>
      </c>
      <c r="F1110" t="s">
        <v>42</v>
      </c>
      <c r="G1110" t="s">
        <v>42</v>
      </c>
      <c r="H1110" t="s">
        <v>43</v>
      </c>
      <c r="I1110" t="s">
        <v>51</v>
      </c>
      <c r="J1110" t="s">
        <v>52</v>
      </c>
      <c r="K1110">
        <v>4</v>
      </c>
      <c r="L1110">
        <v>734.43</v>
      </c>
      <c r="M1110">
        <v>0.1</v>
      </c>
      <c r="N1110">
        <v>2643.95</v>
      </c>
      <c r="O1110">
        <v>1335.19</v>
      </c>
      <c r="P1110">
        <v>1308.76</v>
      </c>
      <c r="Q1110" t="s">
        <v>67</v>
      </c>
      <c r="R1110">
        <v>0.4950017965543978</v>
      </c>
      <c r="S1110">
        <v>2024</v>
      </c>
      <c r="T1110" t="s">
        <v>1911</v>
      </c>
      <c r="U1110">
        <v>11</v>
      </c>
      <c r="V1110" t="s">
        <v>1803</v>
      </c>
    </row>
    <row r="1111" spans="1:22" x14ac:dyDescent="0.3">
      <c r="A1111" t="s">
        <v>2028</v>
      </c>
      <c r="B1111" s="1">
        <v>45625</v>
      </c>
      <c r="C1111" t="s">
        <v>1202</v>
      </c>
      <c r="D1111" t="s">
        <v>969</v>
      </c>
      <c r="E1111" t="s">
        <v>61</v>
      </c>
      <c r="F1111" t="s">
        <v>62</v>
      </c>
      <c r="G1111" t="s">
        <v>90</v>
      </c>
      <c r="H1111" t="s">
        <v>43</v>
      </c>
      <c r="I1111" t="s">
        <v>44</v>
      </c>
      <c r="J1111" t="s">
        <v>45</v>
      </c>
      <c r="K1111">
        <v>1</v>
      </c>
      <c r="L1111">
        <v>240.91</v>
      </c>
      <c r="M1111">
        <v>0.2</v>
      </c>
      <c r="N1111">
        <v>192.73</v>
      </c>
      <c r="O1111">
        <v>94.56</v>
      </c>
      <c r="P1111">
        <v>98.17</v>
      </c>
      <c r="Q1111" t="s">
        <v>53</v>
      </c>
      <c r="R1111">
        <v>0.50936543350801644</v>
      </c>
      <c r="S1111">
        <v>2024</v>
      </c>
      <c r="T1111" t="s">
        <v>1911</v>
      </c>
      <c r="U1111">
        <v>11</v>
      </c>
      <c r="V1111" t="s">
        <v>1803</v>
      </c>
    </row>
    <row r="1112" spans="1:22" x14ac:dyDescent="0.3">
      <c r="A1112" t="s">
        <v>2029</v>
      </c>
      <c r="B1112" s="1">
        <v>45625</v>
      </c>
      <c r="C1112" t="s">
        <v>868</v>
      </c>
      <c r="D1112" t="s">
        <v>270</v>
      </c>
      <c r="E1112" t="s">
        <v>61</v>
      </c>
      <c r="F1112" t="s">
        <v>78</v>
      </c>
      <c r="G1112" t="s">
        <v>83</v>
      </c>
      <c r="H1112" t="s">
        <v>43</v>
      </c>
      <c r="I1112" t="s">
        <v>44</v>
      </c>
      <c r="J1112" t="s">
        <v>45</v>
      </c>
      <c r="K1112">
        <v>1</v>
      </c>
      <c r="L1112">
        <v>242.7</v>
      </c>
      <c r="M1112">
        <v>0.1</v>
      </c>
      <c r="N1112">
        <v>218.43</v>
      </c>
      <c r="O1112">
        <v>90.44</v>
      </c>
      <c r="P1112">
        <v>127.99</v>
      </c>
      <c r="Q1112" t="s">
        <v>31</v>
      </c>
      <c r="R1112">
        <v>0.58595431030536094</v>
      </c>
      <c r="S1112">
        <v>2024</v>
      </c>
      <c r="T1112" t="s">
        <v>1911</v>
      </c>
      <c r="U1112">
        <v>11</v>
      </c>
      <c r="V1112" t="s">
        <v>1803</v>
      </c>
    </row>
    <row r="1113" spans="1:22" x14ac:dyDescent="0.3">
      <c r="A1113" t="s">
        <v>2030</v>
      </c>
      <c r="B1113" s="1">
        <v>45625</v>
      </c>
      <c r="C1113" t="s">
        <v>2031</v>
      </c>
      <c r="D1113" t="s">
        <v>137</v>
      </c>
      <c r="E1113" t="s">
        <v>120</v>
      </c>
      <c r="F1113" t="s">
        <v>121</v>
      </c>
      <c r="G1113" t="s">
        <v>130</v>
      </c>
      <c r="H1113" t="s">
        <v>28</v>
      </c>
      <c r="I1113" t="s">
        <v>29</v>
      </c>
      <c r="J1113" t="s">
        <v>30</v>
      </c>
      <c r="K1113">
        <v>2</v>
      </c>
      <c r="L1113">
        <v>58505.01</v>
      </c>
      <c r="M1113">
        <v>0</v>
      </c>
      <c r="N1113">
        <v>117010.02</v>
      </c>
      <c r="O1113">
        <v>104130.84</v>
      </c>
      <c r="P1113">
        <v>12879.18</v>
      </c>
      <c r="Q1113" t="s">
        <v>46</v>
      </c>
      <c r="R1113">
        <v>0.1100690351134031</v>
      </c>
      <c r="S1113">
        <v>2024</v>
      </c>
      <c r="T1113" t="s">
        <v>1911</v>
      </c>
      <c r="U1113">
        <v>11</v>
      </c>
      <c r="V1113" t="s">
        <v>1803</v>
      </c>
    </row>
    <row r="1114" spans="1:22" x14ac:dyDescent="0.3">
      <c r="A1114" t="s">
        <v>2032</v>
      </c>
      <c r="B1114" s="1">
        <v>45625</v>
      </c>
      <c r="C1114" t="s">
        <v>2033</v>
      </c>
      <c r="D1114" t="s">
        <v>298</v>
      </c>
      <c r="E1114" t="s">
        <v>61</v>
      </c>
      <c r="F1114" t="s">
        <v>71</v>
      </c>
      <c r="G1114" t="s">
        <v>72</v>
      </c>
      <c r="H1114" t="s">
        <v>64</v>
      </c>
      <c r="I1114" t="s">
        <v>108</v>
      </c>
      <c r="J1114" t="s">
        <v>155</v>
      </c>
      <c r="K1114">
        <v>2</v>
      </c>
      <c r="L1114">
        <v>8374.41</v>
      </c>
      <c r="M1114">
        <v>0.15</v>
      </c>
      <c r="N1114">
        <v>14236.5</v>
      </c>
      <c r="O1114">
        <v>11416.93</v>
      </c>
      <c r="P1114">
        <v>2819.57</v>
      </c>
      <c r="Q1114" t="s">
        <v>53</v>
      </c>
      <c r="R1114">
        <v>0.19805218979383979</v>
      </c>
      <c r="S1114">
        <v>2024</v>
      </c>
      <c r="T1114" t="s">
        <v>1911</v>
      </c>
      <c r="U1114">
        <v>11</v>
      </c>
      <c r="V1114" t="s">
        <v>1803</v>
      </c>
    </row>
    <row r="1115" spans="1:22" x14ac:dyDescent="0.3">
      <c r="A1115" t="s">
        <v>2034</v>
      </c>
      <c r="B1115" s="1">
        <v>45625</v>
      </c>
      <c r="C1115" t="s">
        <v>1161</v>
      </c>
      <c r="D1115" t="s">
        <v>70</v>
      </c>
      <c r="E1115" t="s">
        <v>120</v>
      </c>
      <c r="F1115" t="s">
        <v>121</v>
      </c>
      <c r="G1115" t="s">
        <v>224</v>
      </c>
      <c r="H1115" t="s">
        <v>64</v>
      </c>
      <c r="I1115" t="s">
        <v>65</v>
      </c>
      <c r="J1115" t="s">
        <v>232</v>
      </c>
      <c r="K1115">
        <v>3</v>
      </c>
      <c r="L1115">
        <v>3828.24</v>
      </c>
      <c r="M1115">
        <v>0</v>
      </c>
      <c r="N1115">
        <v>11484.72</v>
      </c>
      <c r="O1115">
        <v>7301.48</v>
      </c>
      <c r="P1115">
        <v>4183.24</v>
      </c>
      <c r="Q1115" t="s">
        <v>31</v>
      </c>
      <c r="R1115">
        <v>0.36424396937844372</v>
      </c>
      <c r="S1115">
        <v>2024</v>
      </c>
      <c r="T1115" t="s">
        <v>1911</v>
      </c>
      <c r="U1115">
        <v>11</v>
      </c>
      <c r="V1115" t="s">
        <v>1803</v>
      </c>
    </row>
    <row r="1116" spans="1:22" x14ac:dyDescent="0.3">
      <c r="A1116" t="s">
        <v>2035</v>
      </c>
      <c r="B1116" s="1">
        <v>45625</v>
      </c>
      <c r="C1116" t="s">
        <v>1133</v>
      </c>
      <c r="D1116" t="s">
        <v>424</v>
      </c>
      <c r="E1116" t="s">
        <v>61</v>
      </c>
      <c r="F1116" t="s">
        <v>78</v>
      </c>
      <c r="G1116" t="s">
        <v>104</v>
      </c>
      <c r="H1116" t="s">
        <v>28</v>
      </c>
      <c r="I1116" t="s">
        <v>73</v>
      </c>
      <c r="J1116" t="s">
        <v>74</v>
      </c>
      <c r="K1116">
        <v>2</v>
      </c>
      <c r="L1116">
        <v>2414.4499999999998</v>
      </c>
      <c r="M1116">
        <v>0.05</v>
      </c>
      <c r="N1116">
        <v>4587.45</v>
      </c>
      <c r="O1116">
        <v>2706.06</v>
      </c>
      <c r="P1116">
        <v>1881.39</v>
      </c>
      <c r="Q1116" t="s">
        <v>113</v>
      </c>
      <c r="R1116">
        <v>0.41011673151750982</v>
      </c>
      <c r="S1116">
        <v>2024</v>
      </c>
      <c r="T1116" t="s">
        <v>1911</v>
      </c>
      <c r="U1116">
        <v>11</v>
      </c>
      <c r="V1116" t="s">
        <v>1803</v>
      </c>
    </row>
    <row r="1117" spans="1:22" x14ac:dyDescent="0.3">
      <c r="A1117" t="s">
        <v>2036</v>
      </c>
      <c r="B1117" s="1">
        <v>45626</v>
      </c>
      <c r="C1117" t="s">
        <v>2037</v>
      </c>
      <c r="D1117" t="s">
        <v>398</v>
      </c>
      <c r="E1117" t="s">
        <v>61</v>
      </c>
      <c r="F1117" t="s">
        <v>62</v>
      </c>
      <c r="G1117" t="s">
        <v>228</v>
      </c>
      <c r="H1117" t="s">
        <v>64</v>
      </c>
      <c r="I1117" t="s">
        <v>65</v>
      </c>
      <c r="J1117" t="s">
        <v>66</v>
      </c>
      <c r="K1117">
        <v>4</v>
      </c>
      <c r="L1117">
        <v>4944.17</v>
      </c>
      <c r="M1117">
        <v>0.1</v>
      </c>
      <c r="N1117">
        <v>17799.009999999998</v>
      </c>
      <c r="O1117">
        <v>12155.17</v>
      </c>
      <c r="P1117">
        <v>5643.84</v>
      </c>
      <c r="Q1117" t="s">
        <v>53</v>
      </c>
      <c r="R1117">
        <v>0.31708729867560048</v>
      </c>
      <c r="S1117">
        <v>2024</v>
      </c>
      <c r="T1117" t="s">
        <v>1911</v>
      </c>
      <c r="U1117">
        <v>11</v>
      </c>
      <c r="V1117" t="s">
        <v>1803</v>
      </c>
    </row>
    <row r="1118" spans="1:22" x14ac:dyDescent="0.3">
      <c r="A1118" t="s">
        <v>2038</v>
      </c>
      <c r="B1118" s="1">
        <v>45627</v>
      </c>
      <c r="C1118" t="s">
        <v>2039</v>
      </c>
      <c r="D1118" t="s">
        <v>137</v>
      </c>
      <c r="E1118" t="s">
        <v>25</v>
      </c>
      <c r="F1118" t="s">
        <v>26</v>
      </c>
      <c r="G1118" t="s">
        <v>171</v>
      </c>
      <c r="H1118" t="s">
        <v>84</v>
      </c>
      <c r="I1118" t="s">
        <v>85</v>
      </c>
      <c r="J1118" t="s">
        <v>145</v>
      </c>
      <c r="K1118">
        <v>1</v>
      </c>
      <c r="L1118">
        <v>3151.16</v>
      </c>
      <c r="M1118">
        <v>0.1</v>
      </c>
      <c r="N1118">
        <v>2836.04</v>
      </c>
      <c r="O1118">
        <v>1832.3</v>
      </c>
      <c r="P1118">
        <v>1003.74</v>
      </c>
      <c r="Q1118" t="s">
        <v>113</v>
      </c>
      <c r="R1118">
        <v>0.35392307583814048</v>
      </c>
      <c r="S1118">
        <v>2024</v>
      </c>
      <c r="T1118" t="s">
        <v>2040</v>
      </c>
      <c r="U1118">
        <v>12</v>
      </c>
      <c r="V1118" t="s">
        <v>1803</v>
      </c>
    </row>
    <row r="1119" spans="1:22" x14ac:dyDescent="0.3">
      <c r="A1119" t="s">
        <v>2041</v>
      </c>
      <c r="B1119" s="1">
        <v>45627</v>
      </c>
      <c r="C1119" t="s">
        <v>1362</v>
      </c>
      <c r="D1119" t="s">
        <v>119</v>
      </c>
      <c r="E1119" t="s">
        <v>61</v>
      </c>
      <c r="F1119" t="s">
        <v>71</v>
      </c>
      <c r="G1119" t="s">
        <v>72</v>
      </c>
      <c r="H1119" t="s">
        <v>84</v>
      </c>
      <c r="I1119" t="s">
        <v>138</v>
      </c>
      <c r="J1119" t="s">
        <v>220</v>
      </c>
      <c r="K1119">
        <v>4</v>
      </c>
      <c r="L1119">
        <v>7917.04</v>
      </c>
      <c r="M1119">
        <v>0.2</v>
      </c>
      <c r="N1119">
        <v>25334.53</v>
      </c>
      <c r="O1119">
        <v>20278.759999999998</v>
      </c>
      <c r="P1119">
        <v>5055.7700000000004</v>
      </c>
      <c r="Q1119" t="s">
        <v>31</v>
      </c>
      <c r="R1119">
        <v>0.1995604418159721</v>
      </c>
      <c r="S1119">
        <v>2024</v>
      </c>
      <c r="T1119" t="s">
        <v>2040</v>
      </c>
      <c r="U1119">
        <v>12</v>
      </c>
      <c r="V1119" t="s">
        <v>1803</v>
      </c>
    </row>
    <row r="1120" spans="1:22" x14ac:dyDescent="0.3">
      <c r="A1120" t="s">
        <v>2042</v>
      </c>
      <c r="B1120" s="1">
        <v>45627</v>
      </c>
      <c r="C1120" t="s">
        <v>2043</v>
      </c>
      <c r="D1120" t="s">
        <v>1033</v>
      </c>
      <c r="E1120" t="s">
        <v>25</v>
      </c>
      <c r="F1120" t="s">
        <v>26</v>
      </c>
      <c r="G1120" t="s">
        <v>171</v>
      </c>
      <c r="H1120" t="s">
        <v>84</v>
      </c>
      <c r="I1120" t="s">
        <v>85</v>
      </c>
      <c r="J1120" t="s">
        <v>145</v>
      </c>
      <c r="K1120">
        <v>1</v>
      </c>
      <c r="L1120">
        <v>3219.92</v>
      </c>
      <c r="M1120">
        <v>0.1</v>
      </c>
      <c r="N1120">
        <v>2897.93</v>
      </c>
      <c r="O1120">
        <v>1771.84</v>
      </c>
      <c r="P1120">
        <v>1126.0899999999999</v>
      </c>
      <c r="Q1120" t="s">
        <v>113</v>
      </c>
      <c r="R1120">
        <v>0.38858426532041829</v>
      </c>
      <c r="S1120">
        <v>2024</v>
      </c>
      <c r="T1120" t="s">
        <v>2040</v>
      </c>
      <c r="U1120">
        <v>12</v>
      </c>
      <c r="V1120" t="s">
        <v>1803</v>
      </c>
    </row>
    <row r="1121" spans="1:22" x14ac:dyDescent="0.3">
      <c r="A1121" t="s">
        <v>2044</v>
      </c>
      <c r="B1121" s="1">
        <v>45627</v>
      </c>
      <c r="C1121" t="s">
        <v>2045</v>
      </c>
      <c r="D1121" t="s">
        <v>675</v>
      </c>
      <c r="E1121" t="s">
        <v>61</v>
      </c>
      <c r="F1121" t="s">
        <v>78</v>
      </c>
      <c r="G1121" t="s">
        <v>104</v>
      </c>
      <c r="H1121" t="s">
        <v>43</v>
      </c>
      <c r="I1121" t="s">
        <v>51</v>
      </c>
      <c r="J1121" t="s">
        <v>96</v>
      </c>
      <c r="K1121">
        <v>2</v>
      </c>
      <c r="L1121">
        <v>509.09</v>
      </c>
      <c r="M1121">
        <v>0.05</v>
      </c>
      <c r="N1121">
        <v>967.27</v>
      </c>
      <c r="O1121">
        <v>469.65</v>
      </c>
      <c r="P1121">
        <v>497.62</v>
      </c>
      <c r="Q1121" t="s">
        <v>113</v>
      </c>
      <c r="R1121">
        <v>0.51445821745738007</v>
      </c>
      <c r="S1121">
        <v>2024</v>
      </c>
      <c r="T1121" t="s">
        <v>2040</v>
      </c>
      <c r="U1121">
        <v>12</v>
      </c>
      <c r="V1121" t="s">
        <v>1803</v>
      </c>
    </row>
    <row r="1122" spans="1:22" x14ac:dyDescent="0.3">
      <c r="A1122" t="s">
        <v>2046</v>
      </c>
      <c r="B1122" s="1">
        <v>45627</v>
      </c>
      <c r="C1122" t="s">
        <v>728</v>
      </c>
      <c r="D1122" t="s">
        <v>2047</v>
      </c>
      <c r="E1122" t="s">
        <v>120</v>
      </c>
      <c r="F1122" t="s">
        <v>121</v>
      </c>
      <c r="G1122" t="s">
        <v>122</v>
      </c>
      <c r="H1122" t="s">
        <v>28</v>
      </c>
      <c r="I1122" t="s">
        <v>29</v>
      </c>
      <c r="J1122" t="s">
        <v>57</v>
      </c>
      <c r="K1122">
        <v>1</v>
      </c>
      <c r="L1122">
        <v>15139.06</v>
      </c>
      <c r="M1122">
        <v>0</v>
      </c>
      <c r="N1122">
        <v>15139.06</v>
      </c>
      <c r="O1122">
        <v>11744.78</v>
      </c>
      <c r="P1122">
        <v>3394.28</v>
      </c>
      <c r="Q1122" t="s">
        <v>53</v>
      </c>
      <c r="R1122">
        <v>0.22420678694714211</v>
      </c>
      <c r="S1122">
        <v>2024</v>
      </c>
      <c r="T1122" t="s">
        <v>2040</v>
      </c>
      <c r="U1122">
        <v>12</v>
      </c>
      <c r="V1122" t="s">
        <v>1803</v>
      </c>
    </row>
    <row r="1123" spans="1:22" x14ac:dyDescent="0.3">
      <c r="A1123" t="s">
        <v>2048</v>
      </c>
      <c r="B1123" s="1">
        <v>45627</v>
      </c>
      <c r="C1123" t="s">
        <v>1040</v>
      </c>
      <c r="D1123" t="s">
        <v>418</v>
      </c>
      <c r="E1123" t="s">
        <v>61</v>
      </c>
      <c r="F1123" t="s">
        <v>62</v>
      </c>
      <c r="G1123" t="s">
        <v>63</v>
      </c>
      <c r="H1123" t="s">
        <v>64</v>
      </c>
      <c r="I1123" t="s">
        <v>65</v>
      </c>
      <c r="J1123" t="s">
        <v>66</v>
      </c>
      <c r="K1123">
        <v>2</v>
      </c>
      <c r="L1123">
        <v>4767.71</v>
      </c>
      <c r="M1123">
        <v>0.2</v>
      </c>
      <c r="N1123">
        <v>7628.34</v>
      </c>
      <c r="O1123">
        <v>5980.39</v>
      </c>
      <c r="P1123">
        <v>1647.95</v>
      </c>
      <c r="Q1123" t="s">
        <v>31</v>
      </c>
      <c r="R1123">
        <v>0.2160299619576474</v>
      </c>
      <c r="S1123">
        <v>2024</v>
      </c>
      <c r="T1123" t="s">
        <v>2040</v>
      </c>
      <c r="U1123">
        <v>12</v>
      </c>
      <c r="V1123" t="s">
        <v>1803</v>
      </c>
    </row>
    <row r="1124" spans="1:22" x14ac:dyDescent="0.3">
      <c r="A1124" t="s">
        <v>2049</v>
      </c>
      <c r="B1124" s="1">
        <v>45628</v>
      </c>
      <c r="C1124" t="s">
        <v>300</v>
      </c>
      <c r="D1124" t="s">
        <v>494</v>
      </c>
      <c r="E1124" t="s">
        <v>25</v>
      </c>
      <c r="F1124" t="s">
        <v>26</v>
      </c>
      <c r="G1124" t="s">
        <v>171</v>
      </c>
      <c r="H1124" t="s">
        <v>64</v>
      </c>
      <c r="I1124" t="s">
        <v>108</v>
      </c>
      <c r="J1124" t="s">
        <v>155</v>
      </c>
      <c r="K1124">
        <v>1</v>
      </c>
      <c r="L1124">
        <v>8475.75</v>
      </c>
      <c r="M1124">
        <v>0</v>
      </c>
      <c r="N1124">
        <v>8475.75</v>
      </c>
      <c r="O1124">
        <v>5760.89</v>
      </c>
      <c r="P1124">
        <v>2714.86</v>
      </c>
      <c r="Q1124" t="s">
        <v>53</v>
      </c>
      <c r="R1124">
        <v>0.32030911718726962</v>
      </c>
      <c r="S1124">
        <v>2024</v>
      </c>
      <c r="T1124" t="s">
        <v>2040</v>
      </c>
      <c r="U1124">
        <v>12</v>
      </c>
      <c r="V1124" t="s">
        <v>1803</v>
      </c>
    </row>
    <row r="1125" spans="1:22" x14ac:dyDescent="0.3">
      <c r="A1125" t="s">
        <v>2050</v>
      </c>
      <c r="B1125" s="1">
        <v>45628</v>
      </c>
      <c r="C1125" t="s">
        <v>459</v>
      </c>
      <c r="D1125" t="s">
        <v>468</v>
      </c>
      <c r="E1125" t="s">
        <v>120</v>
      </c>
      <c r="F1125" t="s">
        <v>121</v>
      </c>
      <c r="G1125" t="s">
        <v>130</v>
      </c>
      <c r="H1125" t="s">
        <v>64</v>
      </c>
      <c r="I1125" t="s">
        <v>65</v>
      </c>
      <c r="J1125" t="s">
        <v>66</v>
      </c>
      <c r="K1125">
        <v>3</v>
      </c>
      <c r="L1125">
        <v>4955.46</v>
      </c>
      <c r="M1125">
        <v>0.05</v>
      </c>
      <c r="N1125">
        <v>14123.06</v>
      </c>
      <c r="O1125">
        <v>8950.2000000000007</v>
      </c>
      <c r="P1125">
        <v>5172.8599999999997</v>
      </c>
      <c r="Q1125" t="s">
        <v>113</v>
      </c>
      <c r="R1125">
        <v>0.36627048245918381</v>
      </c>
      <c r="S1125">
        <v>2024</v>
      </c>
      <c r="T1125" t="s">
        <v>2040</v>
      </c>
      <c r="U1125">
        <v>12</v>
      </c>
      <c r="V1125" t="s">
        <v>1803</v>
      </c>
    </row>
    <row r="1126" spans="1:22" x14ac:dyDescent="0.3">
      <c r="A1126" t="s">
        <v>2051</v>
      </c>
      <c r="B1126" s="1">
        <v>45628</v>
      </c>
      <c r="C1126" t="s">
        <v>94</v>
      </c>
      <c r="D1126" t="s">
        <v>1513</v>
      </c>
      <c r="E1126" t="s">
        <v>61</v>
      </c>
      <c r="F1126" t="s">
        <v>78</v>
      </c>
      <c r="G1126" t="s">
        <v>79</v>
      </c>
      <c r="H1126" t="s">
        <v>64</v>
      </c>
      <c r="I1126" t="s">
        <v>65</v>
      </c>
      <c r="J1126" t="s">
        <v>232</v>
      </c>
      <c r="K1126">
        <v>5</v>
      </c>
      <c r="L1126">
        <v>4060.77</v>
      </c>
      <c r="M1126">
        <v>0.1</v>
      </c>
      <c r="N1126">
        <v>18273.47</v>
      </c>
      <c r="O1126">
        <v>12468.55</v>
      </c>
      <c r="P1126">
        <v>5804.92</v>
      </c>
      <c r="Q1126" t="s">
        <v>67</v>
      </c>
      <c r="R1126">
        <v>0.31766927682591212</v>
      </c>
      <c r="S1126">
        <v>2024</v>
      </c>
      <c r="T1126" t="s">
        <v>2040</v>
      </c>
      <c r="U1126">
        <v>12</v>
      </c>
      <c r="V1126" t="s">
        <v>1803</v>
      </c>
    </row>
    <row r="1127" spans="1:22" x14ac:dyDescent="0.3">
      <c r="A1127" t="s">
        <v>2052</v>
      </c>
      <c r="B1127" s="1">
        <v>45628</v>
      </c>
      <c r="C1127" t="s">
        <v>1176</v>
      </c>
      <c r="D1127" t="s">
        <v>142</v>
      </c>
      <c r="E1127" t="s">
        <v>61</v>
      </c>
      <c r="F1127" t="s">
        <v>62</v>
      </c>
      <c r="G1127" t="s">
        <v>134</v>
      </c>
      <c r="H1127" t="s">
        <v>28</v>
      </c>
      <c r="I1127" t="s">
        <v>29</v>
      </c>
      <c r="J1127" t="s">
        <v>57</v>
      </c>
      <c r="K1127">
        <v>1</v>
      </c>
      <c r="L1127">
        <v>15513.31</v>
      </c>
      <c r="M1127">
        <v>0.15</v>
      </c>
      <c r="N1127">
        <v>13186.31</v>
      </c>
      <c r="O1127">
        <v>11556.33</v>
      </c>
      <c r="P1127">
        <v>1629.98</v>
      </c>
      <c r="Q1127" t="s">
        <v>53</v>
      </c>
      <c r="R1127">
        <v>0.1236115334767649</v>
      </c>
      <c r="S1127">
        <v>2024</v>
      </c>
      <c r="T1127" t="s">
        <v>2040</v>
      </c>
      <c r="U1127">
        <v>12</v>
      </c>
      <c r="V1127" t="s">
        <v>1803</v>
      </c>
    </row>
    <row r="1128" spans="1:22" x14ac:dyDescent="0.3">
      <c r="A1128" t="s">
        <v>2053</v>
      </c>
      <c r="B1128" s="1">
        <v>45628</v>
      </c>
      <c r="C1128" t="s">
        <v>537</v>
      </c>
      <c r="D1128" t="s">
        <v>954</v>
      </c>
      <c r="E1128" t="s">
        <v>61</v>
      </c>
      <c r="F1128" t="s">
        <v>78</v>
      </c>
      <c r="G1128" t="s">
        <v>104</v>
      </c>
      <c r="H1128" t="s">
        <v>28</v>
      </c>
      <c r="I1128" t="s">
        <v>29</v>
      </c>
      <c r="J1128" t="s">
        <v>30</v>
      </c>
      <c r="K1128">
        <v>1</v>
      </c>
      <c r="L1128">
        <v>58085.15</v>
      </c>
      <c r="M1128">
        <v>0.1</v>
      </c>
      <c r="N1128">
        <v>52276.639999999999</v>
      </c>
      <c r="O1128">
        <v>52463.51</v>
      </c>
      <c r="P1128">
        <v>-186.87</v>
      </c>
      <c r="Q1128" t="s">
        <v>67</v>
      </c>
      <c r="R1128">
        <v>-3.574636778492268E-3</v>
      </c>
      <c r="S1128">
        <v>2024</v>
      </c>
      <c r="T1128" t="s">
        <v>2040</v>
      </c>
      <c r="U1128">
        <v>12</v>
      </c>
      <c r="V1128" t="s">
        <v>1803</v>
      </c>
    </row>
    <row r="1129" spans="1:22" x14ac:dyDescent="0.3">
      <c r="A1129" t="s">
        <v>2054</v>
      </c>
      <c r="B1129" s="1">
        <v>45628</v>
      </c>
      <c r="C1129" t="s">
        <v>1035</v>
      </c>
      <c r="D1129" t="s">
        <v>929</v>
      </c>
      <c r="E1129" t="s">
        <v>120</v>
      </c>
      <c r="F1129" t="s">
        <v>121</v>
      </c>
      <c r="G1129" t="s">
        <v>130</v>
      </c>
      <c r="H1129" t="s">
        <v>84</v>
      </c>
      <c r="I1129" t="s">
        <v>138</v>
      </c>
      <c r="J1129" t="s">
        <v>139</v>
      </c>
      <c r="K1129">
        <v>2</v>
      </c>
      <c r="L1129">
        <v>12458.54</v>
      </c>
      <c r="M1129">
        <v>0</v>
      </c>
      <c r="N1129">
        <v>24917.08</v>
      </c>
      <c r="O1129">
        <v>17983.7</v>
      </c>
      <c r="P1129">
        <v>6933.38</v>
      </c>
      <c r="Q1129" t="s">
        <v>31</v>
      </c>
      <c r="R1129">
        <v>0.27825812655415483</v>
      </c>
      <c r="S1129">
        <v>2024</v>
      </c>
      <c r="T1129" t="s">
        <v>2040</v>
      </c>
      <c r="U1129">
        <v>12</v>
      </c>
      <c r="V1129" t="s">
        <v>1803</v>
      </c>
    </row>
    <row r="1130" spans="1:22" x14ac:dyDescent="0.3">
      <c r="A1130" t="s">
        <v>2055</v>
      </c>
      <c r="B1130" s="1">
        <v>45629</v>
      </c>
      <c r="C1130" t="s">
        <v>892</v>
      </c>
      <c r="D1130" t="s">
        <v>789</v>
      </c>
      <c r="E1130" t="s">
        <v>41</v>
      </c>
      <c r="F1130" t="s">
        <v>42</v>
      </c>
      <c r="G1130" t="s">
        <v>42</v>
      </c>
      <c r="H1130" t="s">
        <v>43</v>
      </c>
      <c r="I1130" t="s">
        <v>44</v>
      </c>
      <c r="J1130" t="s">
        <v>45</v>
      </c>
      <c r="K1130">
        <v>2</v>
      </c>
      <c r="L1130">
        <v>254.6</v>
      </c>
      <c r="M1130">
        <v>0</v>
      </c>
      <c r="N1130">
        <v>509.2</v>
      </c>
      <c r="O1130">
        <v>190.69</v>
      </c>
      <c r="P1130">
        <v>318.51</v>
      </c>
      <c r="Q1130" t="s">
        <v>113</v>
      </c>
      <c r="R1130">
        <v>0.6255106048703849</v>
      </c>
      <c r="S1130">
        <v>2024</v>
      </c>
      <c r="T1130" t="s">
        <v>2040</v>
      </c>
      <c r="U1130">
        <v>12</v>
      </c>
      <c r="V1130" t="s">
        <v>1803</v>
      </c>
    </row>
    <row r="1131" spans="1:22" x14ac:dyDescent="0.3">
      <c r="A1131" t="s">
        <v>2056</v>
      </c>
      <c r="B1131" s="1">
        <v>45629</v>
      </c>
      <c r="C1131" t="s">
        <v>1128</v>
      </c>
      <c r="D1131" t="s">
        <v>1525</v>
      </c>
      <c r="E1131" t="s">
        <v>61</v>
      </c>
      <c r="F1131" t="s">
        <v>78</v>
      </c>
      <c r="G1131" t="s">
        <v>79</v>
      </c>
      <c r="H1131" t="s">
        <v>43</v>
      </c>
      <c r="I1131" t="s">
        <v>44</v>
      </c>
      <c r="J1131" t="s">
        <v>248</v>
      </c>
      <c r="K1131">
        <v>2</v>
      </c>
      <c r="L1131">
        <v>304.88</v>
      </c>
      <c r="M1131">
        <v>0.1</v>
      </c>
      <c r="N1131">
        <v>548.78</v>
      </c>
      <c r="O1131">
        <v>263.31</v>
      </c>
      <c r="P1131">
        <v>285.47000000000003</v>
      </c>
      <c r="Q1131" t="s">
        <v>31</v>
      </c>
      <c r="R1131">
        <v>0.52019024016910242</v>
      </c>
      <c r="S1131">
        <v>2024</v>
      </c>
      <c r="T1131" t="s">
        <v>2040</v>
      </c>
      <c r="U1131">
        <v>12</v>
      </c>
      <c r="V1131" t="s">
        <v>1803</v>
      </c>
    </row>
    <row r="1132" spans="1:22" x14ac:dyDescent="0.3">
      <c r="A1132" t="s">
        <v>2057</v>
      </c>
      <c r="B1132" s="1">
        <v>45629</v>
      </c>
      <c r="C1132" t="s">
        <v>989</v>
      </c>
      <c r="D1132" t="s">
        <v>223</v>
      </c>
      <c r="E1132" t="s">
        <v>41</v>
      </c>
      <c r="F1132" t="s">
        <v>42</v>
      </c>
      <c r="G1132" t="s">
        <v>42</v>
      </c>
      <c r="H1132" t="s">
        <v>84</v>
      </c>
      <c r="I1132" t="s">
        <v>85</v>
      </c>
      <c r="J1132" t="s">
        <v>145</v>
      </c>
      <c r="K1132">
        <v>2</v>
      </c>
      <c r="L1132">
        <v>3485.11</v>
      </c>
      <c r="M1132">
        <v>0.1</v>
      </c>
      <c r="N1132">
        <v>6273.2</v>
      </c>
      <c r="O1132">
        <v>3913.97</v>
      </c>
      <c r="P1132">
        <v>2359.23</v>
      </c>
      <c r="Q1132" t="s">
        <v>46</v>
      </c>
      <c r="R1132">
        <v>0.37608078811451889</v>
      </c>
      <c r="S1132">
        <v>2024</v>
      </c>
      <c r="T1132" t="s">
        <v>2040</v>
      </c>
      <c r="U1132">
        <v>12</v>
      </c>
      <c r="V1132" t="s">
        <v>1803</v>
      </c>
    </row>
    <row r="1133" spans="1:22" x14ac:dyDescent="0.3">
      <c r="A1133" t="s">
        <v>2058</v>
      </c>
      <c r="B1133" s="1">
        <v>45630</v>
      </c>
      <c r="C1133" t="s">
        <v>2059</v>
      </c>
      <c r="D1133" t="s">
        <v>1060</v>
      </c>
      <c r="E1133" t="s">
        <v>61</v>
      </c>
      <c r="F1133" t="s">
        <v>78</v>
      </c>
      <c r="G1133" t="s">
        <v>79</v>
      </c>
      <c r="H1133" t="s">
        <v>84</v>
      </c>
      <c r="I1133" t="s">
        <v>85</v>
      </c>
      <c r="J1133" t="s">
        <v>86</v>
      </c>
      <c r="K1133">
        <v>1</v>
      </c>
      <c r="L1133">
        <v>1882.16</v>
      </c>
      <c r="M1133">
        <v>0.15</v>
      </c>
      <c r="N1133">
        <v>1599.84</v>
      </c>
      <c r="O1133">
        <v>1041.69</v>
      </c>
      <c r="P1133">
        <v>558.15</v>
      </c>
      <c r="Q1133" t="s">
        <v>46</v>
      </c>
      <c r="R1133">
        <v>0.34887863786378642</v>
      </c>
      <c r="S1133">
        <v>2024</v>
      </c>
      <c r="T1133" t="s">
        <v>2040</v>
      </c>
      <c r="U1133">
        <v>12</v>
      </c>
      <c r="V1133" t="s">
        <v>1803</v>
      </c>
    </row>
    <row r="1134" spans="1:22" x14ac:dyDescent="0.3">
      <c r="A1134" t="s">
        <v>2060</v>
      </c>
      <c r="B1134" s="1">
        <v>45630</v>
      </c>
      <c r="C1134" t="s">
        <v>456</v>
      </c>
      <c r="D1134" t="s">
        <v>212</v>
      </c>
      <c r="E1134" t="s">
        <v>61</v>
      </c>
      <c r="F1134" t="s">
        <v>78</v>
      </c>
      <c r="G1134" t="s">
        <v>79</v>
      </c>
      <c r="H1134" t="s">
        <v>64</v>
      </c>
      <c r="I1134" t="s">
        <v>108</v>
      </c>
      <c r="J1134" t="s">
        <v>155</v>
      </c>
      <c r="K1134">
        <v>4</v>
      </c>
      <c r="L1134">
        <v>8038.59</v>
      </c>
      <c r="M1134">
        <v>0</v>
      </c>
      <c r="N1134">
        <v>32154.36</v>
      </c>
      <c r="O1134">
        <v>22075.23</v>
      </c>
      <c r="P1134">
        <v>10079.129999999999</v>
      </c>
      <c r="Q1134" t="s">
        <v>53</v>
      </c>
      <c r="R1134">
        <v>0.31346075617738928</v>
      </c>
      <c r="S1134">
        <v>2024</v>
      </c>
      <c r="T1134" t="s">
        <v>2040</v>
      </c>
      <c r="U1134">
        <v>12</v>
      </c>
      <c r="V1134" t="s">
        <v>1803</v>
      </c>
    </row>
    <row r="1135" spans="1:22" x14ac:dyDescent="0.3">
      <c r="A1135" t="s">
        <v>2061</v>
      </c>
      <c r="B1135" s="1">
        <v>45631</v>
      </c>
      <c r="C1135" t="s">
        <v>830</v>
      </c>
      <c r="D1135" t="s">
        <v>497</v>
      </c>
      <c r="E1135" t="s">
        <v>25</v>
      </c>
      <c r="F1135" t="s">
        <v>26</v>
      </c>
      <c r="G1135" t="s">
        <v>27</v>
      </c>
      <c r="H1135" t="s">
        <v>43</v>
      </c>
      <c r="I1135" t="s">
        <v>51</v>
      </c>
      <c r="J1135" t="s">
        <v>52</v>
      </c>
      <c r="K1135">
        <v>3</v>
      </c>
      <c r="L1135">
        <v>726.56</v>
      </c>
      <c r="M1135">
        <v>0.1</v>
      </c>
      <c r="N1135">
        <v>1961.71</v>
      </c>
      <c r="O1135">
        <v>1041.7</v>
      </c>
      <c r="P1135">
        <v>920.01</v>
      </c>
      <c r="Q1135" t="s">
        <v>53</v>
      </c>
      <c r="R1135">
        <v>0.46898369279862978</v>
      </c>
      <c r="S1135">
        <v>2024</v>
      </c>
      <c r="T1135" t="s">
        <v>2040</v>
      </c>
      <c r="U1135">
        <v>12</v>
      </c>
      <c r="V1135" t="s">
        <v>1803</v>
      </c>
    </row>
    <row r="1136" spans="1:22" x14ac:dyDescent="0.3">
      <c r="A1136" t="s">
        <v>2062</v>
      </c>
      <c r="B1136" s="1">
        <v>45631</v>
      </c>
      <c r="C1136" t="s">
        <v>1568</v>
      </c>
      <c r="D1136" t="s">
        <v>161</v>
      </c>
      <c r="E1136" t="s">
        <v>41</v>
      </c>
      <c r="F1136" t="s">
        <v>42</v>
      </c>
      <c r="G1136" t="s">
        <v>50</v>
      </c>
      <c r="H1136" t="s">
        <v>28</v>
      </c>
      <c r="I1136" t="s">
        <v>73</v>
      </c>
      <c r="J1136" t="s">
        <v>80</v>
      </c>
      <c r="K1136">
        <v>1</v>
      </c>
      <c r="L1136">
        <v>832.61</v>
      </c>
      <c r="M1136">
        <v>0.1</v>
      </c>
      <c r="N1136">
        <v>749.35</v>
      </c>
      <c r="O1136">
        <v>535.42999999999995</v>
      </c>
      <c r="P1136">
        <v>213.92</v>
      </c>
      <c r="Q1136" t="s">
        <v>31</v>
      </c>
      <c r="R1136">
        <v>0.28547407753386272</v>
      </c>
      <c r="S1136">
        <v>2024</v>
      </c>
      <c r="T1136" t="s">
        <v>2040</v>
      </c>
      <c r="U1136">
        <v>12</v>
      </c>
      <c r="V1136" t="s">
        <v>1803</v>
      </c>
    </row>
    <row r="1137" spans="1:22" x14ac:dyDescent="0.3">
      <c r="A1137" t="s">
        <v>2063</v>
      </c>
      <c r="B1137" s="1">
        <v>45631</v>
      </c>
      <c r="C1137" t="s">
        <v>1025</v>
      </c>
      <c r="D1137" t="s">
        <v>2064</v>
      </c>
      <c r="E1137" t="s">
        <v>61</v>
      </c>
      <c r="F1137" t="s">
        <v>71</v>
      </c>
      <c r="G1137" t="s">
        <v>201</v>
      </c>
      <c r="H1137" t="s">
        <v>43</v>
      </c>
      <c r="I1137" t="s">
        <v>51</v>
      </c>
      <c r="J1137" t="s">
        <v>96</v>
      </c>
      <c r="K1137">
        <v>2</v>
      </c>
      <c r="L1137">
        <v>472.32</v>
      </c>
      <c r="M1137">
        <v>0</v>
      </c>
      <c r="N1137">
        <v>944.64</v>
      </c>
      <c r="O1137">
        <v>420.71</v>
      </c>
      <c r="P1137">
        <v>523.92999999999995</v>
      </c>
      <c r="Q1137" t="s">
        <v>31</v>
      </c>
      <c r="R1137">
        <v>0.55463456978319781</v>
      </c>
      <c r="S1137">
        <v>2024</v>
      </c>
      <c r="T1137" t="s">
        <v>2040</v>
      </c>
      <c r="U1137">
        <v>12</v>
      </c>
      <c r="V1137" t="s">
        <v>1803</v>
      </c>
    </row>
    <row r="1138" spans="1:22" x14ac:dyDescent="0.3">
      <c r="A1138" t="s">
        <v>2065</v>
      </c>
      <c r="B1138" s="1">
        <v>45631</v>
      </c>
      <c r="C1138" t="s">
        <v>1763</v>
      </c>
      <c r="D1138" t="s">
        <v>1230</v>
      </c>
      <c r="E1138" t="s">
        <v>61</v>
      </c>
      <c r="F1138" t="s">
        <v>62</v>
      </c>
      <c r="G1138" t="s">
        <v>228</v>
      </c>
      <c r="H1138" t="s">
        <v>28</v>
      </c>
      <c r="I1138" t="s">
        <v>29</v>
      </c>
      <c r="J1138" t="s">
        <v>30</v>
      </c>
      <c r="K1138">
        <v>1</v>
      </c>
      <c r="L1138">
        <v>56863.59</v>
      </c>
      <c r="M1138">
        <v>0.15</v>
      </c>
      <c r="N1138">
        <v>48334.05</v>
      </c>
      <c r="O1138">
        <v>50907.14</v>
      </c>
      <c r="P1138">
        <v>-2573.09</v>
      </c>
      <c r="Q1138" t="s">
        <v>113</v>
      </c>
      <c r="R1138">
        <v>-5.3235555472798159E-2</v>
      </c>
      <c r="S1138">
        <v>2024</v>
      </c>
      <c r="T1138" t="s">
        <v>2040</v>
      </c>
      <c r="U1138">
        <v>12</v>
      </c>
      <c r="V1138" t="s">
        <v>1803</v>
      </c>
    </row>
    <row r="1139" spans="1:22" x14ac:dyDescent="0.3">
      <c r="A1139" t="s">
        <v>2066</v>
      </c>
      <c r="B1139" s="1">
        <v>45632</v>
      </c>
      <c r="C1139" t="s">
        <v>1964</v>
      </c>
      <c r="D1139" t="s">
        <v>437</v>
      </c>
      <c r="E1139" t="s">
        <v>61</v>
      </c>
      <c r="F1139" t="s">
        <v>71</v>
      </c>
      <c r="G1139" t="s">
        <v>317</v>
      </c>
      <c r="H1139" t="s">
        <v>28</v>
      </c>
      <c r="I1139" t="s">
        <v>73</v>
      </c>
      <c r="J1139" t="s">
        <v>74</v>
      </c>
      <c r="K1139">
        <v>4</v>
      </c>
      <c r="L1139">
        <v>2429.39</v>
      </c>
      <c r="M1139">
        <v>0.1</v>
      </c>
      <c r="N1139">
        <v>8745.7999999999993</v>
      </c>
      <c r="O1139">
        <v>5168.24</v>
      </c>
      <c r="P1139">
        <v>3577.56</v>
      </c>
      <c r="Q1139" t="s">
        <v>53</v>
      </c>
      <c r="R1139">
        <v>0.40906034896750437</v>
      </c>
      <c r="S1139">
        <v>2024</v>
      </c>
      <c r="T1139" t="s">
        <v>2040</v>
      </c>
      <c r="U1139">
        <v>12</v>
      </c>
      <c r="V1139" t="s">
        <v>1803</v>
      </c>
    </row>
    <row r="1140" spans="1:22" x14ac:dyDescent="0.3">
      <c r="A1140" t="s">
        <v>2067</v>
      </c>
      <c r="B1140" s="1">
        <v>45632</v>
      </c>
      <c r="C1140" t="s">
        <v>1388</v>
      </c>
      <c r="D1140" t="s">
        <v>851</v>
      </c>
      <c r="E1140" t="s">
        <v>41</v>
      </c>
      <c r="F1140" t="s">
        <v>42</v>
      </c>
      <c r="G1140" t="s">
        <v>42</v>
      </c>
      <c r="H1140" t="s">
        <v>28</v>
      </c>
      <c r="I1140" t="s">
        <v>73</v>
      </c>
      <c r="J1140" t="s">
        <v>74</v>
      </c>
      <c r="K1140">
        <v>4</v>
      </c>
      <c r="L1140">
        <v>2440.02</v>
      </c>
      <c r="M1140">
        <v>0.05</v>
      </c>
      <c r="N1140">
        <v>9272.08</v>
      </c>
      <c r="O1140">
        <v>5227.63</v>
      </c>
      <c r="P1140">
        <v>4044.45</v>
      </c>
      <c r="Q1140" t="s">
        <v>113</v>
      </c>
      <c r="R1140">
        <v>0.43619662470556769</v>
      </c>
      <c r="S1140">
        <v>2024</v>
      </c>
      <c r="T1140" t="s">
        <v>2040</v>
      </c>
      <c r="U1140">
        <v>12</v>
      </c>
      <c r="V1140" t="s">
        <v>1803</v>
      </c>
    </row>
    <row r="1141" spans="1:22" x14ac:dyDescent="0.3">
      <c r="A1141" t="s">
        <v>2068</v>
      </c>
      <c r="B1141" s="1">
        <v>45632</v>
      </c>
      <c r="C1141" t="s">
        <v>2069</v>
      </c>
      <c r="D1141" t="s">
        <v>911</v>
      </c>
      <c r="E1141" t="s">
        <v>61</v>
      </c>
      <c r="F1141" t="s">
        <v>62</v>
      </c>
      <c r="G1141" t="s">
        <v>90</v>
      </c>
      <c r="H1141" t="s">
        <v>43</v>
      </c>
      <c r="I1141" t="s">
        <v>51</v>
      </c>
      <c r="J1141" t="s">
        <v>52</v>
      </c>
      <c r="K1141">
        <v>3</v>
      </c>
      <c r="L1141">
        <v>724.82</v>
      </c>
      <c r="M1141">
        <v>0</v>
      </c>
      <c r="N1141">
        <v>2174.46</v>
      </c>
      <c r="O1141">
        <v>1036.48</v>
      </c>
      <c r="P1141">
        <v>1137.98</v>
      </c>
      <c r="Q1141" t="s">
        <v>53</v>
      </c>
      <c r="R1141">
        <v>0.52333912787542658</v>
      </c>
      <c r="S1141">
        <v>2024</v>
      </c>
      <c r="T1141" t="s">
        <v>2040</v>
      </c>
      <c r="U1141">
        <v>12</v>
      </c>
      <c r="V1141" t="s">
        <v>1803</v>
      </c>
    </row>
    <row r="1142" spans="1:22" x14ac:dyDescent="0.3">
      <c r="A1142" t="s">
        <v>2070</v>
      </c>
      <c r="B1142" s="1">
        <v>45632</v>
      </c>
      <c r="C1142" t="s">
        <v>784</v>
      </c>
      <c r="D1142" t="s">
        <v>1230</v>
      </c>
      <c r="E1142" t="s">
        <v>61</v>
      </c>
      <c r="F1142" t="s">
        <v>71</v>
      </c>
      <c r="G1142" t="s">
        <v>317</v>
      </c>
      <c r="H1142" t="s">
        <v>28</v>
      </c>
      <c r="I1142" t="s">
        <v>91</v>
      </c>
      <c r="J1142" t="s">
        <v>92</v>
      </c>
      <c r="K1142">
        <v>2</v>
      </c>
      <c r="L1142">
        <v>2839.54</v>
      </c>
      <c r="M1142">
        <v>0</v>
      </c>
      <c r="N1142">
        <v>5679.08</v>
      </c>
      <c r="O1142">
        <v>3051.41</v>
      </c>
      <c r="P1142">
        <v>2627.67</v>
      </c>
      <c r="Q1142" t="s">
        <v>67</v>
      </c>
      <c r="R1142">
        <v>0.46269290096283211</v>
      </c>
      <c r="S1142">
        <v>2024</v>
      </c>
      <c r="T1142" t="s">
        <v>2040</v>
      </c>
      <c r="U1142">
        <v>12</v>
      </c>
      <c r="V1142" t="s">
        <v>1803</v>
      </c>
    </row>
    <row r="1143" spans="1:22" x14ac:dyDescent="0.3">
      <c r="A1143" t="s">
        <v>2071</v>
      </c>
      <c r="B1143" s="1">
        <v>45633</v>
      </c>
      <c r="C1143" t="s">
        <v>1410</v>
      </c>
      <c r="D1143" t="s">
        <v>626</v>
      </c>
      <c r="E1143" t="s">
        <v>61</v>
      </c>
      <c r="F1143" t="s">
        <v>78</v>
      </c>
      <c r="G1143" t="s">
        <v>216</v>
      </c>
      <c r="H1143" t="s">
        <v>84</v>
      </c>
      <c r="I1143" t="s">
        <v>138</v>
      </c>
      <c r="J1143" t="s">
        <v>220</v>
      </c>
      <c r="K1143">
        <v>1</v>
      </c>
      <c r="L1143">
        <v>7803.98</v>
      </c>
      <c r="M1143">
        <v>0.1</v>
      </c>
      <c r="N1143">
        <v>7023.58</v>
      </c>
      <c r="O1143">
        <v>5172.38</v>
      </c>
      <c r="P1143">
        <v>1851.2</v>
      </c>
      <c r="Q1143" t="s">
        <v>53</v>
      </c>
      <c r="R1143">
        <v>0.26356929087445441</v>
      </c>
      <c r="S1143">
        <v>2024</v>
      </c>
      <c r="T1143" t="s">
        <v>2040</v>
      </c>
      <c r="U1143">
        <v>12</v>
      </c>
      <c r="V1143" t="s">
        <v>1803</v>
      </c>
    </row>
    <row r="1144" spans="1:22" x14ac:dyDescent="0.3">
      <c r="A1144" t="s">
        <v>2072</v>
      </c>
      <c r="B1144" s="1">
        <v>45634</v>
      </c>
      <c r="C1144" t="s">
        <v>434</v>
      </c>
      <c r="D1144" t="s">
        <v>966</v>
      </c>
      <c r="E1144" t="s">
        <v>61</v>
      </c>
      <c r="F1144" t="s">
        <v>78</v>
      </c>
      <c r="G1144" t="s">
        <v>83</v>
      </c>
      <c r="H1144" t="s">
        <v>64</v>
      </c>
      <c r="I1144" t="s">
        <v>65</v>
      </c>
      <c r="J1144" t="s">
        <v>232</v>
      </c>
      <c r="K1144">
        <v>2</v>
      </c>
      <c r="L1144">
        <v>3998.21</v>
      </c>
      <c r="M1144">
        <v>0.05</v>
      </c>
      <c r="N1144">
        <v>7596.6</v>
      </c>
      <c r="O1144">
        <v>5004.6400000000003</v>
      </c>
      <c r="P1144">
        <v>2591.96</v>
      </c>
      <c r="Q1144" t="s">
        <v>53</v>
      </c>
      <c r="R1144">
        <v>0.34120001053102711</v>
      </c>
      <c r="S1144">
        <v>2024</v>
      </c>
      <c r="T1144" t="s">
        <v>2040</v>
      </c>
      <c r="U1144">
        <v>12</v>
      </c>
      <c r="V1144" t="s">
        <v>1803</v>
      </c>
    </row>
    <row r="1145" spans="1:22" x14ac:dyDescent="0.3">
      <c r="A1145" t="s">
        <v>2073</v>
      </c>
      <c r="B1145" s="1">
        <v>45634</v>
      </c>
      <c r="C1145" t="s">
        <v>714</v>
      </c>
      <c r="D1145" t="s">
        <v>615</v>
      </c>
      <c r="E1145" t="s">
        <v>41</v>
      </c>
      <c r="F1145" t="s">
        <v>42</v>
      </c>
      <c r="G1145" t="s">
        <v>42</v>
      </c>
      <c r="H1145" t="s">
        <v>43</v>
      </c>
      <c r="I1145" t="s">
        <v>51</v>
      </c>
      <c r="J1145" t="s">
        <v>52</v>
      </c>
      <c r="K1145">
        <v>6</v>
      </c>
      <c r="L1145">
        <v>679.61</v>
      </c>
      <c r="M1145">
        <v>0.2</v>
      </c>
      <c r="N1145">
        <v>3262.13</v>
      </c>
      <c r="O1145">
        <v>1862.09</v>
      </c>
      <c r="P1145">
        <v>1400.04</v>
      </c>
      <c r="Q1145" t="s">
        <v>31</v>
      </c>
      <c r="R1145">
        <v>0.4291797077369694</v>
      </c>
      <c r="S1145">
        <v>2024</v>
      </c>
      <c r="T1145" t="s">
        <v>2040</v>
      </c>
      <c r="U1145">
        <v>12</v>
      </c>
      <c r="V1145" t="s">
        <v>1803</v>
      </c>
    </row>
    <row r="1146" spans="1:22" x14ac:dyDescent="0.3">
      <c r="A1146" t="s">
        <v>2074</v>
      </c>
      <c r="B1146" s="1">
        <v>45634</v>
      </c>
      <c r="C1146" t="s">
        <v>856</v>
      </c>
      <c r="D1146" t="s">
        <v>278</v>
      </c>
      <c r="E1146" t="s">
        <v>25</v>
      </c>
      <c r="F1146" t="s">
        <v>26</v>
      </c>
      <c r="G1146" t="s">
        <v>27</v>
      </c>
      <c r="H1146" t="s">
        <v>43</v>
      </c>
      <c r="I1146" t="s">
        <v>51</v>
      </c>
      <c r="J1146" t="s">
        <v>52</v>
      </c>
      <c r="K1146">
        <v>3</v>
      </c>
      <c r="L1146">
        <v>688.57</v>
      </c>
      <c r="M1146">
        <v>0.15</v>
      </c>
      <c r="N1146">
        <v>1755.85</v>
      </c>
      <c r="O1146">
        <v>1000.01</v>
      </c>
      <c r="P1146">
        <v>755.84</v>
      </c>
      <c r="Q1146" t="s">
        <v>31</v>
      </c>
      <c r="R1146">
        <v>0.4304695731412137</v>
      </c>
      <c r="S1146">
        <v>2024</v>
      </c>
      <c r="T1146" t="s">
        <v>2040</v>
      </c>
      <c r="U1146">
        <v>12</v>
      </c>
      <c r="V1146" t="s">
        <v>1803</v>
      </c>
    </row>
    <row r="1147" spans="1:22" x14ac:dyDescent="0.3">
      <c r="A1147" t="s">
        <v>2075</v>
      </c>
      <c r="B1147" s="1">
        <v>45634</v>
      </c>
      <c r="C1147" t="s">
        <v>387</v>
      </c>
      <c r="D1147" t="s">
        <v>468</v>
      </c>
      <c r="E1147" t="s">
        <v>120</v>
      </c>
      <c r="F1147" t="s">
        <v>121</v>
      </c>
      <c r="G1147" t="s">
        <v>122</v>
      </c>
      <c r="H1147" t="s">
        <v>28</v>
      </c>
      <c r="I1147" t="s">
        <v>91</v>
      </c>
      <c r="J1147" t="s">
        <v>92</v>
      </c>
      <c r="K1147">
        <v>2</v>
      </c>
      <c r="L1147">
        <v>3101.3</v>
      </c>
      <c r="M1147">
        <v>0</v>
      </c>
      <c r="N1147">
        <v>6202.6</v>
      </c>
      <c r="O1147">
        <v>3278.04</v>
      </c>
      <c r="P1147">
        <v>2924.56</v>
      </c>
      <c r="Q1147" t="s">
        <v>31</v>
      </c>
      <c r="R1147">
        <v>0.47150549769451522</v>
      </c>
      <c r="S1147">
        <v>2024</v>
      </c>
      <c r="T1147" t="s">
        <v>2040</v>
      </c>
      <c r="U1147">
        <v>12</v>
      </c>
      <c r="V1147" t="s">
        <v>1803</v>
      </c>
    </row>
    <row r="1148" spans="1:22" x14ac:dyDescent="0.3">
      <c r="A1148" t="s">
        <v>2076</v>
      </c>
      <c r="B1148" s="1">
        <v>45635</v>
      </c>
      <c r="C1148" t="s">
        <v>1001</v>
      </c>
      <c r="D1148" t="s">
        <v>932</v>
      </c>
      <c r="E1148" t="s">
        <v>61</v>
      </c>
      <c r="F1148" t="s">
        <v>71</v>
      </c>
      <c r="G1148" t="s">
        <v>72</v>
      </c>
      <c r="H1148" t="s">
        <v>28</v>
      </c>
      <c r="I1148" t="s">
        <v>73</v>
      </c>
      <c r="J1148" t="s">
        <v>80</v>
      </c>
      <c r="K1148">
        <v>1</v>
      </c>
      <c r="L1148">
        <v>784.01</v>
      </c>
      <c r="M1148">
        <v>0.1</v>
      </c>
      <c r="N1148">
        <v>705.61</v>
      </c>
      <c r="O1148">
        <v>503.56</v>
      </c>
      <c r="P1148">
        <v>202.05</v>
      </c>
      <c r="Q1148" t="s">
        <v>31</v>
      </c>
      <c r="R1148">
        <v>0.28634798259661848</v>
      </c>
      <c r="S1148">
        <v>2024</v>
      </c>
      <c r="T1148" t="s">
        <v>2040</v>
      </c>
      <c r="U1148">
        <v>12</v>
      </c>
      <c r="V1148" t="s">
        <v>1803</v>
      </c>
    </row>
    <row r="1149" spans="1:22" x14ac:dyDescent="0.3">
      <c r="A1149" t="s">
        <v>2077</v>
      </c>
      <c r="B1149" s="1">
        <v>45635</v>
      </c>
      <c r="C1149" t="s">
        <v>2021</v>
      </c>
      <c r="D1149" t="s">
        <v>615</v>
      </c>
      <c r="E1149" t="s">
        <v>61</v>
      </c>
      <c r="F1149" t="s">
        <v>62</v>
      </c>
      <c r="G1149" t="s">
        <v>63</v>
      </c>
      <c r="H1149" t="s">
        <v>28</v>
      </c>
      <c r="I1149" t="s">
        <v>91</v>
      </c>
      <c r="J1149" t="s">
        <v>92</v>
      </c>
      <c r="K1149">
        <v>4</v>
      </c>
      <c r="L1149">
        <v>3133.05</v>
      </c>
      <c r="M1149">
        <v>0.15</v>
      </c>
      <c r="N1149">
        <v>10652.37</v>
      </c>
      <c r="O1149">
        <v>6289.64</v>
      </c>
      <c r="P1149">
        <v>4362.7299999999996</v>
      </c>
      <c r="Q1149" t="s">
        <v>46</v>
      </c>
      <c r="R1149">
        <v>0.40955486901037041</v>
      </c>
      <c r="S1149">
        <v>2024</v>
      </c>
      <c r="T1149" t="s">
        <v>2040</v>
      </c>
      <c r="U1149">
        <v>12</v>
      </c>
      <c r="V1149" t="s">
        <v>1803</v>
      </c>
    </row>
    <row r="1150" spans="1:22" x14ac:dyDescent="0.3">
      <c r="A1150" t="s">
        <v>2078</v>
      </c>
      <c r="B1150" s="1">
        <v>45635</v>
      </c>
      <c r="C1150" t="s">
        <v>1488</v>
      </c>
      <c r="D1150" t="s">
        <v>770</v>
      </c>
      <c r="E1150" t="s">
        <v>61</v>
      </c>
      <c r="F1150" t="s">
        <v>71</v>
      </c>
      <c r="G1150" t="s">
        <v>100</v>
      </c>
      <c r="H1150" t="s">
        <v>84</v>
      </c>
      <c r="I1150" t="s">
        <v>85</v>
      </c>
      <c r="J1150" t="s">
        <v>145</v>
      </c>
      <c r="K1150">
        <v>2</v>
      </c>
      <c r="L1150">
        <v>3345.04</v>
      </c>
      <c r="M1150">
        <v>0.05</v>
      </c>
      <c r="N1150">
        <v>6355.58</v>
      </c>
      <c r="O1150">
        <v>3768.06</v>
      </c>
      <c r="P1150">
        <v>2587.52</v>
      </c>
      <c r="Q1150" t="s">
        <v>113</v>
      </c>
      <c r="R1150">
        <v>0.40712570685916938</v>
      </c>
      <c r="S1150">
        <v>2024</v>
      </c>
      <c r="T1150" t="s">
        <v>2040</v>
      </c>
      <c r="U1150">
        <v>12</v>
      </c>
      <c r="V1150" t="s">
        <v>1803</v>
      </c>
    </row>
    <row r="1151" spans="1:22" x14ac:dyDescent="0.3">
      <c r="A1151" t="s">
        <v>2079</v>
      </c>
      <c r="B1151" s="1">
        <v>45636</v>
      </c>
      <c r="C1151" t="s">
        <v>598</v>
      </c>
      <c r="D1151" t="s">
        <v>1232</v>
      </c>
      <c r="E1151" t="s">
        <v>61</v>
      </c>
      <c r="F1151" t="s">
        <v>62</v>
      </c>
      <c r="G1151" t="s">
        <v>90</v>
      </c>
      <c r="H1151" t="s">
        <v>84</v>
      </c>
      <c r="I1151" t="s">
        <v>138</v>
      </c>
      <c r="J1151" t="s">
        <v>220</v>
      </c>
      <c r="K1151">
        <v>2</v>
      </c>
      <c r="L1151">
        <v>7829.41</v>
      </c>
      <c r="M1151">
        <v>0.1</v>
      </c>
      <c r="N1151">
        <v>14092.94</v>
      </c>
      <c r="O1151">
        <v>10584.41</v>
      </c>
      <c r="P1151">
        <v>3508.53</v>
      </c>
      <c r="Q1151" t="s">
        <v>67</v>
      </c>
      <c r="R1151">
        <v>0.2489565697434318</v>
      </c>
      <c r="S1151">
        <v>2024</v>
      </c>
      <c r="T1151" t="s">
        <v>2040</v>
      </c>
      <c r="U1151">
        <v>12</v>
      </c>
      <c r="V1151" t="s">
        <v>1803</v>
      </c>
    </row>
    <row r="1152" spans="1:22" x14ac:dyDescent="0.3">
      <c r="A1152" t="s">
        <v>2080</v>
      </c>
      <c r="B1152" s="1">
        <v>45636</v>
      </c>
      <c r="C1152" t="s">
        <v>500</v>
      </c>
      <c r="D1152" t="s">
        <v>1280</v>
      </c>
      <c r="E1152" t="s">
        <v>120</v>
      </c>
      <c r="F1152" t="s">
        <v>121</v>
      </c>
      <c r="G1152" t="s">
        <v>224</v>
      </c>
      <c r="H1152" t="s">
        <v>28</v>
      </c>
      <c r="I1152" t="s">
        <v>29</v>
      </c>
      <c r="J1152" t="s">
        <v>30</v>
      </c>
      <c r="K1152">
        <v>3</v>
      </c>
      <c r="L1152">
        <v>60126.97</v>
      </c>
      <c r="M1152">
        <v>0.1</v>
      </c>
      <c r="N1152">
        <v>162342.82</v>
      </c>
      <c r="O1152">
        <v>160946.62</v>
      </c>
      <c r="P1152">
        <v>1396.2</v>
      </c>
      <c r="Q1152" t="s">
        <v>53</v>
      </c>
      <c r="R1152">
        <v>8.6003187575526899E-3</v>
      </c>
      <c r="S1152">
        <v>2024</v>
      </c>
      <c r="T1152" t="s">
        <v>2040</v>
      </c>
      <c r="U1152">
        <v>12</v>
      </c>
      <c r="V1152" t="s">
        <v>1803</v>
      </c>
    </row>
    <row r="1153" spans="1:22" x14ac:dyDescent="0.3">
      <c r="A1153" t="s">
        <v>2081</v>
      </c>
      <c r="B1153" s="1">
        <v>45637</v>
      </c>
      <c r="C1153" t="s">
        <v>2082</v>
      </c>
      <c r="D1153" t="s">
        <v>151</v>
      </c>
      <c r="E1153" t="s">
        <v>41</v>
      </c>
      <c r="F1153" t="s">
        <v>42</v>
      </c>
      <c r="G1153" t="s">
        <v>42</v>
      </c>
      <c r="H1153" t="s">
        <v>64</v>
      </c>
      <c r="I1153" t="s">
        <v>108</v>
      </c>
      <c r="J1153" t="s">
        <v>155</v>
      </c>
      <c r="K1153">
        <v>4</v>
      </c>
      <c r="L1153">
        <v>8074.9</v>
      </c>
      <c r="M1153">
        <v>0.1</v>
      </c>
      <c r="N1153">
        <v>29069.64</v>
      </c>
      <c r="O1153">
        <v>22508.58</v>
      </c>
      <c r="P1153">
        <v>6561.06</v>
      </c>
      <c r="Q1153" t="s">
        <v>31</v>
      </c>
      <c r="R1153">
        <v>0.22570145347517209</v>
      </c>
      <c r="S1153">
        <v>2024</v>
      </c>
      <c r="T1153" t="s">
        <v>2040</v>
      </c>
      <c r="U1153">
        <v>12</v>
      </c>
      <c r="V1153" t="s">
        <v>1803</v>
      </c>
    </row>
    <row r="1154" spans="1:22" x14ac:dyDescent="0.3">
      <c r="A1154" t="s">
        <v>2083</v>
      </c>
      <c r="B1154" s="1">
        <v>45637</v>
      </c>
      <c r="C1154" t="s">
        <v>791</v>
      </c>
      <c r="D1154" t="s">
        <v>334</v>
      </c>
      <c r="E1154" t="s">
        <v>61</v>
      </c>
      <c r="F1154" t="s">
        <v>62</v>
      </c>
      <c r="G1154" t="s">
        <v>134</v>
      </c>
      <c r="H1154" t="s">
        <v>64</v>
      </c>
      <c r="I1154" t="s">
        <v>65</v>
      </c>
      <c r="J1154" t="s">
        <v>232</v>
      </c>
      <c r="K1154">
        <v>2</v>
      </c>
      <c r="L1154">
        <v>3862.25</v>
      </c>
      <c r="M1154">
        <v>0.1</v>
      </c>
      <c r="N1154">
        <v>6952.05</v>
      </c>
      <c r="O1154">
        <v>4838.55</v>
      </c>
      <c r="P1154">
        <v>2113.5</v>
      </c>
      <c r="Q1154" t="s">
        <v>67</v>
      </c>
      <c r="R1154">
        <v>0.30401104710121468</v>
      </c>
      <c r="S1154">
        <v>2024</v>
      </c>
      <c r="T1154" t="s">
        <v>2040</v>
      </c>
      <c r="U1154">
        <v>12</v>
      </c>
      <c r="V1154" t="s">
        <v>1803</v>
      </c>
    </row>
    <row r="1155" spans="1:22" x14ac:dyDescent="0.3">
      <c r="A1155" t="s">
        <v>2084</v>
      </c>
      <c r="B1155" s="1">
        <v>45637</v>
      </c>
      <c r="C1155" t="s">
        <v>943</v>
      </c>
      <c r="D1155" t="s">
        <v>2085</v>
      </c>
      <c r="E1155" t="s">
        <v>61</v>
      </c>
      <c r="F1155" t="s">
        <v>78</v>
      </c>
      <c r="G1155" t="s">
        <v>79</v>
      </c>
      <c r="H1155" t="s">
        <v>84</v>
      </c>
      <c r="I1155" t="s">
        <v>85</v>
      </c>
      <c r="J1155" t="s">
        <v>86</v>
      </c>
      <c r="K1155">
        <v>2</v>
      </c>
      <c r="L1155">
        <v>1803.33</v>
      </c>
      <c r="M1155">
        <v>0.1</v>
      </c>
      <c r="N1155">
        <v>3245.99</v>
      </c>
      <c r="O1155">
        <v>1889.8</v>
      </c>
      <c r="P1155">
        <v>1356.19</v>
      </c>
      <c r="Q1155" t="s">
        <v>53</v>
      </c>
      <c r="R1155">
        <v>0.41780473753770042</v>
      </c>
      <c r="S1155">
        <v>2024</v>
      </c>
      <c r="T1155" t="s">
        <v>2040</v>
      </c>
      <c r="U1155">
        <v>12</v>
      </c>
      <c r="V1155" t="s">
        <v>1803</v>
      </c>
    </row>
    <row r="1156" spans="1:22" x14ac:dyDescent="0.3">
      <c r="A1156" t="s">
        <v>2086</v>
      </c>
      <c r="B1156" s="1">
        <v>45637</v>
      </c>
      <c r="C1156" t="s">
        <v>1881</v>
      </c>
      <c r="D1156" t="s">
        <v>253</v>
      </c>
      <c r="E1156" t="s">
        <v>61</v>
      </c>
      <c r="F1156" t="s">
        <v>62</v>
      </c>
      <c r="G1156" t="s">
        <v>228</v>
      </c>
      <c r="H1156" t="s">
        <v>64</v>
      </c>
      <c r="I1156" t="s">
        <v>108</v>
      </c>
      <c r="J1156" t="s">
        <v>109</v>
      </c>
      <c r="K1156">
        <v>3</v>
      </c>
      <c r="L1156">
        <v>6617.92</v>
      </c>
      <c r="M1156">
        <v>0.2</v>
      </c>
      <c r="N1156">
        <v>15883.01</v>
      </c>
      <c r="O1156">
        <v>12655.26</v>
      </c>
      <c r="P1156">
        <v>3227.75</v>
      </c>
      <c r="Q1156" t="s">
        <v>67</v>
      </c>
      <c r="R1156">
        <v>0.20322029640477471</v>
      </c>
      <c r="S1156">
        <v>2024</v>
      </c>
      <c r="T1156" t="s">
        <v>2040</v>
      </c>
      <c r="U1156">
        <v>12</v>
      </c>
      <c r="V1156" t="s">
        <v>1803</v>
      </c>
    </row>
    <row r="1157" spans="1:22" x14ac:dyDescent="0.3">
      <c r="A1157" t="s">
        <v>2087</v>
      </c>
      <c r="B1157" s="1">
        <v>45637</v>
      </c>
      <c r="C1157" t="s">
        <v>1477</v>
      </c>
      <c r="D1157" t="s">
        <v>2047</v>
      </c>
      <c r="E1157" t="s">
        <v>61</v>
      </c>
      <c r="F1157" t="s">
        <v>62</v>
      </c>
      <c r="G1157" t="s">
        <v>134</v>
      </c>
      <c r="H1157" t="s">
        <v>84</v>
      </c>
      <c r="I1157" t="s">
        <v>138</v>
      </c>
      <c r="J1157" t="s">
        <v>220</v>
      </c>
      <c r="K1157">
        <v>2</v>
      </c>
      <c r="L1157">
        <v>7465.28</v>
      </c>
      <c r="M1157">
        <v>0.1</v>
      </c>
      <c r="N1157">
        <v>13437.5</v>
      </c>
      <c r="O1157">
        <v>9606.23</v>
      </c>
      <c r="P1157">
        <v>3831.27</v>
      </c>
      <c r="Q1157" t="s">
        <v>46</v>
      </c>
      <c r="R1157">
        <v>0.28511776744186051</v>
      </c>
      <c r="S1157">
        <v>2024</v>
      </c>
      <c r="T1157" t="s">
        <v>2040</v>
      </c>
      <c r="U1157">
        <v>12</v>
      </c>
      <c r="V1157" t="s">
        <v>1803</v>
      </c>
    </row>
    <row r="1158" spans="1:22" x14ac:dyDescent="0.3">
      <c r="A1158" t="s">
        <v>2088</v>
      </c>
      <c r="B1158" s="1">
        <v>45637</v>
      </c>
      <c r="C1158" t="s">
        <v>496</v>
      </c>
      <c r="D1158" t="s">
        <v>678</v>
      </c>
      <c r="E1158" t="s">
        <v>120</v>
      </c>
      <c r="F1158" t="s">
        <v>121</v>
      </c>
      <c r="G1158" t="s">
        <v>122</v>
      </c>
      <c r="H1158" t="s">
        <v>43</v>
      </c>
      <c r="I1158" t="s">
        <v>51</v>
      </c>
      <c r="J1158" t="s">
        <v>52</v>
      </c>
      <c r="K1158">
        <v>2</v>
      </c>
      <c r="L1158">
        <v>714.37</v>
      </c>
      <c r="M1158">
        <v>0</v>
      </c>
      <c r="N1158">
        <v>1428.74</v>
      </c>
      <c r="O1158">
        <v>644.74</v>
      </c>
      <c r="P1158">
        <v>784</v>
      </c>
      <c r="Q1158" t="s">
        <v>46</v>
      </c>
      <c r="R1158">
        <v>0.54873524924058958</v>
      </c>
      <c r="S1158">
        <v>2024</v>
      </c>
      <c r="T1158" t="s">
        <v>2040</v>
      </c>
      <c r="U1158">
        <v>12</v>
      </c>
      <c r="V1158" t="s">
        <v>1803</v>
      </c>
    </row>
    <row r="1159" spans="1:22" x14ac:dyDescent="0.3">
      <c r="A1159" t="s">
        <v>2089</v>
      </c>
      <c r="B1159" s="1">
        <v>45637</v>
      </c>
      <c r="C1159" t="s">
        <v>512</v>
      </c>
      <c r="D1159" t="s">
        <v>1585</v>
      </c>
      <c r="E1159" t="s">
        <v>41</v>
      </c>
      <c r="F1159" t="s">
        <v>42</v>
      </c>
      <c r="G1159" t="s">
        <v>50</v>
      </c>
      <c r="H1159" t="s">
        <v>64</v>
      </c>
      <c r="I1159" t="s">
        <v>65</v>
      </c>
      <c r="J1159" t="s">
        <v>232</v>
      </c>
      <c r="K1159">
        <v>3</v>
      </c>
      <c r="L1159">
        <v>4001.01</v>
      </c>
      <c r="M1159">
        <v>0.05</v>
      </c>
      <c r="N1159">
        <v>11402.88</v>
      </c>
      <c r="O1159">
        <v>7323.38</v>
      </c>
      <c r="P1159">
        <v>4079.5</v>
      </c>
      <c r="Q1159" t="s">
        <v>67</v>
      </c>
      <c r="R1159">
        <v>0.35776049559409562</v>
      </c>
      <c r="S1159">
        <v>2024</v>
      </c>
      <c r="T1159" t="s">
        <v>2040</v>
      </c>
      <c r="U1159">
        <v>12</v>
      </c>
      <c r="V1159" t="s">
        <v>1803</v>
      </c>
    </row>
    <row r="1160" spans="1:22" x14ac:dyDescent="0.3">
      <c r="A1160" t="s">
        <v>2090</v>
      </c>
      <c r="B1160" s="1">
        <v>45637</v>
      </c>
      <c r="C1160" t="s">
        <v>353</v>
      </c>
      <c r="D1160" t="s">
        <v>203</v>
      </c>
      <c r="E1160" t="s">
        <v>61</v>
      </c>
      <c r="F1160" t="s">
        <v>62</v>
      </c>
      <c r="G1160" t="s">
        <v>63</v>
      </c>
      <c r="H1160" t="s">
        <v>28</v>
      </c>
      <c r="I1160" t="s">
        <v>73</v>
      </c>
      <c r="J1160" t="s">
        <v>74</v>
      </c>
      <c r="K1160">
        <v>3</v>
      </c>
      <c r="L1160">
        <v>2502.35</v>
      </c>
      <c r="M1160">
        <v>0</v>
      </c>
      <c r="N1160">
        <v>7507.05</v>
      </c>
      <c r="O1160">
        <v>3981.69</v>
      </c>
      <c r="P1160">
        <v>3525.36</v>
      </c>
      <c r="Q1160" t="s">
        <v>46</v>
      </c>
      <c r="R1160">
        <v>0.46960656982436511</v>
      </c>
      <c r="S1160">
        <v>2024</v>
      </c>
      <c r="T1160" t="s">
        <v>2040</v>
      </c>
      <c r="U1160">
        <v>12</v>
      </c>
      <c r="V1160" t="s">
        <v>1803</v>
      </c>
    </row>
    <row r="1161" spans="1:22" x14ac:dyDescent="0.3">
      <c r="A1161" t="s">
        <v>2091</v>
      </c>
      <c r="B1161" s="1">
        <v>45637</v>
      </c>
      <c r="C1161" t="s">
        <v>102</v>
      </c>
      <c r="D1161" t="s">
        <v>446</v>
      </c>
      <c r="E1161" t="s">
        <v>120</v>
      </c>
      <c r="F1161" t="s">
        <v>121</v>
      </c>
      <c r="G1161" t="s">
        <v>224</v>
      </c>
      <c r="H1161" t="s">
        <v>28</v>
      </c>
      <c r="I1161" t="s">
        <v>29</v>
      </c>
      <c r="J1161" t="s">
        <v>30</v>
      </c>
      <c r="K1161">
        <v>1</v>
      </c>
      <c r="L1161">
        <v>57339.85</v>
      </c>
      <c r="M1161">
        <v>0.1</v>
      </c>
      <c r="N1161">
        <v>51605.86</v>
      </c>
      <c r="O1161">
        <v>51843.07</v>
      </c>
      <c r="P1161">
        <v>-237.21</v>
      </c>
      <c r="Q1161" t="s">
        <v>53</v>
      </c>
      <c r="R1161">
        <v>-4.5965710095713938E-3</v>
      </c>
      <c r="S1161">
        <v>2024</v>
      </c>
      <c r="T1161" t="s">
        <v>2040</v>
      </c>
      <c r="U1161">
        <v>12</v>
      </c>
      <c r="V1161" t="s">
        <v>1803</v>
      </c>
    </row>
    <row r="1162" spans="1:22" x14ac:dyDescent="0.3">
      <c r="A1162" t="s">
        <v>2092</v>
      </c>
      <c r="B1162" s="1">
        <v>45638</v>
      </c>
      <c r="C1162" t="s">
        <v>836</v>
      </c>
      <c r="D1162" t="s">
        <v>295</v>
      </c>
      <c r="E1162" t="s">
        <v>61</v>
      </c>
      <c r="F1162" t="s">
        <v>78</v>
      </c>
      <c r="G1162" t="s">
        <v>79</v>
      </c>
      <c r="H1162" t="s">
        <v>28</v>
      </c>
      <c r="I1162" t="s">
        <v>73</v>
      </c>
      <c r="J1162" t="s">
        <v>80</v>
      </c>
      <c r="K1162">
        <v>4</v>
      </c>
      <c r="L1162">
        <v>789.02</v>
      </c>
      <c r="M1162">
        <v>0.05</v>
      </c>
      <c r="N1162">
        <v>2998.28</v>
      </c>
      <c r="O1162">
        <v>1926.23</v>
      </c>
      <c r="P1162">
        <v>1072.05</v>
      </c>
      <c r="Q1162" t="s">
        <v>46</v>
      </c>
      <c r="R1162">
        <v>0.35755499819896741</v>
      </c>
      <c r="S1162">
        <v>2024</v>
      </c>
      <c r="T1162" t="s">
        <v>2040</v>
      </c>
      <c r="U1162">
        <v>12</v>
      </c>
      <c r="V1162" t="s">
        <v>1803</v>
      </c>
    </row>
    <row r="1163" spans="1:22" x14ac:dyDescent="0.3">
      <c r="A1163" t="s">
        <v>2093</v>
      </c>
      <c r="B1163" s="1">
        <v>45638</v>
      </c>
      <c r="C1163" t="s">
        <v>1388</v>
      </c>
      <c r="D1163" t="s">
        <v>154</v>
      </c>
      <c r="E1163" t="s">
        <v>41</v>
      </c>
      <c r="F1163" t="s">
        <v>42</v>
      </c>
      <c r="G1163" t="s">
        <v>50</v>
      </c>
      <c r="H1163" t="s">
        <v>84</v>
      </c>
      <c r="I1163" t="s">
        <v>85</v>
      </c>
      <c r="J1163" t="s">
        <v>145</v>
      </c>
      <c r="K1163">
        <v>2</v>
      </c>
      <c r="L1163">
        <v>3162.53</v>
      </c>
      <c r="M1163">
        <v>0.15</v>
      </c>
      <c r="N1163">
        <v>5376.3</v>
      </c>
      <c r="O1163">
        <v>3624.8</v>
      </c>
      <c r="P1163">
        <v>1751.5</v>
      </c>
      <c r="Q1163" t="s">
        <v>53</v>
      </c>
      <c r="R1163">
        <v>0.32578167140970549</v>
      </c>
      <c r="S1163">
        <v>2024</v>
      </c>
      <c r="T1163" t="s">
        <v>2040</v>
      </c>
      <c r="U1163">
        <v>12</v>
      </c>
      <c r="V1163" t="s">
        <v>1803</v>
      </c>
    </row>
    <row r="1164" spans="1:22" x14ac:dyDescent="0.3">
      <c r="A1164" t="s">
        <v>2094</v>
      </c>
      <c r="B1164" s="1">
        <v>45638</v>
      </c>
      <c r="C1164" t="s">
        <v>2095</v>
      </c>
      <c r="D1164" t="s">
        <v>70</v>
      </c>
      <c r="E1164" t="s">
        <v>61</v>
      </c>
      <c r="F1164" t="s">
        <v>78</v>
      </c>
      <c r="G1164" t="s">
        <v>216</v>
      </c>
      <c r="H1164" t="s">
        <v>28</v>
      </c>
      <c r="I1164" t="s">
        <v>73</v>
      </c>
      <c r="J1164" t="s">
        <v>80</v>
      </c>
      <c r="K1164">
        <v>1</v>
      </c>
      <c r="L1164">
        <v>846.44</v>
      </c>
      <c r="M1164">
        <v>0.05</v>
      </c>
      <c r="N1164">
        <v>804.12</v>
      </c>
      <c r="O1164">
        <v>542.36</v>
      </c>
      <c r="P1164">
        <v>261.76</v>
      </c>
      <c r="Q1164" t="s">
        <v>53</v>
      </c>
      <c r="R1164">
        <v>0.32552355369845293</v>
      </c>
      <c r="S1164">
        <v>2024</v>
      </c>
      <c r="T1164" t="s">
        <v>2040</v>
      </c>
      <c r="U1164">
        <v>12</v>
      </c>
      <c r="V1164" t="s">
        <v>1803</v>
      </c>
    </row>
    <row r="1165" spans="1:22" x14ac:dyDescent="0.3">
      <c r="A1165" t="s">
        <v>2096</v>
      </c>
      <c r="B1165" s="1">
        <v>45638</v>
      </c>
      <c r="C1165" t="s">
        <v>1546</v>
      </c>
      <c r="D1165" t="s">
        <v>775</v>
      </c>
      <c r="E1165" t="s">
        <v>25</v>
      </c>
      <c r="F1165" t="s">
        <v>26</v>
      </c>
      <c r="G1165" t="s">
        <v>171</v>
      </c>
      <c r="H1165" t="s">
        <v>28</v>
      </c>
      <c r="I1165" t="s">
        <v>29</v>
      </c>
      <c r="J1165" t="s">
        <v>30</v>
      </c>
      <c r="K1165">
        <v>1</v>
      </c>
      <c r="L1165">
        <v>57180.46</v>
      </c>
      <c r="M1165">
        <v>0.15</v>
      </c>
      <c r="N1165">
        <v>48603.39</v>
      </c>
      <c r="O1165">
        <v>51698.83</v>
      </c>
      <c r="P1165">
        <v>-3095.44</v>
      </c>
      <c r="Q1165" t="s">
        <v>53</v>
      </c>
      <c r="R1165">
        <v>-6.3687738653620665E-2</v>
      </c>
      <c r="S1165">
        <v>2024</v>
      </c>
      <c r="T1165" t="s">
        <v>2040</v>
      </c>
      <c r="U1165">
        <v>12</v>
      </c>
      <c r="V1165" t="s">
        <v>1803</v>
      </c>
    </row>
    <row r="1166" spans="1:22" x14ac:dyDescent="0.3">
      <c r="A1166" t="s">
        <v>2097</v>
      </c>
      <c r="B1166" s="1">
        <v>45638</v>
      </c>
      <c r="C1166" t="s">
        <v>237</v>
      </c>
      <c r="D1166" t="s">
        <v>657</v>
      </c>
      <c r="E1166" t="s">
        <v>61</v>
      </c>
      <c r="F1166" t="s">
        <v>78</v>
      </c>
      <c r="G1166" t="s">
        <v>216</v>
      </c>
      <c r="H1166" t="s">
        <v>84</v>
      </c>
      <c r="I1166" t="s">
        <v>138</v>
      </c>
      <c r="J1166" t="s">
        <v>139</v>
      </c>
      <c r="K1166">
        <v>1</v>
      </c>
      <c r="L1166">
        <v>12224.87</v>
      </c>
      <c r="M1166">
        <v>0</v>
      </c>
      <c r="N1166">
        <v>12224.87</v>
      </c>
      <c r="O1166">
        <v>8678.51</v>
      </c>
      <c r="P1166">
        <v>3546.36</v>
      </c>
      <c r="Q1166" t="s">
        <v>31</v>
      </c>
      <c r="R1166">
        <v>0.29009388238893341</v>
      </c>
      <c r="S1166">
        <v>2024</v>
      </c>
      <c r="T1166" t="s">
        <v>2040</v>
      </c>
      <c r="U1166">
        <v>12</v>
      </c>
      <c r="V1166" t="s">
        <v>1803</v>
      </c>
    </row>
    <row r="1167" spans="1:22" x14ac:dyDescent="0.3">
      <c r="A1167" t="s">
        <v>2098</v>
      </c>
      <c r="B1167" s="1">
        <v>45639</v>
      </c>
      <c r="C1167" t="s">
        <v>1150</v>
      </c>
      <c r="D1167" t="s">
        <v>56</v>
      </c>
      <c r="E1167" t="s">
        <v>25</v>
      </c>
      <c r="F1167" t="s">
        <v>26</v>
      </c>
      <c r="G1167" t="s">
        <v>27</v>
      </c>
      <c r="H1167" t="s">
        <v>84</v>
      </c>
      <c r="I1167" t="s">
        <v>138</v>
      </c>
      <c r="J1167" t="s">
        <v>220</v>
      </c>
      <c r="K1167">
        <v>5</v>
      </c>
      <c r="L1167">
        <v>7549.89</v>
      </c>
      <c r="M1167">
        <v>0.1</v>
      </c>
      <c r="N1167">
        <v>33974.51</v>
      </c>
      <c r="O1167">
        <v>23668.639999999999</v>
      </c>
      <c r="P1167">
        <v>10305.870000000001</v>
      </c>
      <c r="Q1167" t="s">
        <v>46</v>
      </c>
      <c r="R1167">
        <v>0.3033412402415811</v>
      </c>
      <c r="S1167">
        <v>2024</v>
      </c>
      <c r="T1167" t="s">
        <v>2040</v>
      </c>
      <c r="U1167">
        <v>12</v>
      </c>
      <c r="V1167" t="s">
        <v>1803</v>
      </c>
    </row>
    <row r="1168" spans="1:22" x14ac:dyDescent="0.3">
      <c r="A1168" t="s">
        <v>2099</v>
      </c>
      <c r="B1168" s="1">
        <v>45639</v>
      </c>
      <c r="C1168" t="s">
        <v>2100</v>
      </c>
      <c r="D1168" t="s">
        <v>507</v>
      </c>
      <c r="E1168" t="s">
        <v>61</v>
      </c>
      <c r="F1168" t="s">
        <v>78</v>
      </c>
      <c r="G1168" t="s">
        <v>104</v>
      </c>
      <c r="H1168" t="s">
        <v>64</v>
      </c>
      <c r="I1168" t="s">
        <v>108</v>
      </c>
      <c r="J1168" t="s">
        <v>155</v>
      </c>
      <c r="K1168">
        <v>4</v>
      </c>
      <c r="L1168">
        <v>8344.49</v>
      </c>
      <c r="M1168">
        <v>0.05</v>
      </c>
      <c r="N1168">
        <v>31709.06</v>
      </c>
      <c r="O1168">
        <v>22847.7</v>
      </c>
      <c r="P1168">
        <v>8861.36</v>
      </c>
      <c r="Q1168" t="s">
        <v>53</v>
      </c>
      <c r="R1168">
        <v>0.27945829993068227</v>
      </c>
      <c r="S1168">
        <v>2024</v>
      </c>
      <c r="T1168" t="s">
        <v>2040</v>
      </c>
      <c r="U1168">
        <v>12</v>
      </c>
      <c r="V1168" t="s">
        <v>1803</v>
      </c>
    </row>
    <row r="1169" spans="1:22" x14ac:dyDescent="0.3">
      <c r="A1169" t="s">
        <v>2101</v>
      </c>
      <c r="B1169" s="1">
        <v>45639</v>
      </c>
      <c r="C1169" t="s">
        <v>2021</v>
      </c>
      <c r="D1169" t="s">
        <v>273</v>
      </c>
      <c r="E1169" t="s">
        <v>120</v>
      </c>
      <c r="F1169" t="s">
        <v>121</v>
      </c>
      <c r="G1169" t="s">
        <v>130</v>
      </c>
      <c r="H1169" t="s">
        <v>43</v>
      </c>
      <c r="I1169" t="s">
        <v>44</v>
      </c>
      <c r="J1169" t="s">
        <v>248</v>
      </c>
      <c r="K1169">
        <v>3</v>
      </c>
      <c r="L1169">
        <v>316.04000000000002</v>
      </c>
      <c r="M1169">
        <v>0</v>
      </c>
      <c r="N1169">
        <v>948.12</v>
      </c>
      <c r="O1169">
        <v>390.41</v>
      </c>
      <c r="P1169">
        <v>557.71</v>
      </c>
      <c r="Q1169" t="s">
        <v>53</v>
      </c>
      <c r="R1169">
        <v>0.58822722862084975</v>
      </c>
      <c r="S1169">
        <v>2024</v>
      </c>
      <c r="T1169" t="s">
        <v>2040</v>
      </c>
      <c r="U1169">
        <v>12</v>
      </c>
      <c r="V1169" t="s">
        <v>1803</v>
      </c>
    </row>
    <row r="1170" spans="1:22" x14ac:dyDescent="0.3">
      <c r="A1170" t="s">
        <v>2102</v>
      </c>
      <c r="B1170" s="1">
        <v>45639</v>
      </c>
      <c r="C1170" t="s">
        <v>584</v>
      </c>
      <c r="D1170" t="s">
        <v>894</v>
      </c>
      <c r="E1170" t="s">
        <v>41</v>
      </c>
      <c r="F1170" t="s">
        <v>42</v>
      </c>
      <c r="G1170" t="s">
        <v>50</v>
      </c>
      <c r="H1170" t="s">
        <v>43</v>
      </c>
      <c r="I1170" t="s">
        <v>44</v>
      </c>
      <c r="J1170" t="s">
        <v>45</v>
      </c>
      <c r="K1170">
        <v>1</v>
      </c>
      <c r="L1170">
        <v>243.28</v>
      </c>
      <c r="M1170">
        <v>0.1</v>
      </c>
      <c r="N1170">
        <v>218.95</v>
      </c>
      <c r="O1170">
        <v>89.87</v>
      </c>
      <c r="P1170">
        <v>129.08000000000001</v>
      </c>
      <c r="Q1170" t="s">
        <v>53</v>
      </c>
      <c r="R1170">
        <v>0.58954099109385716</v>
      </c>
      <c r="S1170">
        <v>2024</v>
      </c>
      <c r="T1170" t="s">
        <v>2040</v>
      </c>
      <c r="U1170">
        <v>12</v>
      </c>
      <c r="V1170" t="s">
        <v>1803</v>
      </c>
    </row>
    <row r="1171" spans="1:22" x14ac:dyDescent="0.3">
      <c r="A1171" t="s">
        <v>2103</v>
      </c>
      <c r="B1171" s="1">
        <v>45639</v>
      </c>
      <c r="C1171" t="s">
        <v>2104</v>
      </c>
      <c r="D1171" t="s">
        <v>759</v>
      </c>
      <c r="E1171" t="s">
        <v>61</v>
      </c>
      <c r="F1171" t="s">
        <v>62</v>
      </c>
      <c r="G1171" t="s">
        <v>90</v>
      </c>
      <c r="H1171" t="s">
        <v>28</v>
      </c>
      <c r="I1171" t="s">
        <v>73</v>
      </c>
      <c r="J1171" t="s">
        <v>74</v>
      </c>
      <c r="K1171">
        <v>3</v>
      </c>
      <c r="L1171">
        <v>2518.48</v>
      </c>
      <c r="M1171">
        <v>0</v>
      </c>
      <c r="N1171">
        <v>7555.44</v>
      </c>
      <c r="O1171">
        <v>4179.57</v>
      </c>
      <c r="P1171">
        <v>3375.87</v>
      </c>
      <c r="Q1171" t="s">
        <v>46</v>
      </c>
      <c r="R1171">
        <v>0.44681315714240338</v>
      </c>
      <c r="S1171">
        <v>2024</v>
      </c>
      <c r="T1171" t="s">
        <v>2040</v>
      </c>
      <c r="U1171">
        <v>12</v>
      </c>
      <c r="V1171" t="s">
        <v>1803</v>
      </c>
    </row>
    <row r="1172" spans="1:22" x14ac:dyDescent="0.3">
      <c r="A1172" t="s">
        <v>2105</v>
      </c>
      <c r="B1172" s="1">
        <v>45639</v>
      </c>
      <c r="C1172" t="s">
        <v>258</v>
      </c>
      <c r="D1172" t="s">
        <v>623</v>
      </c>
      <c r="E1172" t="s">
        <v>61</v>
      </c>
      <c r="F1172" t="s">
        <v>62</v>
      </c>
      <c r="G1172" t="s">
        <v>134</v>
      </c>
      <c r="H1172" t="s">
        <v>84</v>
      </c>
      <c r="I1172" t="s">
        <v>138</v>
      </c>
      <c r="J1172" t="s">
        <v>139</v>
      </c>
      <c r="K1172">
        <v>2</v>
      </c>
      <c r="L1172">
        <v>12310.44</v>
      </c>
      <c r="M1172">
        <v>0.1</v>
      </c>
      <c r="N1172">
        <v>22158.79</v>
      </c>
      <c r="O1172">
        <v>17930.849999999999</v>
      </c>
      <c r="P1172">
        <v>4227.9399999999996</v>
      </c>
      <c r="Q1172" t="s">
        <v>53</v>
      </c>
      <c r="R1172">
        <v>0.19080193458216799</v>
      </c>
      <c r="S1172">
        <v>2024</v>
      </c>
      <c r="T1172" t="s">
        <v>2040</v>
      </c>
      <c r="U1172">
        <v>12</v>
      </c>
      <c r="V1172" t="s">
        <v>1803</v>
      </c>
    </row>
    <row r="1173" spans="1:22" x14ac:dyDescent="0.3">
      <c r="A1173" t="s">
        <v>2106</v>
      </c>
      <c r="B1173" s="1">
        <v>45639</v>
      </c>
      <c r="C1173" t="s">
        <v>643</v>
      </c>
      <c r="D1173" t="s">
        <v>1863</v>
      </c>
      <c r="E1173" t="s">
        <v>41</v>
      </c>
      <c r="F1173" t="s">
        <v>42</v>
      </c>
      <c r="G1173" t="s">
        <v>50</v>
      </c>
      <c r="H1173" t="s">
        <v>64</v>
      </c>
      <c r="I1173" t="s">
        <v>65</v>
      </c>
      <c r="J1173" t="s">
        <v>232</v>
      </c>
      <c r="K1173">
        <v>2</v>
      </c>
      <c r="L1173">
        <v>4072.94</v>
      </c>
      <c r="M1173">
        <v>0.2</v>
      </c>
      <c r="N1173">
        <v>6516.7</v>
      </c>
      <c r="O1173">
        <v>5310.58</v>
      </c>
      <c r="P1173">
        <v>1206.1199999999999</v>
      </c>
      <c r="Q1173" t="s">
        <v>46</v>
      </c>
      <c r="R1173">
        <v>0.1850814062332162</v>
      </c>
      <c r="S1173">
        <v>2024</v>
      </c>
      <c r="T1173" t="s">
        <v>2040</v>
      </c>
      <c r="U1173">
        <v>12</v>
      </c>
      <c r="V1173" t="s">
        <v>1803</v>
      </c>
    </row>
    <row r="1174" spans="1:22" x14ac:dyDescent="0.3">
      <c r="A1174" t="s">
        <v>2107</v>
      </c>
      <c r="B1174" s="1">
        <v>45640</v>
      </c>
      <c r="C1174" t="s">
        <v>1474</v>
      </c>
      <c r="D1174" t="s">
        <v>932</v>
      </c>
      <c r="E1174" t="s">
        <v>41</v>
      </c>
      <c r="F1174" t="s">
        <v>42</v>
      </c>
      <c r="G1174" t="s">
        <v>42</v>
      </c>
      <c r="H1174" t="s">
        <v>28</v>
      </c>
      <c r="I1174" t="s">
        <v>73</v>
      </c>
      <c r="J1174" t="s">
        <v>80</v>
      </c>
      <c r="K1174">
        <v>5</v>
      </c>
      <c r="L1174">
        <v>783.67</v>
      </c>
      <c r="M1174">
        <v>0</v>
      </c>
      <c r="N1174">
        <v>3918.35</v>
      </c>
      <c r="O1174">
        <v>2400.4899999999998</v>
      </c>
      <c r="P1174">
        <v>1517.86</v>
      </c>
      <c r="Q1174" t="s">
        <v>46</v>
      </c>
      <c r="R1174">
        <v>0.38737223576250213</v>
      </c>
      <c r="S1174">
        <v>2024</v>
      </c>
      <c r="T1174" t="s">
        <v>2040</v>
      </c>
      <c r="U1174">
        <v>12</v>
      </c>
      <c r="V1174" t="s">
        <v>1803</v>
      </c>
    </row>
    <row r="1175" spans="1:22" x14ac:dyDescent="0.3">
      <c r="A1175" t="s">
        <v>2108</v>
      </c>
      <c r="B1175" s="1">
        <v>45640</v>
      </c>
      <c r="C1175" t="s">
        <v>218</v>
      </c>
      <c r="D1175" t="s">
        <v>307</v>
      </c>
      <c r="E1175" t="s">
        <v>25</v>
      </c>
      <c r="F1175" t="s">
        <v>26</v>
      </c>
      <c r="G1175" t="s">
        <v>27</v>
      </c>
      <c r="H1175" t="s">
        <v>84</v>
      </c>
      <c r="I1175" t="s">
        <v>138</v>
      </c>
      <c r="J1175" t="s">
        <v>220</v>
      </c>
      <c r="K1175">
        <v>2</v>
      </c>
      <c r="L1175">
        <v>7090.42</v>
      </c>
      <c r="M1175">
        <v>0.05</v>
      </c>
      <c r="N1175">
        <v>13471.8</v>
      </c>
      <c r="O1175">
        <v>9108.57</v>
      </c>
      <c r="P1175">
        <v>4363.2299999999996</v>
      </c>
      <c r="Q1175" t="s">
        <v>53</v>
      </c>
      <c r="R1175">
        <v>0.32387876898410012</v>
      </c>
      <c r="S1175">
        <v>2024</v>
      </c>
      <c r="T1175" t="s">
        <v>2040</v>
      </c>
      <c r="U1175">
        <v>12</v>
      </c>
      <c r="V1175" t="s">
        <v>1803</v>
      </c>
    </row>
    <row r="1176" spans="1:22" x14ac:dyDescent="0.3">
      <c r="A1176" t="s">
        <v>2109</v>
      </c>
      <c r="B1176" s="1">
        <v>45640</v>
      </c>
      <c r="C1176" t="s">
        <v>443</v>
      </c>
      <c r="D1176" t="s">
        <v>527</v>
      </c>
      <c r="E1176" t="s">
        <v>61</v>
      </c>
      <c r="F1176" t="s">
        <v>71</v>
      </c>
      <c r="G1176" t="s">
        <v>100</v>
      </c>
      <c r="H1176" t="s">
        <v>43</v>
      </c>
      <c r="I1176" t="s">
        <v>44</v>
      </c>
      <c r="J1176" t="s">
        <v>45</v>
      </c>
      <c r="K1176">
        <v>2</v>
      </c>
      <c r="L1176">
        <v>236.8</v>
      </c>
      <c r="M1176">
        <v>0.1</v>
      </c>
      <c r="N1176">
        <v>426.24</v>
      </c>
      <c r="O1176">
        <v>184.72</v>
      </c>
      <c r="P1176">
        <v>241.52</v>
      </c>
      <c r="Q1176" t="s">
        <v>31</v>
      </c>
      <c r="R1176">
        <v>0.56662912912912911</v>
      </c>
      <c r="S1176">
        <v>2024</v>
      </c>
      <c r="T1176" t="s">
        <v>2040</v>
      </c>
      <c r="U1176">
        <v>12</v>
      </c>
      <c r="V1176" t="s">
        <v>1803</v>
      </c>
    </row>
    <row r="1177" spans="1:22" x14ac:dyDescent="0.3">
      <c r="A1177" t="s">
        <v>2110</v>
      </c>
      <c r="B1177" s="1">
        <v>45640</v>
      </c>
      <c r="C1177" t="s">
        <v>2009</v>
      </c>
      <c r="D1177" t="s">
        <v>342</v>
      </c>
      <c r="E1177" t="s">
        <v>25</v>
      </c>
      <c r="F1177" t="s">
        <v>26</v>
      </c>
      <c r="G1177" t="s">
        <v>27</v>
      </c>
      <c r="H1177" t="s">
        <v>84</v>
      </c>
      <c r="I1177" t="s">
        <v>138</v>
      </c>
      <c r="J1177" t="s">
        <v>139</v>
      </c>
      <c r="K1177">
        <v>1</v>
      </c>
      <c r="L1177">
        <v>13452.52</v>
      </c>
      <c r="M1177">
        <v>0</v>
      </c>
      <c r="N1177">
        <v>13452.52</v>
      </c>
      <c r="O1177">
        <v>9508.09</v>
      </c>
      <c r="P1177">
        <v>3944.43</v>
      </c>
      <c r="Q1177" t="s">
        <v>31</v>
      </c>
      <c r="R1177">
        <v>0.29321123477236982</v>
      </c>
      <c r="S1177">
        <v>2024</v>
      </c>
      <c r="T1177" t="s">
        <v>2040</v>
      </c>
      <c r="U1177">
        <v>12</v>
      </c>
      <c r="V1177" t="s">
        <v>1803</v>
      </c>
    </row>
    <row r="1178" spans="1:22" x14ac:dyDescent="0.3">
      <c r="A1178" t="s">
        <v>2111</v>
      </c>
      <c r="B1178" s="1">
        <v>45641</v>
      </c>
      <c r="C1178" t="s">
        <v>985</v>
      </c>
      <c r="D1178" t="s">
        <v>1373</v>
      </c>
      <c r="E1178" t="s">
        <v>61</v>
      </c>
      <c r="F1178" t="s">
        <v>71</v>
      </c>
      <c r="G1178" t="s">
        <v>72</v>
      </c>
      <c r="H1178" t="s">
        <v>43</v>
      </c>
      <c r="I1178" t="s">
        <v>44</v>
      </c>
      <c r="J1178" t="s">
        <v>248</v>
      </c>
      <c r="K1178">
        <v>1</v>
      </c>
      <c r="L1178">
        <v>290.33</v>
      </c>
      <c r="M1178">
        <v>0</v>
      </c>
      <c r="N1178">
        <v>290.33</v>
      </c>
      <c r="O1178">
        <v>125.14</v>
      </c>
      <c r="P1178">
        <v>165.19</v>
      </c>
      <c r="Q1178" t="s">
        <v>31</v>
      </c>
      <c r="R1178">
        <v>0.56897323735060101</v>
      </c>
      <c r="S1178">
        <v>2024</v>
      </c>
      <c r="T1178" t="s">
        <v>2040</v>
      </c>
      <c r="U1178">
        <v>12</v>
      </c>
      <c r="V1178" t="s">
        <v>1803</v>
      </c>
    </row>
    <row r="1179" spans="1:22" x14ac:dyDescent="0.3">
      <c r="A1179" t="s">
        <v>2112</v>
      </c>
      <c r="B1179" s="1">
        <v>45641</v>
      </c>
      <c r="C1179" t="s">
        <v>2113</v>
      </c>
      <c r="D1179" t="s">
        <v>468</v>
      </c>
      <c r="E1179" t="s">
        <v>25</v>
      </c>
      <c r="F1179" t="s">
        <v>26</v>
      </c>
      <c r="G1179" t="s">
        <v>171</v>
      </c>
      <c r="H1179" t="s">
        <v>64</v>
      </c>
      <c r="I1179" t="s">
        <v>65</v>
      </c>
      <c r="J1179" t="s">
        <v>66</v>
      </c>
      <c r="K1179">
        <v>4</v>
      </c>
      <c r="L1179">
        <v>5060.87</v>
      </c>
      <c r="M1179">
        <v>0</v>
      </c>
      <c r="N1179">
        <v>20243.48</v>
      </c>
      <c r="O1179">
        <v>12208.88</v>
      </c>
      <c r="P1179">
        <v>8034.6</v>
      </c>
      <c r="Q1179" t="s">
        <v>31</v>
      </c>
      <c r="R1179">
        <v>0.39689816177850851</v>
      </c>
      <c r="S1179">
        <v>2024</v>
      </c>
      <c r="T1179" t="s">
        <v>2040</v>
      </c>
      <c r="U1179">
        <v>12</v>
      </c>
      <c r="V1179" t="s">
        <v>1803</v>
      </c>
    </row>
    <row r="1180" spans="1:22" x14ac:dyDescent="0.3">
      <c r="A1180" t="s">
        <v>2114</v>
      </c>
      <c r="B1180" s="1">
        <v>45641</v>
      </c>
      <c r="C1180" t="s">
        <v>1582</v>
      </c>
      <c r="D1180" t="s">
        <v>911</v>
      </c>
      <c r="E1180" t="s">
        <v>61</v>
      </c>
      <c r="F1180" t="s">
        <v>78</v>
      </c>
      <c r="G1180" t="s">
        <v>104</v>
      </c>
      <c r="H1180" t="s">
        <v>28</v>
      </c>
      <c r="I1180" t="s">
        <v>73</v>
      </c>
      <c r="J1180" t="s">
        <v>80</v>
      </c>
      <c r="K1180">
        <v>1</v>
      </c>
      <c r="L1180">
        <v>834.89</v>
      </c>
      <c r="M1180">
        <v>0.1</v>
      </c>
      <c r="N1180">
        <v>751.4</v>
      </c>
      <c r="O1180">
        <v>498.96</v>
      </c>
      <c r="P1180">
        <v>252.44</v>
      </c>
      <c r="Q1180" t="s">
        <v>67</v>
      </c>
      <c r="R1180">
        <v>0.3359595421879159</v>
      </c>
      <c r="S1180">
        <v>2024</v>
      </c>
      <c r="T1180" t="s">
        <v>2040</v>
      </c>
      <c r="U1180">
        <v>12</v>
      </c>
      <c r="V1180" t="s">
        <v>1803</v>
      </c>
    </row>
    <row r="1181" spans="1:22" x14ac:dyDescent="0.3">
      <c r="A1181" t="s">
        <v>2115</v>
      </c>
      <c r="B1181" s="1">
        <v>45641</v>
      </c>
      <c r="C1181" t="s">
        <v>2059</v>
      </c>
      <c r="D1181" t="s">
        <v>606</v>
      </c>
      <c r="E1181" t="s">
        <v>61</v>
      </c>
      <c r="F1181" t="s">
        <v>78</v>
      </c>
      <c r="G1181" t="s">
        <v>104</v>
      </c>
      <c r="H1181" t="s">
        <v>43</v>
      </c>
      <c r="I1181" t="s">
        <v>44</v>
      </c>
      <c r="J1181" t="s">
        <v>45</v>
      </c>
      <c r="K1181">
        <v>2</v>
      </c>
      <c r="L1181">
        <v>244.13</v>
      </c>
      <c r="M1181">
        <v>0.05</v>
      </c>
      <c r="N1181">
        <v>463.85</v>
      </c>
      <c r="O1181">
        <v>185.03</v>
      </c>
      <c r="P1181">
        <v>278.82</v>
      </c>
      <c r="Q1181" t="s">
        <v>31</v>
      </c>
      <c r="R1181">
        <v>0.60109949337070168</v>
      </c>
      <c r="S1181">
        <v>2024</v>
      </c>
      <c r="T1181" t="s">
        <v>2040</v>
      </c>
      <c r="U1181">
        <v>12</v>
      </c>
      <c r="V1181" t="s">
        <v>1803</v>
      </c>
    </row>
    <row r="1182" spans="1:22" x14ac:dyDescent="0.3">
      <c r="A1182" t="s">
        <v>2116</v>
      </c>
      <c r="B1182" s="1">
        <v>45642</v>
      </c>
      <c r="C1182" t="s">
        <v>467</v>
      </c>
      <c r="D1182" t="s">
        <v>747</v>
      </c>
      <c r="E1182" t="s">
        <v>41</v>
      </c>
      <c r="F1182" t="s">
        <v>42</v>
      </c>
      <c r="G1182" t="s">
        <v>50</v>
      </c>
      <c r="H1182" t="s">
        <v>28</v>
      </c>
      <c r="I1182" t="s">
        <v>29</v>
      </c>
      <c r="J1182" t="s">
        <v>30</v>
      </c>
      <c r="K1182">
        <v>4</v>
      </c>
      <c r="L1182">
        <v>61475.27</v>
      </c>
      <c r="M1182">
        <v>0.1</v>
      </c>
      <c r="N1182">
        <v>221310.97</v>
      </c>
      <c r="O1182">
        <v>214251.5</v>
      </c>
      <c r="P1182">
        <v>7059.47</v>
      </c>
      <c r="Q1182" t="s">
        <v>67</v>
      </c>
      <c r="R1182">
        <v>3.1898418772463022E-2</v>
      </c>
      <c r="S1182">
        <v>2024</v>
      </c>
      <c r="T1182" t="s">
        <v>2040</v>
      </c>
      <c r="U1182">
        <v>12</v>
      </c>
      <c r="V1182" t="s">
        <v>1803</v>
      </c>
    </row>
    <row r="1183" spans="1:22" x14ac:dyDescent="0.3">
      <c r="A1183" t="s">
        <v>2117</v>
      </c>
      <c r="B1183" s="1">
        <v>45642</v>
      </c>
      <c r="C1183" t="s">
        <v>323</v>
      </c>
      <c r="D1183" t="s">
        <v>752</v>
      </c>
      <c r="E1183" t="s">
        <v>120</v>
      </c>
      <c r="F1183" t="s">
        <v>121</v>
      </c>
      <c r="G1183" t="s">
        <v>224</v>
      </c>
      <c r="H1183" t="s">
        <v>43</v>
      </c>
      <c r="I1183" t="s">
        <v>44</v>
      </c>
      <c r="J1183" t="s">
        <v>248</v>
      </c>
      <c r="K1183">
        <v>1</v>
      </c>
      <c r="L1183">
        <v>314.64</v>
      </c>
      <c r="M1183">
        <v>0.1</v>
      </c>
      <c r="N1183">
        <v>283.18</v>
      </c>
      <c r="O1183">
        <v>127.69</v>
      </c>
      <c r="P1183">
        <v>155.49</v>
      </c>
      <c r="Q1183" t="s">
        <v>46</v>
      </c>
      <c r="R1183">
        <v>0.5490853873861149</v>
      </c>
      <c r="S1183">
        <v>2024</v>
      </c>
      <c r="T1183" t="s">
        <v>2040</v>
      </c>
      <c r="U1183">
        <v>12</v>
      </c>
      <c r="V1183" t="s">
        <v>1803</v>
      </c>
    </row>
    <row r="1184" spans="1:22" x14ac:dyDescent="0.3">
      <c r="A1184" t="s">
        <v>2118</v>
      </c>
      <c r="B1184" s="1">
        <v>45642</v>
      </c>
      <c r="C1184" t="s">
        <v>2119</v>
      </c>
      <c r="D1184" t="s">
        <v>911</v>
      </c>
      <c r="E1184" t="s">
        <v>120</v>
      </c>
      <c r="F1184" t="s">
        <v>121</v>
      </c>
      <c r="G1184" t="s">
        <v>122</v>
      </c>
      <c r="H1184" t="s">
        <v>64</v>
      </c>
      <c r="I1184" t="s">
        <v>108</v>
      </c>
      <c r="J1184" t="s">
        <v>155</v>
      </c>
      <c r="K1184">
        <v>3</v>
      </c>
      <c r="L1184">
        <v>8773.3799999999992</v>
      </c>
      <c r="M1184">
        <v>0.15</v>
      </c>
      <c r="N1184">
        <v>22372.12</v>
      </c>
      <c r="O1184">
        <v>18149.91</v>
      </c>
      <c r="P1184">
        <v>4222.21</v>
      </c>
      <c r="Q1184" t="s">
        <v>31</v>
      </c>
      <c r="R1184">
        <v>0.18872641484132929</v>
      </c>
      <c r="S1184">
        <v>2024</v>
      </c>
      <c r="T1184" t="s">
        <v>2040</v>
      </c>
      <c r="U1184">
        <v>12</v>
      </c>
      <c r="V1184" t="s">
        <v>1803</v>
      </c>
    </row>
    <row r="1185" spans="1:22" x14ac:dyDescent="0.3">
      <c r="A1185" t="s">
        <v>2120</v>
      </c>
      <c r="B1185" s="1">
        <v>45642</v>
      </c>
      <c r="C1185" t="s">
        <v>461</v>
      </c>
      <c r="D1185" t="s">
        <v>349</v>
      </c>
      <c r="E1185" t="s">
        <v>61</v>
      </c>
      <c r="F1185" t="s">
        <v>78</v>
      </c>
      <c r="G1185" t="s">
        <v>216</v>
      </c>
      <c r="H1185" t="s">
        <v>84</v>
      </c>
      <c r="I1185" t="s">
        <v>138</v>
      </c>
      <c r="J1185" t="s">
        <v>139</v>
      </c>
      <c r="K1185">
        <v>1</v>
      </c>
      <c r="L1185">
        <v>13151.46</v>
      </c>
      <c r="M1185">
        <v>0.05</v>
      </c>
      <c r="N1185">
        <v>12493.89</v>
      </c>
      <c r="O1185">
        <v>9404.81</v>
      </c>
      <c r="P1185">
        <v>3089.08</v>
      </c>
      <c r="Q1185" t="s">
        <v>46</v>
      </c>
      <c r="R1185">
        <v>0.2472472544579791</v>
      </c>
      <c r="S1185">
        <v>2024</v>
      </c>
      <c r="T1185" t="s">
        <v>2040</v>
      </c>
      <c r="U1185">
        <v>12</v>
      </c>
      <c r="V1185" t="s">
        <v>1803</v>
      </c>
    </row>
    <row r="1186" spans="1:22" x14ac:dyDescent="0.3">
      <c r="A1186" t="s">
        <v>2121</v>
      </c>
      <c r="B1186" s="1">
        <v>45642</v>
      </c>
      <c r="C1186" t="s">
        <v>2122</v>
      </c>
      <c r="D1186" t="s">
        <v>411</v>
      </c>
      <c r="E1186" t="s">
        <v>61</v>
      </c>
      <c r="F1186" t="s">
        <v>62</v>
      </c>
      <c r="G1186" t="s">
        <v>134</v>
      </c>
      <c r="H1186" t="s">
        <v>43</v>
      </c>
      <c r="I1186" t="s">
        <v>44</v>
      </c>
      <c r="J1186" t="s">
        <v>248</v>
      </c>
      <c r="K1186">
        <v>2</v>
      </c>
      <c r="L1186">
        <v>302.95999999999998</v>
      </c>
      <c r="M1186">
        <v>0</v>
      </c>
      <c r="N1186">
        <v>605.91999999999996</v>
      </c>
      <c r="O1186">
        <v>258.33999999999997</v>
      </c>
      <c r="P1186">
        <v>347.58</v>
      </c>
      <c r="Q1186" t="s">
        <v>53</v>
      </c>
      <c r="R1186">
        <v>0.57364008449960391</v>
      </c>
      <c r="S1186">
        <v>2024</v>
      </c>
      <c r="T1186" t="s">
        <v>2040</v>
      </c>
      <c r="U1186">
        <v>12</v>
      </c>
      <c r="V1186" t="s">
        <v>1803</v>
      </c>
    </row>
    <row r="1187" spans="1:22" x14ac:dyDescent="0.3">
      <c r="A1187" t="s">
        <v>2123</v>
      </c>
      <c r="B1187" s="1">
        <v>45643</v>
      </c>
      <c r="C1187" t="s">
        <v>1842</v>
      </c>
      <c r="D1187" t="s">
        <v>782</v>
      </c>
      <c r="E1187" t="s">
        <v>120</v>
      </c>
      <c r="F1187" t="s">
        <v>121</v>
      </c>
      <c r="G1187" t="s">
        <v>130</v>
      </c>
      <c r="H1187" t="s">
        <v>43</v>
      </c>
      <c r="I1187" t="s">
        <v>44</v>
      </c>
      <c r="J1187" t="s">
        <v>45</v>
      </c>
      <c r="K1187">
        <v>3</v>
      </c>
      <c r="L1187">
        <v>243.8</v>
      </c>
      <c r="M1187">
        <v>0</v>
      </c>
      <c r="N1187">
        <v>731.4</v>
      </c>
      <c r="O1187">
        <v>269.58999999999997</v>
      </c>
      <c r="P1187">
        <v>461.81</v>
      </c>
      <c r="Q1187" t="s">
        <v>46</v>
      </c>
      <c r="R1187">
        <v>0.63140552365326774</v>
      </c>
      <c r="S1187">
        <v>2024</v>
      </c>
      <c r="T1187" t="s">
        <v>2040</v>
      </c>
      <c r="U1187">
        <v>12</v>
      </c>
      <c r="V1187" t="s">
        <v>1803</v>
      </c>
    </row>
    <row r="1188" spans="1:22" x14ac:dyDescent="0.3">
      <c r="A1188" t="s">
        <v>2124</v>
      </c>
      <c r="B1188" s="1">
        <v>45644</v>
      </c>
      <c r="C1188" t="s">
        <v>2125</v>
      </c>
      <c r="D1188" t="s">
        <v>474</v>
      </c>
      <c r="E1188" t="s">
        <v>25</v>
      </c>
      <c r="F1188" t="s">
        <v>26</v>
      </c>
      <c r="G1188" t="s">
        <v>171</v>
      </c>
      <c r="H1188" t="s">
        <v>28</v>
      </c>
      <c r="I1188" t="s">
        <v>29</v>
      </c>
      <c r="J1188" t="s">
        <v>57</v>
      </c>
      <c r="K1188">
        <v>3</v>
      </c>
      <c r="L1188">
        <v>15159.8</v>
      </c>
      <c r="M1188">
        <v>0</v>
      </c>
      <c r="N1188">
        <v>45479.4</v>
      </c>
      <c r="O1188">
        <v>34524.81</v>
      </c>
      <c r="P1188">
        <v>10954.59</v>
      </c>
      <c r="Q1188" t="s">
        <v>67</v>
      </c>
      <c r="R1188">
        <v>0.24086927268169761</v>
      </c>
      <c r="S1188">
        <v>2024</v>
      </c>
      <c r="T1188" t="s">
        <v>2040</v>
      </c>
      <c r="U1188">
        <v>12</v>
      </c>
      <c r="V1188" t="s">
        <v>1803</v>
      </c>
    </row>
    <row r="1189" spans="1:22" x14ac:dyDescent="0.3">
      <c r="A1189" t="s">
        <v>2126</v>
      </c>
      <c r="B1189" s="1">
        <v>45644</v>
      </c>
      <c r="C1189" t="s">
        <v>2127</v>
      </c>
      <c r="D1189" t="s">
        <v>773</v>
      </c>
      <c r="E1189" t="s">
        <v>25</v>
      </c>
      <c r="F1189" t="s">
        <v>26</v>
      </c>
      <c r="G1189" t="s">
        <v>27</v>
      </c>
      <c r="H1189" t="s">
        <v>43</v>
      </c>
      <c r="I1189" t="s">
        <v>44</v>
      </c>
      <c r="J1189" t="s">
        <v>45</v>
      </c>
      <c r="K1189">
        <v>4</v>
      </c>
      <c r="L1189">
        <v>247.88</v>
      </c>
      <c r="M1189">
        <v>0.1</v>
      </c>
      <c r="N1189">
        <v>892.37</v>
      </c>
      <c r="O1189">
        <v>382.46</v>
      </c>
      <c r="P1189">
        <v>509.91</v>
      </c>
      <c r="Q1189" t="s">
        <v>46</v>
      </c>
      <c r="R1189">
        <v>0.57141096182076945</v>
      </c>
      <c r="S1189">
        <v>2024</v>
      </c>
      <c r="T1189" t="s">
        <v>2040</v>
      </c>
      <c r="U1189">
        <v>12</v>
      </c>
      <c r="V1189" t="s">
        <v>1803</v>
      </c>
    </row>
    <row r="1190" spans="1:22" x14ac:dyDescent="0.3">
      <c r="A1190" t="s">
        <v>2128</v>
      </c>
      <c r="B1190" s="1">
        <v>45644</v>
      </c>
      <c r="C1190" t="s">
        <v>1670</v>
      </c>
      <c r="D1190" t="s">
        <v>644</v>
      </c>
      <c r="E1190" t="s">
        <v>61</v>
      </c>
      <c r="F1190" t="s">
        <v>78</v>
      </c>
      <c r="G1190" t="s">
        <v>104</v>
      </c>
      <c r="H1190" t="s">
        <v>28</v>
      </c>
      <c r="I1190" t="s">
        <v>73</v>
      </c>
      <c r="J1190" t="s">
        <v>74</v>
      </c>
      <c r="K1190">
        <v>1</v>
      </c>
      <c r="L1190">
        <v>2443.8000000000002</v>
      </c>
      <c r="M1190">
        <v>0.1</v>
      </c>
      <c r="N1190">
        <v>2199.42</v>
      </c>
      <c r="O1190">
        <v>1309.95</v>
      </c>
      <c r="P1190">
        <v>889.47</v>
      </c>
      <c r="Q1190" t="s">
        <v>31</v>
      </c>
      <c r="R1190">
        <v>0.4044111629429577</v>
      </c>
      <c r="S1190">
        <v>2024</v>
      </c>
      <c r="T1190" t="s">
        <v>2040</v>
      </c>
      <c r="U1190">
        <v>12</v>
      </c>
      <c r="V1190" t="s">
        <v>1803</v>
      </c>
    </row>
    <row r="1191" spans="1:22" x14ac:dyDescent="0.3">
      <c r="A1191" t="s">
        <v>2129</v>
      </c>
      <c r="B1191" s="1">
        <v>45644</v>
      </c>
      <c r="C1191" t="s">
        <v>1357</v>
      </c>
      <c r="D1191" t="s">
        <v>565</v>
      </c>
      <c r="E1191" t="s">
        <v>61</v>
      </c>
      <c r="F1191" t="s">
        <v>62</v>
      </c>
      <c r="G1191" t="s">
        <v>63</v>
      </c>
      <c r="H1191" t="s">
        <v>64</v>
      </c>
      <c r="I1191" t="s">
        <v>108</v>
      </c>
      <c r="J1191" t="s">
        <v>109</v>
      </c>
      <c r="K1191">
        <v>2</v>
      </c>
      <c r="L1191">
        <v>6704.39</v>
      </c>
      <c r="M1191">
        <v>0.2</v>
      </c>
      <c r="N1191">
        <v>10727.02</v>
      </c>
      <c r="O1191">
        <v>8922.8700000000008</v>
      </c>
      <c r="P1191">
        <v>1804.15</v>
      </c>
      <c r="Q1191" t="s">
        <v>67</v>
      </c>
      <c r="R1191">
        <v>0.16818743695826049</v>
      </c>
      <c r="S1191">
        <v>2024</v>
      </c>
      <c r="T1191" t="s">
        <v>2040</v>
      </c>
      <c r="U1191">
        <v>12</v>
      </c>
      <c r="V1191" t="s">
        <v>1803</v>
      </c>
    </row>
    <row r="1192" spans="1:22" x14ac:dyDescent="0.3">
      <c r="A1192" t="s">
        <v>2130</v>
      </c>
      <c r="B1192" s="1">
        <v>45644</v>
      </c>
      <c r="C1192" t="s">
        <v>1477</v>
      </c>
      <c r="D1192" t="s">
        <v>385</v>
      </c>
      <c r="E1192" t="s">
        <v>61</v>
      </c>
      <c r="F1192" t="s">
        <v>78</v>
      </c>
      <c r="G1192" t="s">
        <v>104</v>
      </c>
      <c r="H1192" t="s">
        <v>64</v>
      </c>
      <c r="I1192" t="s">
        <v>108</v>
      </c>
      <c r="J1192" t="s">
        <v>109</v>
      </c>
      <c r="K1192">
        <v>4</v>
      </c>
      <c r="L1192">
        <v>6987.79</v>
      </c>
      <c r="M1192">
        <v>0</v>
      </c>
      <c r="N1192">
        <v>27951.16</v>
      </c>
      <c r="O1192">
        <v>17875.439999999999</v>
      </c>
      <c r="P1192">
        <v>10075.719999999999</v>
      </c>
      <c r="Q1192" t="s">
        <v>53</v>
      </c>
      <c r="R1192">
        <v>0.36047591584749972</v>
      </c>
      <c r="S1192">
        <v>2024</v>
      </c>
      <c r="T1192" t="s">
        <v>2040</v>
      </c>
      <c r="U1192">
        <v>12</v>
      </c>
      <c r="V1192" t="s">
        <v>1803</v>
      </c>
    </row>
    <row r="1193" spans="1:22" x14ac:dyDescent="0.3">
      <c r="A1193" t="s">
        <v>2131</v>
      </c>
      <c r="B1193" s="1">
        <v>45645</v>
      </c>
      <c r="C1193" t="s">
        <v>2132</v>
      </c>
      <c r="D1193" t="s">
        <v>1098</v>
      </c>
      <c r="E1193" t="s">
        <v>25</v>
      </c>
      <c r="F1193" t="s">
        <v>26</v>
      </c>
      <c r="G1193" t="s">
        <v>27</v>
      </c>
      <c r="H1193" t="s">
        <v>28</v>
      </c>
      <c r="I1193" t="s">
        <v>91</v>
      </c>
      <c r="J1193" t="s">
        <v>92</v>
      </c>
      <c r="K1193">
        <v>2</v>
      </c>
      <c r="L1193">
        <v>2967.75</v>
      </c>
      <c r="M1193">
        <v>0.1</v>
      </c>
      <c r="N1193">
        <v>5341.95</v>
      </c>
      <c r="O1193">
        <v>3179.3</v>
      </c>
      <c r="P1193">
        <v>2162.65</v>
      </c>
      <c r="Q1193" t="s">
        <v>46</v>
      </c>
      <c r="R1193">
        <v>0.40484280084987689</v>
      </c>
      <c r="S1193">
        <v>2024</v>
      </c>
      <c r="T1193" t="s">
        <v>2040</v>
      </c>
      <c r="U1193">
        <v>12</v>
      </c>
      <c r="V1193" t="s">
        <v>1803</v>
      </c>
    </row>
    <row r="1194" spans="1:22" x14ac:dyDescent="0.3">
      <c r="A1194" t="s">
        <v>2133</v>
      </c>
      <c r="B1194" s="1">
        <v>45645</v>
      </c>
      <c r="C1194" t="s">
        <v>703</v>
      </c>
      <c r="D1194" t="s">
        <v>270</v>
      </c>
      <c r="E1194" t="s">
        <v>61</v>
      </c>
      <c r="F1194" t="s">
        <v>78</v>
      </c>
      <c r="G1194" t="s">
        <v>79</v>
      </c>
      <c r="H1194" t="s">
        <v>43</v>
      </c>
      <c r="I1194" t="s">
        <v>51</v>
      </c>
      <c r="J1194" t="s">
        <v>52</v>
      </c>
      <c r="K1194">
        <v>5</v>
      </c>
      <c r="L1194">
        <v>686.88</v>
      </c>
      <c r="M1194">
        <v>0.1</v>
      </c>
      <c r="N1194">
        <v>3090.96</v>
      </c>
      <c r="O1194">
        <v>1555.35</v>
      </c>
      <c r="P1194">
        <v>1535.61</v>
      </c>
      <c r="Q1194" t="s">
        <v>67</v>
      </c>
      <c r="R1194">
        <v>0.49680681729947967</v>
      </c>
      <c r="S1194">
        <v>2024</v>
      </c>
      <c r="T1194" t="s">
        <v>2040</v>
      </c>
      <c r="U1194">
        <v>12</v>
      </c>
      <c r="V1194" t="s">
        <v>1803</v>
      </c>
    </row>
    <row r="1195" spans="1:22" x14ac:dyDescent="0.3">
      <c r="A1195" t="s">
        <v>2134</v>
      </c>
      <c r="B1195" s="1">
        <v>45646</v>
      </c>
      <c r="C1195" t="s">
        <v>397</v>
      </c>
      <c r="D1195" t="s">
        <v>601</v>
      </c>
      <c r="E1195" t="s">
        <v>61</v>
      </c>
      <c r="F1195" t="s">
        <v>78</v>
      </c>
      <c r="G1195" t="s">
        <v>79</v>
      </c>
      <c r="H1195" t="s">
        <v>84</v>
      </c>
      <c r="I1195" t="s">
        <v>85</v>
      </c>
      <c r="J1195" t="s">
        <v>86</v>
      </c>
      <c r="K1195">
        <v>2</v>
      </c>
      <c r="L1195">
        <v>1736.25</v>
      </c>
      <c r="M1195">
        <v>0.1</v>
      </c>
      <c r="N1195">
        <v>3125.25</v>
      </c>
      <c r="O1195">
        <v>1846.68</v>
      </c>
      <c r="P1195">
        <v>1278.57</v>
      </c>
      <c r="Q1195" t="s">
        <v>46</v>
      </c>
      <c r="R1195">
        <v>0.40910967122630187</v>
      </c>
      <c r="S1195">
        <v>2024</v>
      </c>
      <c r="T1195" t="s">
        <v>2040</v>
      </c>
      <c r="U1195">
        <v>12</v>
      </c>
      <c r="V1195" t="s">
        <v>1803</v>
      </c>
    </row>
    <row r="1196" spans="1:22" x14ac:dyDescent="0.3">
      <c r="A1196" t="s">
        <v>2135</v>
      </c>
      <c r="B1196" s="1">
        <v>45646</v>
      </c>
      <c r="C1196" t="s">
        <v>1091</v>
      </c>
      <c r="D1196" t="s">
        <v>1108</v>
      </c>
      <c r="E1196" t="s">
        <v>120</v>
      </c>
      <c r="F1196" t="s">
        <v>121</v>
      </c>
      <c r="G1196" t="s">
        <v>224</v>
      </c>
      <c r="H1196" t="s">
        <v>64</v>
      </c>
      <c r="I1196" t="s">
        <v>108</v>
      </c>
      <c r="J1196" t="s">
        <v>155</v>
      </c>
      <c r="K1196">
        <v>5</v>
      </c>
      <c r="L1196">
        <v>8095.26</v>
      </c>
      <c r="M1196">
        <v>0.15</v>
      </c>
      <c r="N1196">
        <v>34404.86</v>
      </c>
      <c r="O1196">
        <v>26717.8</v>
      </c>
      <c r="P1196">
        <v>7687.06</v>
      </c>
      <c r="Q1196" t="s">
        <v>31</v>
      </c>
      <c r="R1196">
        <v>0.2234294806024498</v>
      </c>
      <c r="S1196">
        <v>2024</v>
      </c>
      <c r="T1196" t="s">
        <v>2040</v>
      </c>
      <c r="U1196">
        <v>12</v>
      </c>
      <c r="V1196" t="s">
        <v>1803</v>
      </c>
    </row>
    <row r="1197" spans="1:22" x14ac:dyDescent="0.3">
      <c r="A1197" t="s">
        <v>2136</v>
      </c>
      <c r="B1197" s="1">
        <v>45646</v>
      </c>
      <c r="C1197" t="s">
        <v>252</v>
      </c>
      <c r="D1197" t="s">
        <v>316</v>
      </c>
      <c r="E1197" t="s">
        <v>61</v>
      </c>
      <c r="F1197" t="s">
        <v>71</v>
      </c>
      <c r="G1197" t="s">
        <v>201</v>
      </c>
      <c r="H1197" t="s">
        <v>28</v>
      </c>
      <c r="I1197" t="s">
        <v>91</v>
      </c>
      <c r="J1197" t="s">
        <v>92</v>
      </c>
      <c r="K1197">
        <v>2</v>
      </c>
      <c r="L1197">
        <v>2912.4</v>
      </c>
      <c r="M1197">
        <v>0.1</v>
      </c>
      <c r="N1197">
        <v>5242.32</v>
      </c>
      <c r="O1197">
        <v>2968.27</v>
      </c>
      <c r="P1197">
        <v>2274.0500000000002</v>
      </c>
      <c r="Q1197" t="s">
        <v>46</v>
      </c>
      <c r="R1197">
        <v>0.43378694928962758</v>
      </c>
      <c r="S1197">
        <v>2024</v>
      </c>
      <c r="T1197" t="s">
        <v>2040</v>
      </c>
      <c r="U1197">
        <v>12</v>
      </c>
      <c r="V1197" t="s">
        <v>1803</v>
      </c>
    </row>
    <row r="1198" spans="1:22" x14ac:dyDescent="0.3">
      <c r="A1198" t="s">
        <v>2137</v>
      </c>
      <c r="B1198" s="1">
        <v>45647</v>
      </c>
      <c r="C1198" t="s">
        <v>184</v>
      </c>
      <c r="D1198" t="s">
        <v>685</v>
      </c>
      <c r="E1198" t="s">
        <v>61</v>
      </c>
      <c r="F1198" t="s">
        <v>71</v>
      </c>
      <c r="G1198" t="s">
        <v>317</v>
      </c>
      <c r="H1198" t="s">
        <v>84</v>
      </c>
      <c r="I1198" t="s">
        <v>85</v>
      </c>
      <c r="J1198" t="s">
        <v>86</v>
      </c>
      <c r="K1198">
        <v>2</v>
      </c>
      <c r="L1198">
        <v>1776.36</v>
      </c>
      <c r="M1198">
        <v>0.2</v>
      </c>
      <c r="N1198">
        <v>2842.18</v>
      </c>
      <c r="O1198">
        <v>1964.52</v>
      </c>
      <c r="P1198">
        <v>877.66</v>
      </c>
      <c r="Q1198" t="s">
        <v>31</v>
      </c>
      <c r="R1198">
        <v>0.30879817604796322</v>
      </c>
      <c r="S1198">
        <v>2024</v>
      </c>
      <c r="T1198" t="s">
        <v>2040</v>
      </c>
      <c r="U1198">
        <v>12</v>
      </c>
      <c r="V1198" t="s">
        <v>1803</v>
      </c>
    </row>
    <row r="1199" spans="1:22" x14ac:dyDescent="0.3">
      <c r="A1199" t="s">
        <v>2138</v>
      </c>
      <c r="B1199" s="1">
        <v>45647</v>
      </c>
      <c r="C1199" t="s">
        <v>481</v>
      </c>
      <c r="D1199" t="s">
        <v>342</v>
      </c>
      <c r="E1199" t="s">
        <v>41</v>
      </c>
      <c r="F1199" t="s">
        <v>42</v>
      </c>
      <c r="G1199" t="s">
        <v>50</v>
      </c>
      <c r="H1199" t="s">
        <v>28</v>
      </c>
      <c r="I1199" t="s">
        <v>91</v>
      </c>
      <c r="J1199" t="s">
        <v>126</v>
      </c>
      <c r="K1199">
        <v>2</v>
      </c>
      <c r="L1199">
        <v>1885.5</v>
      </c>
      <c r="M1199">
        <v>0</v>
      </c>
      <c r="N1199">
        <v>3771</v>
      </c>
      <c r="O1199">
        <v>2196.5300000000002</v>
      </c>
      <c r="P1199">
        <v>1574.47</v>
      </c>
      <c r="Q1199" t="s">
        <v>53</v>
      </c>
      <c r="R1199">
        <v>0.4175205515778308</v>
      </c>
      <c r="S1199">
        <v>2024</v>
      </c>
      <c r="T1199" t="s">
        <v>2040</v>
      </c>
      <c r="U1199">
        <v>12</v>
      </c>
      <c r="V1199" t="s">
        <v>1803</v>
      </c>
    </row>
    <row r="1200" spans="1:22" x14ac:dyDescent="0.3">
      <c r="A1200" t="s">
        <v>2139</v>
      </c>
      <c r="B1200" s="1">
        <v>45648</v>
      </c>
      <c r="C1200" t="s">
        <v>1629</v>
      </c>
      <c r="D1200" t="s">
        <v>876</v>
      </c>
      <c r="E1200" t="s">
        <v>61</v>
      </c>
      <c r="F1200" t="s">
        <v>78</v>
      </c>
      <c r="G1200" t="s">
        <v>104</v>
      </c>
      <c r="H1200" t="s">
        <v>64</v>
      </c>
      <c r="I1200" t="s">
        <v>108</v>
      </c>
      <c r="J1200" t="s">
        <v>155</v>
      </c>
      <c r="K1200">
        <v>4</v>
      </c>
      <c r="L1200">
        <v>8834.15</v>
      </c>
      <c r="M1200">
        <v>0.15</v>
      </c>
      <c r="N1200">
        <v>30036.11</v>
      </c>
      <c r="O1200">
        <v>24565.599999999999</v>
      </c>
      <c r="P1200">
        <v>5470.51</v>
      </c>
      <c r="Q1200" t="s">
        <v>53</v>
      </c>
      <c r="R1200">
        <v>0.18213110818944259</v>
      </c>
      <c r="S1200">
        <v>2024</v>
      </c>
      <c r="T1200" t="s">
        <v>2040</v>
      </c>
      <c r="U1200">
        <v>12</v>
      </c>
      <c r="V1200" t="s">
        <v>1803</v>
      </c>
    </row>
    <row r="1201" spans="1:22" x14ac:dyDescent="0.3">
      <c r="A1201" t="s">
        <v>2140</v>
      </c>
      <c r="B1201" s="1">
        <v>45648</v>
      </c>
      <c r="C1201" t="s">
        <v>2141</v>
      </c>
      <c r="D1201" t="s">
        <v>227</v>
      </c>
      <c r="E1201" t="s">
        <v>25</v>
      </c>
      <c r="F1201" t="s">
        <v>26</v>
      </c>
      <c r="G1201" t="s">
        <v>171</v>
      </c>
      <c r="H1201" t="s">
        <v>28</v>
      </c>
      <c r="I1201" t="s">
        <v>73</v>
      </c>
      <c r="J1201" t="s">
        <v>80</v>
      </c>
      <c r="K1201">
        <v>5</v>
      </c>
      <c r="L1201">
        <v>815.44</v>
      </c>
      <c r="M1201">
        <v>0.1</v>
      </c>
      <c r="N1201">
        <v>3669.48</v>
      </c>
      <c r="O1201">
        <v>2583.0700000000002</v>
      </c>
      <c r="P1201">
        <v>1086.4100000000001</v>
      </c>
      <c r="Q1201" t="s">
        <v>67</v>
      </c>
      <c r="R1201">
        <v>0.29606647263372471</v>
      </c>
      <c r="S1201">
        <v>2024</v>
      </c>
      <c r="T1201" t="s">
        <v>2040</v>
      </c>
      <c r="U1201">
        <v>12</v>
      </c>
      <c r="V1201" t="s">
        <v>1803</v>
      </c>
    </row>
    <row r="1202" spans="1:22" x14ac:dyDescent="0.3">
      <c r="A1202" t="s">
        <v>2142</v>
      </c>
      <c r="B1202" s="1">
        <v>45648</v>
      </c>
      <c r="C1202" t="s">
        <v>2143</v>
      </c>
      <c r="D1202" t="s">
        <v>468</v>
      </c>
      <c r="E1202" t="s">
        <v>120</v>
      </c>
      <c r="F1202" t="s">
        <v>121</v>
      </c>
      <c r="G1202" t="s">
        <v>122</v>
      </c>
      <c r="H1202" t="s">
        <v>43</v>
      </c>
      <c r="I1202" t="s">
        <v>44</v>
      </c>
      <c r="J1202" t="s">
        <v>248</v>
      </c>
      <c r="K1202">
        <v>2</v>
      </c>
      <c r="L1202">
        <v>295.95</v>
      </c>
      <c r="M1202">
        <v>0.15</v>
      </c>
      <c r="N1202">
        <v>503.11</v>
      </c>
      <c r="O1202">
        <v>255.6</v>
      </c>
      <c r="P1202">
        <v>247.51</v>
      </c>
      <c r="Q1202" t="s">
        <v>113</v>
      </c>
      <c r="R1202">
        <v>0.49196000874560231</v>
      </c>
      <c r="S1202">
        <v>2024</v>
      </c>
      <c r="T1202" t="s">
        <v>2040</v>
      </c>
      <c r="U1202">
        <v>12</v>
      </c>
      <c r="V1202" t="s">
        <v>1803</v>
      </c>
    </row>
    <row r="1203" spans="1:22" x14ac:dyDescent="0.3">
      <c r="A1203" t="s">
        <v>2144</v>
      </c>
      <c r="B1203" s="1">
        <v>45648</v>
      </c>
      <c r="C1203" t="s">
        <v>1885</v>
      </c>
      <c r="D1203" t="s">
        <v>454</v>
      </c>
      <c r="E1203" t="s">
        <v>61</v>
      </c>
      <c r="F1203" t="s">
        <v>71</v>
      </c>
      <c r="G1203" t="s">
        <v>100</v>
      </c>
      <c r="H1203" t="s">
        <v>28</v>
      </c>
      <c r="I1203" t="s">
        <v>91</v>
      </c>
      <c r="J1203" t="s">
        <v>126</v>
      </c>
      <c r="K1203">
        <v>2</v>
      </c>
      <c r="L1203">
        <v>2041.4</v>
      </c>
      <c r="M1203">
        <v>0.05</v>
      </c>
      <c r="N1203">
        <v>3878.66</v>
      </c>
      <c r="O1203">
        <v>2299.06</v>
      </c>
      <c r="P1203">
        <v>1579.6</v>
      </c>
      <c r="Q1203" t="s">
        <v>31</v>
      </c>
      <c r="R1203">
        <v>0.40725405165701561</v>
      </c>
      <c r="S1203">
        <v>2024</v>
      </c>
      <c r="T1203" t="s">
        <v>2040</v>
      </c>
      <c r="U1203">
        <v>12</v>
      </c>
      <c r="V1203" t="s">
        <v>1803</v>
      </c>
    </row>
    <row r="1204" spans="1:22" x14ac:dyDescent="0.3">
      <c r="A1204" t="s">
        <v>2145</v>
      </c>
      <c r="B1204" s="1">
        <v>45648</v>
      </c>
      <c r="C1204" t="s">
        <v>1477</v>
      </c>
      <c r="D1204" t="s">
        <v>191</v>
      </c>
      <c r="E1204" t="s">
        <v>25</v>
      </c>
      <c r="F1204" t="s">
        <v>26</v>
      </c>
      <c r="G1204" t="s">
        <v>27</v>
      </c>
      <c r="H1204" t="s">
        <v>84</v>
      </c>
      <c r="I1204" t="s">
        <v>138</v>
      </c>
      <c r="J1204" t="s">
        <v>220</v>
      </c>
      <c r="K1204">
        <v>2</v>
      </c>
      <c r="L1204">
        <v>7662.7</v>
      </c>
      <c r="M1204">
        <v>0.1</v>
      </c>
      <c r="N1204">
        <v>13792.86</v>
      </c>
      <c r="O1204">
        <v>9636.9</v>
      </c>
      <c r="P1204">
        <v>4155.96</v>
      </c>
      <c r="Q1204" t="s">
        <v>31</v>
      </c>
      <c r="R1204">
        <v>0.30131241816418058</v>
      </c>
      <c r="S1204">
        <v>2024</v>
      </c>
      <c r="T1204" t="s">
        <v>2040</v>
      </c>
      <c r="U1204">
        <v>12</v>
      </c>
      <c r="V1204" t="s">
        <v>1803</v>
      </c>
    </row>
    <row r="1205" spans="1:22" x14ac:dyDescent="0.3">
      <c r="A1205" t="s">
        <v>2146</v>
      </c>
      <c r="B1205" s="1">
        <v>45648</v>
      </c>
      <c r="C1205" t="s">
        <v>826</v>
      </c>
      <c r="D1205" t="s">
        <v>468</v>
      </c>
      <c r="E1205" t="s">
        <v>61</v>
      </c>
      <c r="F1205" t="s">
        <v>71</v>
      </c>
      <c r="G1205" t="s">
        <v>72</v>
      </c>
      <c r="H1205" t="s">
        <v>84</v>
      </c>
      <c r="I1205" t="s">
        <v>85</v>
      </c>
      <c r="J1205" t="s">
        <v>145</v>
      </c>
      <c r="K1205">
        <v>2</v>
      </c>
      <c r="L1205">
        <v>3481.94</v>
      </c>
      <c r="M1205">
        <v>0.1</v>
      </c>
      <c r="N1205">
        <v>6267.49</v>
      </c>
      <c r="O1205">
        <v>3998.54</v>
      </c>
      <c r="P1205">
        <v>2268.9499999999998</v>
      </c>
      <c r="Q1205" t="s">
        <v>53</v>
      </c>
      <c r="R1205">
        <v>0.36201892623681892</v>
      </c>
      <c r="S1205">
        <v>2024</v>
      </c>
      <c r="T1205" t="s">
        <v>2040</v>
      </c>
      <c r="U1205">
        <v>12</v>
      </c>
      <c r="V1205" t="s">
        <v>1803</v>
      </c>
    </row>
    <row r="1206" spans="1:22" x14ac:dyDescent="0.3">
      <c r="A1206" t="s">
        <v>2147</v>
      </c>
      <c r="B1206" s="1">
        <v>45649</v>
      </c>
      <c r="C1206" t="s">
        <v>1065</v>
      </c>
      <c r="D1206" t="s">
        <v>675</v>
      </c>
      <c r="E1206" t="s">
        <v>61</v>
      </c>
      <c r="F1206" t="s">
        <v>71</v>
      </c>
      <c r="G1206" t="s">
        <v>100</v>
      </c>
      <c r="H1206" t="s">
        <v>64</v>
      </c>
      <c r="I1206" t="s">
        <v>108</v>
      </c>
      <c r="J1206" t="s">
        <v>155</v>
      </c>
      <c r="K1206">
        <v>5</v>
      </c>
      <c r="L1206">
        <v>8020.39</v>
      </c>
      <c r="M1206">
        <v>0.2</v>
      </c>
      <c r="N1206">
        <v>32081.56</v>
      </c>
      <c r="O1206">
        <v>27017.32</v>
      </c>
      <c r="P1206">
        <v>5064.24</v>
      </c>
      <c r="Q1206" t="s">
        <v>113</v>
      </c>
      <c r="R1206">
        <v>0.15785516664401611</v>
      </c>
      <c r="S1206">
        <v>2024</v>
      </c>
      <c r="T1206" t="s">
        <v>2040</v>
      </c>
      <c r="U1206">
        <v>12</v>
      </c>
      <c r="V1206" t="s">
        <v>1803</v>
      </c>
    </row>
    <row r="1207" spans="1:22" x14ac:dyDescent="0.3">
      <c r="A1207" t="s">
        <v>2148</v>
      </c>
      <c r="B1207" s="1">
        <v>45650</v>
      </c>
      <c r="C1207" t="s">
        <v>319</v>
      </c>
      <c r="D1207" t="s">
        <v>125</v>
      </c>
      <c r="E1207" t="s">
        <v>61</v>
      </c>
      <c r="F1207" t="s">
        <v>62</v>
      </c>
      <c r="G1207" t="s">
        <v>63</v>
      </c>
      <c r="H1207" t="s">
        <v>28</v>
      </c>
      <c r="I1207" t="s">
        <v>29</v>
      </c>
      <c r="J1207" t="s">
        <v>30</v>
      </c>
      <c r="K1207">
        <v>3</v>
      </c>
      <c r="L1207">
        <v>62322.49</v>
      </c>
      <c r="M1207">
        <v>0.15</v>
      </c>
      <c r="N1207">
        <v>158922.35</v>
      </c>
      <c r="O1207">
        <v>169040.46</v>
      </c>
      <c r="P1207">
        <v>-10118.11</v>
      </c>
      <c r="Q1207" t="s">
        <v>53</v>
      </c>
      <c r="R1207">
        <v>-6.3667004672407629E-2</v>
      </c>
      <c r="S1207">
        <v>2024</v>
      </c>
      <c r="T1207" t="s">
        <v>2040</v>
      </c>
      <c r="U1207">
        <v>12</v>
      </c>
      <c r="V1207" t="s">
        <v>1803</v>
      </c>
    </row>
    <row r="1208" spans="1:22" x14ac:dyDescent="0.3">
      <c r="A1208" t="s">
        <v>2149</v>
      </c>
      <c r="B1208" s="1">
        <v>45650</v>
      </c>
      <c r="C1208" t="s">
        <v>596</v>
      </c>
      <c r="D1208" t="s">
        <v>107</v>
      </c>
      <c r="E1208" t="s">
        <v>61</v>
      </c>
      <c r="F1208" t="s">
        <v>78</v>
      </c>
      <c r="G1208" t="s">
        <v>79</v>
      </c>
      <c r="H1208" t="s">
        <v>43</v>
      </c>
      <c r="I1208" t="s">
        <v>44</v>
      </c>
      <c r="J1208" t="s">
        <v>45</v>
      </c>
      <c r="K1208">
        <v>4</v>
      </c>
      <c r="L1208">
        <v>248.46</v>
      </c>
      <c r="M1208">
        <v>0.15</v>
      </c>
      <c r="N1208">
        <v>844.76</v>
      </c>
      <c r="O1208">
        <v>392.21</v>
      </c>
      <c r="P1208">
        <v>452.55</v>
      </c>
      <c r="Q1208" t="s">
        <v>53</v>
      </c>
      <c r="R1208">
        <v>0.5357142857142857</v>
      </c>
      <c r="S1208">
        <v>2024</v>
      </c>
      <c r="T1208" t="s">
        <v>2040</v>
      </c>
      <c r="U1208">
        <v>12</v>
      </c>
      <c r="V1208" t="s">
        <v>1803</v>
      </c>
    </row>
    <row r="1209" spans="1:22" x14ac:dyDescent="0.3">
      <c r="A1209" t="s">
        <v>2150</v>
      </c>
      <c r="B1209" s="1">
        <v>45650</v>
      </c>
      <c r="C1209" t="s">
        <v>1265</v>
      </c>
      <c r="D1209" t="s">
        <v>972</v>
      </c>
      <c r="E1209" t="s">
        <v>61</v>
      </c>
      <c r="F1209" t="s">
        <v>78</v>
      </c>
      <c r="G1209" t="s">
        <v>83</v>
      </c>
      <c r="H1209" t="s">
        <v>84</v>
      </c>
      <c r="I1209" t="s">
        <v>138</v>
      </c>
      <c r="J1209" t="s">
        <v>220</v>
      </c>
      <c r="K1209">
        <v>1</v>
      </c>
      <c r="L1209">
        <v>7577.86</v>
      </c>
      <c r="M1209">
        <v>0.05</v>
      </c>
      <c r="N1209">
        <v>7198.97</v>
      </c>
      <c r="O1209">
        <v>5011.54</v>
      </c>
      <c r="P1209">
        <v>2187.4299999999998</v>
      </c>
      <c r="Q1209" t="s">
        <v>31</v>
      </c>
      <c r="R1209">
        <v>0.30385319010914058</v>
      </c>
      <c r="S1209">
        <v>2024</v>
      </c>
      <c r="T1209" t="s">
        <v>2040</v>
      </c>
      <c r="U1209">
        <v>12</v>
      </c>
      <c r="V1209" t="s">
        <v>1803</v>
      </c>
    </row>
    <row r="1210" spans="1:22" x14ac:dyDescent="0.3">
      <c r="A1210" t="s">
        <v>2151</v>
      </c>
      <c r="B1210" s="1">
        <v>45650</v>
      </c>
      <c r="C1210" t="s">
        <v>962</v>
      </c>
      <c r="D1210" t="s">
        <v>594</v>
      </c>
      <c r="E1210" t="s">
        <v>41</v>
      </c>
      <c r="F1210" t="s">
        <v>42</v>
      </c>
      <c r="G1210" t="s">
        <v>42</v>
      </c>
      <c r="H1210" t="s">
        <v>64</v>
      </c>
      <c r="I1210" t="s">
        <v>108</v>
      </c>
      <c r="J1210" t="s">
        <v>155</v>
      </c>
      <c r="K1210">
        <v>2</v>
      </c>
      <c r="L1210">
        <v>8342.65</v>
      </c>
      <c r="M1210">
        <v>0.05</v>
      </c>
      <c r="N1210">
        <v>15851.03</v>
      </c>
      <c r="O1210">
        <v>11227.56</v>
      </c>
      <c r="P1210">
        <v>4623.47</v>
      </c>
      <c r="Q1210" t="s">
        <v>53</v>
      </c>
      <c r="R1210">
        <v>0.29168262251727489</v>
      </c>
      <c r="S1210">
        <v>2024</v>
      </c>
      <c r="T1210" t="s">
        <v>2040</v>
      </c>
      <c r="U1210">
        <v>12</v>
      </c>
      <c r="V1210" t="s">
        <v>1803</v>
      </c>
    </row>
    <row r="1211" spans="1:22" x14ac:dyDescent="0.3">
      <c r="A1211" t="s">
        <v>2152</v>
      </c>
      <c r="B1211" s="1">
        <v>45650</v>
      </c>
      <c r="C1211" t="s">
        <v>160</v>
      </c>
      <c r="D1211" t="s">
        <v>820</v>
      </c>
      <c r="E1211" t="s">
        <v>61</v>
      </c>
      <c r="F1211" t="s">
        <v>78</v>
      </c>
      <c r="G1211" t="s">
        <v>216</v>
      </c>
      <c r="H1211" t="s">
        <v>28</v>
      </c>
      <c r="I1211" t="s">
        <v>91</v>
      </c>
      <c r="J1211" t="s">
        <v>92</v>
      </c>
      <c r="K1211">
        <v>1</v>
      </c>
      <c r="L1211">
        <v>2942.84</v>
      </c>
      <c r="M1211">
        <v>0.05</v>
      </c>
      <c r="N1211">
        <v>2795.7</v>
      </c>
      <c r="O1211">
        <v>1485.85</v>
      </c>
      <c r="P1211">
        <v>1309.8499999999999</v>
      </c>
      <c r="Q1211" t="s">
        <v>113</v>
      </c>
      <c r="R1211">
        <v>0.46852308902958112</v>
      </c>
      <c r="S1211">
        <v>2024</v>
      </c>
      <c r="T1211" t="s">
        <v>2040</v>
      </c>
      <c r="U1211">
        <v>12</v>
      </c>
      <c r="V1211" t="s">
        <v>1803</v>
      </c>
    </row>
    <row r="1212" spans="1:22" x14ac:dyDescent="0.3">
      <c r="A1212" t="s">
        <v>2153</v>
      </c>
      <c r="B1212" s="1">
        <v>45651</v>
      </c>
      <c r="C1212" t="s">
        <v>1246</v>
      </c>
      <c r="D1212" t="s">
        <v>794</v>
      </c>
      <c r="E1212" t="s">
        <v>61</v>
      </c>
      <c r="F1212" t="s">
        <v>78</v>
      </c>
      <c r="G1212" t="s">
        <v>79</v>
      </c>
      <c r="H1212" t="s">
        <v>64</v>
      </c>
      <c r="I1212" t="s">
        <v>65</v>
      </c>
      <c r="J1212" t="s">
        <v>232</v>
      </c>
      <c r="K1212">
        <v>3</v>
      </c>
      <c r="L1212">
        <v>4119.6499999999996</v>
      </c>
      <c r="M1212">
        <v>0.15</v>
      </c>
      <c r="N1212">
        <v>10505.11</v>
      </c>
      <c r="O1212">
        <v>7866</v>
      </c>
      <c r="P1212">
        <v>2639.11</v>
      </c>
      <c r="Q1212" t="s">
        <v>46</v>
      </c>
      <c r="R1212">
        <v>0.25122154837026928</v>
      </c>
      <c r="S1212">
        <v>2024</v>
      </c>
      <c r="T1212" t="s">
        <v>2040</v>
      </c>
      <c r="U1212">
        <v>12</v>
      </c>
      <c r="V1212" t="s">
        <v>1803</v>
      </c>
    </row>
    <row r="1213" spans="1:22" x14ac:dyDescent="0.3">
      <c r="A1213" t="s">
        <v>2154</v>
      </c>
      <c r="B1213" s="1">
        <v>45651</v>
      </c>
      <c r="C1213" t="s">
        <v>1826</v>
      </c>
      <c r="D1213" t="s">
        <v>304</v>
      </c>
      <c r="E1213" t="s">
        <v>120</v>
      </c>
      <c r="F1213" t="s">
        <v>121</v>
      </c>
      <c r="G1213" t="s">
        <v>224</v>
      </c>
      <c r="H1213" t="s">
        <v>28</v>
      </c>
      <c r="I1213" t="s">
        <v>91</v>
      </c>
      <c r="J1213" t="s">
        <v>92</v>
      </c>
      <c r="K1213">
        <v>3</v>
      </c>
      <c r="L1213">
        <v>3041.8</v>
      </c>
      <c r="M1213">
        <v>0.1</v>
      </c>
      <c r="N1213">
        <v>8212.86</v>
      </c>
      <c r="O1213">
        <v>4793.41</v>
      </c>
      <c r="P1213">
        <v>3419.45</v>
      </c>
      <c r="Q1213" t="s">
        <v>53</v>
      </c>
      <c r="R1213">
        <v>0.4163531339874294</v>
      </c>
      <c r="S1213">
        <v>2024</v>
      </c>
      <c r="T1213" t="s">
        <v>2040</v>
      </c>
      <c r="U1213">
        <v>12</v>
      </c>
      <c r="V1213" t="s">
        <v>1803</v>
      </c>
    </row>
    <row r="1214" spans="1:22" x14ac:dyDescent="0.3">
      <c r="A1214" t="s">
        <v>2155</v>
      </c>
      <c r="B1214" s="1">
        <v>45651</v>
      </c>
      <c r="C1214" t="s">
        <v>166</v>
      </c>
      <c r="D1214" t="s">
        <v>363</v>
      </c>
      <c r="E1214" t="s">
        <v>61</v>
      </c>
      <c r="F1214" t="s">
        <v>71</v>
      </c>
      <c r="G1214" t="s">
        <v>100</v>
      </c>
      <c r="H1214" t="s">
        <v>64</v>
      </c>
      <c r="I1214" t="s">
        <v>108</v>
      </c>
      <c r="J1214" t="s">
        <v>155</v>
      </c>
      <c r="K1214">
        <v>3</v>
      </c>
      <c r="L1214">
        <v>8762.15</v>
      </c>
      <c r="M1214">
        <v>0</v>
      </c>
      <c r="N1214">
        <v>26286.45</v>
      </c>
      <c r="O1214">
        <v>18535.2</v>
      </c>
      <c r="P1214">
        <v>7751.25</v>
      </c>
      <c r="Q1214" t="s">
        <v>67</v>
      </c>
      <c r="R1214">
        <v>0.29487625753953078</v>
      </c>
      <c r="S1214">
        <v>2024</v>
      </c>
      <c r="T1214" t="s">
        <v>2040</v>
      </c>
      <c r="U1214">
        <v>12</v>
      </c>
      <c r="V1214" t="s">
        <v>1803</v>
      </c>
    </row>
    <row r="1215" spans="1:22" x14ac:dyDescent="0.3">
      <c r="A1215" t="s">
        <v>2156</v>
      </c>
      <c r="B1215" s="1">
        <v>45651</v>
      </c>
      <c r="C1215" t="s">
        <v>761</v>
      </c>
      <c r="D1215" t="s">
        <v>363</v>
      </c>
      <c r="E1215" t="s">
        <v>120</v>
      </c>
      <c r="F1215" t="s">
        <v>121</v>
      </c>
      <c r="G1215" t="s">
        <v>224</v>
      </c>
      <c r="H1215" t="s">
        <v>64</v>
      </c>
      <c r="I1215" t="s">
        <v>65</v>
      </c>
      <c r="J1215" t="s">
        <v>232</v>
      </c>
      <c r="K1215">
        <v>3</v>
      </c>
      <c r="L1215">
        <v>3816.52</v>
      </c>
      <c r="M1215">
        <v>0.2</v>
      </c>
      <c r="N1215">
        <v>9159.65</v>
      </c>
      <c r="O1215">
        <v>6992.27</v>
      </c>
      <c r="P1215">
        <v>2167.38</v>
      </c>
      <c r="Q1215" t="s">
        <v>53</v>
      </c>
      <c r="R1215">
        <v>0.2366225783736278</v>
      </c>
      <c r="S1215">
        <v>2024</v>
      </c>
      <c r="T1215" t="s">
        <v>2040</v>
      </c>
      <c r="U1215">
        <v>12</v>
      </c>
      <c r="V1215" t="s">
        <v>1803</v>
      </c>
    </row>
    <row r="1216" spans="1:22" x14ac:dyDescent="0.3">
      <c r="A1216" t="s">
        <v>2157</v>
      </c>
      <c r="B1216" s="1">
        <v>45651</v>
      </c>
      <c r="C1216" t="s">
        <v>635</v>
      </c>
      <c r="D1216" t="s">
        <v>932</v>
      </c>
      <c r="E1216" t="s">
        <v>120</v>
      </c>
      <c r="F1216" t="s">
        <v>121</v>
      </c>
      <c r="G1216" t="s">
        <v>130</v>
      </c>
      <c r="H1216" t="s">
        <v>64</v>
      </c>
      <c r="I1216" t="s">
        <v>108</v>
      </c>
      <c r="J1216" t="s">
        <v>109</v>
      </c>
      <c r="K1216">
        <v>2</v>
      </c>
      <c r="L1216">
        <v>6683.72</v>
      </c>
      <c r="M1216">
        <v>0.1</v>
      </c>
      <c r="N1216">
        <v>12030.7</v>
      </c>
      <c r="O1216">
        <v>8324.19</v>
      </c>
      <c r="P1216">
        <v>3706.51</v>
      </c>
      <c r="Q1216" t="s">
        <v>46</v>
      </c>
      <c r="R1216">
        <v>0.30808764244807041</v>
      </c>
      <c r="S1216">
        <v>2024</v>
      </c>
      <c r="T1216" t="s">
        <v>2040</v>
      </c>
      <c r="U1216">
        <v>12</v>
      </c>
      <c r="V1216" t="s">
        <v>1803</v>
      </c>
    </row>
    <row r="1217" spans="1:22" x14ac:dyDescent="0.3">
      <c r="A1217" t="s">
        <v>2158</v>
      </c>
      <c r="B1217" s="1">
        <v>45652</v>
      </c>
      <c r="C1217" t="s">
        <v>1217</v>
      </c>
      <c r="D1217" t="s">
        <v>678</v>
      </c>
      <c r="E1217" t="s">
        <v>41</v>
      </c>
      <c r="F1217" t="s">
        <v>42</v>
      </c>
      <c r="G1217" t="s">
        <v>50</v>
      </c>
      <c r="H1217" t="s">
        <v>28</v>
      </c>
      <c r="I1217" t="s">
        <v>73</v>
      </c>
      <c r="J1217" t="s">
        <v>74</v>
      </c>
      <c r="K1217">
        <v>2</v>
      </c>
      <c r="L1217">
        <v>2551.86</v>
      </c>
      <c r="M1217">
        <v>0.05</v>
      </c>
      <c r="N1217">
        <v>4848.53</v>
      </c>
      <c r="O1217">
        <v>2834.17</v>
      </c>
      <c r="P1217">
        <v>2014.36</v>
      </c>
      <c r="Q1217" t="s">
        <v>53</v>
      </c>
      <c r="R1217">
        <v>0.41545788104848269</v>
      </c>
      <c r="S1217">
        <v>2024</v>
      </c>
      <c r="T1217" t="s">
        <v>2040</v>
      </c>
      <c r="U1217">
        <v>12</v>
      </c>
      <c r="V1217" t="s">
        <v>1803</v>
      </c>
    </row>
    <row r="1218" spans="1:22" x14ac:dyDescent="0.3">
      <c r="A1218" t="s">
        <v>2159</v>
      </c>
      <c r="B1218" s="1">
        <v>45652</v>
      </c>
      <c r="C1218" t="s">
        <v>991</v>
      </c>
      <c r="D1218" t="s">
        <v>630</v>
      </c>
      <c r="E1218" t="s">
        <v>25</v>
      </c>
      <c r="F1218" t="s">
        <v>26</v>
      </c>
      <c r="G1218" t="s">
        <v>37</v>
      </c>
      <c r="H1218" t="s">
        <v>84</v>
      </c>
      <c r="I1218" t="s">
        <v>138</v>
      </c>
      <c r="J1218" t="s">
        <v>139</v>
      </c>
      <c r="K1218">
        <v>5</v>
      </c>
      <c r="L1218">
        <v>13694.83</v>
      </c>
      <c r="M1218">
        <v>0</v>
      </c>
      <c r="N1218">
        <v>68474.149999999994</v>
      </c>
      <c r="O1218">
        <v>50387.92</v>
      </c>
      <c r="P1218">
        <v>18086.23</v>
      </c>
      <c r="Q1218" t="s">
        <v>31</v>
      </c>
      <c r="R1218">
        <v>0.26413223092218008</v>
      </c>
      <c r="S1218">
        <v>2024</v>
      </c>
      <c r="T1218" t="s">
        <v>2040</v>
      </c>
      <c r="U1218">
        <v>12</v>
      </c>
      <c r="V1218" t="s">
        <v>1803</v>
      </c>
    </row>
    <row r="1219" spans="1:22" x14ac:dyDescent="0.3">
      <c r="A1219" t="s">
        <v>2160</v>
      </c>
      <c r="B1219" s="1">
        <v>45652</v>
      </c>
      <c r="C1219" t="s">
        <v>1184</v>
      </c>
      <c r="D1219" t="s">
        <v>841</v>
      </c>
      <c r="E1219" t="s">
        <v>61</v>
      </c>
      <c r="F1219" t="s">
        <v>78</v>
      </c>
      <c r="G1219" t="s">
        <v>83</v>
      </c>
      <c r="H1219" t="s">
        <v>64</v>
      </c>
      <c r="I1219" t="s">
        <v>65</v>
      </c>
      <c r="J1219" t="s">
        <v>232</v>
      </c>
      <c r="K1219">
        <v>2</v>
      </c>
      <c r="L1219">
        <v>3865.51</v>
      </c>
      <c r="M1219">
        <v>0.1</v>
      </c>
      <c r="N1219">
        <v>6957.92</v>
      </c>
      <c r="O1219">
        <v>4685.16</v>
      </c>
      <c r="P1219">
        <v>2272.7600000000002</v>
      </c>
      <c r="Q1219" t="s">
        <v>31</v>
      </c>
      <c r="R1219">
        <v>0.32664359463747789</v>
      </c>
      <c r="S1219">
        <v>2024</v>
      </c>
      <c r="T1219" t="s">
        <v>2040</v>
      </c>
      <c r="U1219">
        <v>12</v>
      </c>
      <c r="V1219" t="s">
        <v>1803</v>
      </c>
    </row>
    <row r="1220" spans="1:22" x14ac:dyDescent="0.3">
      <c r="A1220" t="s">
        <v>2161</v>
      </c>
      <c r="B1220" s="1">
        <v>45653</v>
      </c>
      <c r="C1220" t="s">
        <v>1797</v>
      </c>
      <c r="D1220" t="s">
        <v>1138</v>
      </c>
      <c r="E1220" t="s">
        <v>61</v>
      </c>
      <c r="F1220" t="s">
        <v>62</v>
      </c>
      <c r="G1220" t="s">
        <v>134</v>
      </c>
      <c r="H1220" t="s">
        <v>84</v>
      </c>
      <c r="I1220" t="s">
        <v>138</v>
      </c>
      <c r="J1220" t="s">
        <v>139</v>
      </c>
      <c r="K1220">
        <v>5</v>
      </c>
      <c r="L1220">
        <v>13243.2</v>
      </c>
      <c r="M1220">
        <v>0</v>
      </c>
      <c r="N1220">
        <v>66216</v>
      </c>
      <c r="O1220">
        <v>47511.05</v>
      </c>
      <c r="P1220">
        <v>18704.95</v>
      </c>
      <c r="Q1220" t="s">
        <v>113</v>
      </c>
      <c r="R1220">
        <v>0.2824838407635617</v>
      </c>
      <c r="S1220">
        <v>2024</v>
      </c>
      <c r="T1220" t="s">
        <v>2040</v>
      </c>
      <c r="U1220">
        <v>12</v>
      </c>
      <c r="V1220" t="s">
        <v>1803</v>
      </c>
    </row>
    <row r="1221" spans="1:22" x14ac:dyDescent="0.3">
      <c r="A1221" t="s">
        <v>2162</v>
      </c>
      <c r="B1221" s="1">
        <v>45653</v>
      </c>
      <c r="C1221" t="s">
        <v>35</v>
      </c>
      <c r="D1221" t="s">
        <v>1455</v>
      </c>
      <c r="E1221" t="s">
        <v>120</v>
      </c>
      <c r="F1221" t="s">
        <v>121</v>
      </c>
      <c r="G1221" t="s">
        <v>224</v>
      </c>
      <c r="H1221" t="s">
        <v>84</v>
      </c>
      <c r="I1221" t="s">
        <v>138</v>
      </c>
      <c r="J1221" t="s">
        <v>139</v>
      </c>
      <c r="K1221">
        <v>1</v>
      </c>
      <c r="L1221">
        <v>12742.69</v>
      </c>
      <c r="M1221">
        <v>0.05</v>
      </c>
      <c r="N1221">
        <v>12105.56</v>
      </c>
      <c r="O1221">
        <v>9361.9599999999991</v>
      </c>
      <c r="P1221">
        <v>2743.6</v>
      </c>
      <c r="Q1221" t="s">
        <v>31</v>
      </c>
      <c r="R1221">
        <v>0.2266396597926903</v>
      </c>
      <c r="S1221">
        <v>2024</v>
      </c>
      <c r="T1221" t="s">
        <v>2040</v>
      </c>
      <c r="U1221">
        <v>12</v>
      </c>
      <c r="V1221" t="s">
        <v>1803</v>
      </c>
    </row>
    <row r="1222" spans="1:22" x14ac:dyDescent="0.3">
      <c r="A1222" t="s">
        <v>2163</v>
      </c>
      <c r="B1222" s="1">
        <v>45654</v>
      </c>
      <c r="C1222" t="s">
        <v>1316</v>
      </c>
      <c r="D1222" t="s">
        <v>680</v>
      </c>
      <c r="E1222" t="s">
        <v>120</v>
      </c>
      <c r="F1222" t="s">
        <v>121</v>
      </c>
      <c r="G1222" t="s">
        <v>224</v>
      </c>
      <c r="H1222" t="s">
        <v>64</v>
      </c>
      <c r="I1222" t="s">
        <v>108</v>
      </c>
      <c r="J1222" t="s">
        <v>109</v>
      </c>
      <c r="K1222">
        <v>2</v>
      </c>
      <c r="L1222">
        <v>7246.05</v>
      </c>
      <c r="M1222">
        <v>0.1</v>
      </c>
      <c r="N1222">
        <v>13042.89</v>
      </c>
      <c r="O1222">
        <v>9070.5</v>
      </c>
      <c r="P1222">
        <v>3972.39</v>
      </c>
      <c r="Q1222" t="s">
        <v>113</v>
      </c>
      <c r="R1222">
        <v>0.30456363581997548</v>
      </c>
      <c r="S1222">
        <v>2024</v>
      </c>
      <c r="T1222" t="s">
        <v>2040</v>
      </c>
      <c r="U1222">
        <v>12</v>
      </c>
      <c r="V1222" t="s">
        <v>1803</v>
      </c>
    </row>
    <row r="1223" spans="1:22" x14ac:dyDescent="0.3">
      <c r="A1223" t="s">
        <v>2164</v>
      </c>
      <c r="B1223" s="1">
        <v>45654</v>
      </c>
      <c r="C1223" t="s">
        <v>1774</v>
      </c>
      <c r="D1223" t="s">
        <v>468</v>
      </c>
      <c r="E1223" t="s">
        <v>61</v>
      </c>
      <c r="F1223" t="s">
        <v>78</v>
      </c>
      <c r="G1223" t="s">
        <v>83</v>
      </c>
      <c r="H1223" t="s">
        <v>28</v>
      </c>
      <c r="I1223" t="s">
        <v>73</v>
      </c>
      <c r="J1223" t="s">
        <v>80</v>
      </c>
      <c r="K1223">
        <v>5</v>
      </c>
      <c r="L1223">
        <v>755.75</v>
      </c>
      <c r="M1223">
        <v>0.15</v>
      </c>
      <c r="N1223">
        <v>3211.94</v>
      </c>
      <c r="O1223">
        <v>2406.23</v>
      </c>
      <c r="P1223">
        <v>805.71</v>
      </c>
      <c r="Q1223" t="s">
        <v>113</v>
      </c>
      <c r="R1223">
        <v>0.25084839691899602</v>
      </c>
      <c r="S1223">
        <v>2024</v>
      </c>
      <c r="T1223" t="s">
        <v>2040</v>
      </c>
      <c r="U1223">
        <v>12</v>
      </c>
      <c r="V1223" t="s">
        <v>1803</v>
      </c>
    </row>
    <row r="1224" spans="1:22" x14ac:dyDescent="0.3">
      <c r="A1224" t="s">
        <v>2165</v>
      </c>
      <c r="B1224" s="1">
        <v>45655</v>
      </c>
      <c r="C1224" t="s">
        <v>709</v>
      </c>
      <c r="D1224" t="s">
        <v>238</v>
      </c>
      <c r="E1224" t="s">
        <v>120</v>
      </c>
      <c r="F1224" t="s">
        <v>121</v>
      </c>
      <c r="G1224" t="s">
        <v>122</v>
      </c>
      <c r="H1224" t="s">
        <v>84</v>
      </c>
      <c r="I1224" t="s">
        <v>85</v>
      </c>
      <c r="J1224" t="s">
        <v>86</v>
      </c>
      <c r="K1224">
        <v>3</v>
      </c>
      <c r="L1224">
        <v>1736.68</v>
      </c>
      <c r="M1224">
        <v>0.05</v>
      </c>
      <c r="N1224">
        <v>4949.54</v>
      </c>
      <c r="O1224">
        <v>2921.02</v>
      </c>
      <c r="P1224">
        <v>2028.52</v>
      </c>
      <c r="Q1224" t="s">
        <v>31</v>
      </c>
      <c r="R1224">
        <v>0.40984010635331769</v>
      </c>
      <c r="S1224">
        <v>2024</v>
      </c>
      <c r="T1224" t="s">
        <v>2040</v>
      </c>
      <c r="U1224">
        <v>12</v>
      </c>
      <c r="V1224" t="s">
        <v>1803</v>
      </c>
    </row>
    <row r="1225" spans="1:22" x14ac:dyDescent="0.3">
      <c r="A1225" t="s">
        <v>2166</v>
      </c>
      <c r="B1225" s="1">
        <v>45655</v>
      </c>
      <c r="C1225" t="s">
        <v>1206</v>
      </c>
      <c r="D1225" t="s">
        <v>789</v>
      </c>
      <c r="E1225" t="s">
        <v>61</v>
      </c>
      <c r="F1225" t="s">
        <v>71</v>
      </c>
      <c r="G1225" t="s">
        <v>72</v>
      </c>
      <c r="H1225" t="s">
        <v>43</v>
      </c>
      <c r="I1225" t="s">
        <v>44</v>
      </c>
      <c r="J1225" t="s">
        <v>45</v>
      </c>
      <c r="K1225">
        <v>2</v>
      </c>
      <c r="L1225">
        <v>261.01</v>
      </c>
      <c r="M1225">
        <v>0</v>
      </c>
      <c r="N1225">
        <v>522.02</v>
      </c>
      <c r="O1225">
        <v>199.11</v>
      </c>
      <c r="P1225">
        <v>322.91000000000003</v>
      </c>
      <c r="Q1225" t="s">
        <v>31</v>
      </c>
      <c r="R1225">
        <v>0.61857783226696306</v>
      </c>
      <c r="S1225">
        <v>2024</v>
      </c>
      <c r="T1225" t="s">
        <v>2040</v>
      </c>
      <c r="U1225">
        <v>12</v>
      </c>
      <c r="V1225" t="s">
        <v>1803</v>
      </c>
    </row>
    <row r="1226" spans="1:22" x14ac:dyDescent="0.3">
      <c r="A1226" t="s">
        <v>2167</v>
      </c>
      <c r="B1226" s="1">
        <v>45655</v>
      </c>
      <c r="C1226" t="s">
        <v>953</v>
      </c>
      <c r="D1226" t="s">
        <v>454</v>
      </c>
      <c r="E1226" t="s">
        <v>25</v>
      </c>
      <c r="F1226" t="s">
        <v>26</v>
      </c>
      <c r="G1226" t="s">
        <v>260</v>
      </c>
      <c r="H1226" t="s">
        <v>84</v>
      </c>
      <c r="I1226" t="s">
        <v>85</v>
      </c>
      <c r="J1226" t="s">
        <v>86</v>
      </c>
      <c r="K1226">
        <v>3</v>
      </c>
      <c r="L1226">
        <v>1705.82</v>
      </c>
      <c r="M1226">
        <v>0</v>
      </c>
      <c r="N1226">
        <v>5117.46</v>
      </c>
      <c r="O1226">
        <v>2828.43</v>
      </c>
      <c r="P1226">
        <v>2289.0300000000002</v>
      </c>
      <c r="Q1226" t="s">
        <v>46</v>
      </c>
      <c r="R1226">
        <v>0.4472980736537267</v>
      </c>
      <c r="S1226">
        <v>2024</v>
      </c>
      <c r="T1226" t="s">
        <v>2040</v>
      </c>
      <c r="U1226">
        <v>12</v>
      </c>
      <c r="V1226" t="s">
        <v>1803</v>
      </c>
    </row>
    <row r="1227" spans="1:22" x14ac:dyDescent="0.3">
      <c r="A1227" t="s">
        <v>2168</v>
      </c>
      <c r="B1227" s="1">
        <v>45656</v>
      </c>
      <c r="C1227" t="s">
        <v>2082</v>
      </c>
      <c r="D1227" t="s">
        <v>238</v>
      </c>
      <c r="E1227" t="s">
        <v>61</v>
      </c>
      <c r="F1227" t="s">
        <v>78</v>
      </c>
      <c r="G1227" t="s">
        <v>216</v>
      </c>
      <c r="H1227" t="s">
        <v>28</v>
      </c>
      <c r="I1227" t="s">
        <v>73</v>
      </c>
      <c r="J1227" t="s">
        <v>74</v>
      </c>
      <c r="K1227">
        <v>4</v>
      </c>
      <c r="L1227">
        <v>2381.62</v>
      </c>
      <c r="M1227">
        <v>0.05</v>
      </c>
      <c r="N1227">
        <v>9050.16</v>
      </c>
      <c r="O1227">
        <v>5034.22</v>
      </c>
      <c r="P1227">
        <v>4015.94</v>
      </c>
      <c r="Q1227" t="s">
        <v>53</v>
      </c>
      <c r="R1227">
        <v>0.44374243107304179</v>
      </c>
      <c r="S1227">
        <v>2024</v>
      </c>
      <c r="T1227" t="s">
        <v>2040</v>
      </c>
      <c r="U1227">
        <v>12</v>
      </c>
      <c r="V1227" t="s">
        <v>1803</v>
      </c>
    </row>
    <row r="1228" spans="1:22" x14ac:dyDescent="0.3">
      <c r="A1228" t="s">
        <v>2169</v>
      </c>
      <c r="B1228" s="1">
        <v>45656</v>
      </c>
      <c r="C1228" t="s">
        <v>824</v>
      </c>
      <c r="D1228" t="s">
        <v>334</v>
      </c>
      <c r="E1228" t="s">
        <v>25</v>
      </c>
      <c r="F1228" t="s">
        <v>26</v>
      </c>
      <c r="G1228" t="s">
        <v>260</v>
      </c>
      <c r="H1228" t="s">
        <v>28</v>
      </c>
      <c r="I1228" t="s">
        <v>29</v>
      </c>
      <c r="J1228" t="s">
        <v>30</v>
      </c>
      <c r="K1228">
        <v>3</v>
      </c>
      <c r="L1228">
        <v>57478.39</v>
      </c>
      <c r="M1228">
        <v>0.2</v>
      </c>
      <c r="N1228">
        <v>137948.14000000001</v>
      </c>
      <c r="O1228">
        <v>154083.09</v>
      </c>
      <c r="P1228">
        <v>-16134.95</v>
      </c>
      <c r="Q1228" t="s">
        <v>53</v>
      </c>
      <c r="R1228">
        <v>-0.116963882224146</v>
      </c>
      <c r="S1228">
        <v>2024</v>
      </c>
      <c r="T1228" t="s">
        <v>2040</v>
      </c>
      <c r="U1228">
        <v>12</v>
      </c>
      <c r="V1228" t="s">
        <v>1803</v>
      </c>
    </row>
    <row r="1229" spans="1:22" x14ac:dyDescent="0.3">
      <c r="A1229" t="s">
        <v>2170</v>
      </c>
      <c r="B1229" s="1">
        <v>45656</v>
      </c>
      <c r="C1229" t="s">
        <v>309</v>
      </c>
      <c r="D1229" t="s">
        <v>2171</v>
      </c>
      <c r="E1229" t="s">
        <v>41</v>
      </c>
      <c r="F1229" t="s">
        <v>42</v>
      </c>
      <c r="G1229" t="s">
        <v>50</v>
      </c>
      <c r="H1229" t="s">
        <v>64</v>
      </c>
      <c r="I1229" t="s">
        <v>65</v>
      </c>
      <c r="J1229" t="s">
        <v>232</v>
      </c>
      <c r="K1229">
        <v>1</v>
      </c>
      <c r="L1229">
        <v>3827.8</v>
      </c>
      <c r="M1229">
        <v>0</v>
      </c>
      <c r="N1229">
        <v>3827.8</v>
      </c>
      <c r="O1229">
        <v>2482.77</v>
      </c>
      <c r="P1229">
        <v>1345.03</v>
      </c>
      <c r="Q1229" t="s">
        <v>31</v>
      </c>
      <c r="R1229">
        <v>0.35138460734625632</v>
      </c>
      <c r="S1229">
        <v>2024</v>
      </c>
      <c r="T1229" t="s">
        <v>2040</v>
      </c>
      <c r="U1229">
        <v>12</v>
      </c>
      <c r="V1229" t="s">
        <v>1803</v>
      </c>
    </row>
    <row r="1230" spans="1:22" x14ac:dyDescent="0.3">
      <c r="A1230" t="s">
        <v>2172</v>
      </c>
      <c r="B1230" s="1">
        <v>45657</v>
      </c>
      <c r="C1230" t="s">
        <v>564</v>
      </c>
      <c r="D1230" t="s">
        <v>253</v>
      </c>
      <c r="E1230" t="s">
        <v>25</v>
      </c>
      <c r="F1230" t="s">
        <v>26</v>
      </c>
      <c r="G1230" t="s">
        <v>171</v>
      </c>
      <c r="H1230" t="s">
        <v>28</v>
      </c>
      <c r="I1230" t="s">
        <v>73</v>
      </c>
      <c r="J1230" t="s">
        <v>80</v>
      </c>
      <c r="K1230">
        <v>1</v>
      </c>
      <c r="L1230">
        <v>762.94</v>
      </c>
      <c r="M1230">
        <v>0.05</v>
      </c>
      <c r="N1230">
        <v>724.79</v>
      </c>
      <c r="O1230">
        <v>460.39</v>
      </c>
      <c r="P1230">
        <v>264.39999999999998</v>
      </c>
      <c r="Q1230" t="s">
        <v>46</v>
      </c>
      <c r="R1230">
        <v>0.364795320023731</v>
      </c>
      <c r="S1230">
        <v>2024</v>
      </c>
      <c r="T1230" t="s">
        <v>2040</v>
      </c>
      <c r="U1230">
        <v>12</v>
      </c>
      <c r="V1230" t="s">
        <v>1803</v>
      </c>
    </row>
    <row r="1231" spans="1:22" x14ac:dyDescent="0.3">
      <c r="A1231" t="s">
        <v>2173</v>
      </c>
      <c r="B1231" s="1">
        <v>45657</v>
      </c>
      <c r="C1231" t="s">
        <v>908</v>
      </c>
      <c r="D1231" t="s">
        <v>1098</v>
      </c>
      <c r="E1231" t="s">
        <v>120</v>
      </c>
      <c r="F1231" t="s">
        <v>121</v>
      </c>
      <c r="G1231" t="s">
        <v>122</v>
      </c>
      <c r="H1231" t="s">
        <v>84</v>
      </c>
      <c r="I1231" t="s">
        <v>85</v>
      </c>
      <c r="J1231" t="s">
        <v>86</v>
      </c>
      <c r="K1231">
        <v>4</v>
      </c>
      <c r="L1231">
        <v>1721.98</v>
      </c>
      <c r="M1231">
        <v>0</v>
      </c>
      <c r="N1231">
        <v>6887.92</v>
      </c>
      <c r="O1231">
        <v>3674.86</v>
      </c>
      <c r="P1231">
        <v>3213.06</v>
      </c>
      <c r="Q1231" t="s">
        <v>53</v>
      </c>
      <c r="R1231">
        <v>0.46647754329318569</v>
      </c>
      <c r="S1231">
        <v>2024</v>
      </c>
      <c r="T1231" t="s">
        <v>2040</v>
      </c>
      <c r="U1231">
        <v>12</v>
      </c>
      <c r="V1231" t="s">
        <v>1803</v>
      </c>
    </row>
    <row r="1232" spans="1:22" x14ac:dyDescent="0.3">
      <c r="A1232" t="s">
        <v>2174</v>
      </c>
      <c r="B1232" s="1">
        <v>45657</v>
      </c>
      <c r="C1232" t="s">
        <v>633</v>
      </c>
      <c r="D1232" t="s">
        <v>40</v>
      </c>
      <c r="E1232" t="s">
        <v>61</v>
      </c>
      <c r="F1232" t="s">
        <v>78</v>
      </c>
      <c r="G1232" t="s">
        <v>216</v>
      </c>
      <c r="H1232" t="s">
        <v>28</v>
      </c>
      <c r="I1232" t="s">
        <v>73</v>
      </c>
      <c r="J1232" t="s">
        <v>74</v>
      </c>
      <c r="K1232">
        <v>2</v>
      </c>
      <c r="L1232">
        <v>2636.63</v>
      </c>
      <c r="M1232">
        <v>0.05</v>
      </c>
      <c r="N1232">
        <v>5009.6000000000004</v>
      </c>
      <c r="O1232">
        <v>2891.8</v>
      </c>
      <c r="P1232">
        <v>2117.8000000000002</v>
      </c>
      <c r="Q1232" t="s">
        <v>31</v>
      </c>
      <c r="R1232">
        <v>0.42274832321941869</v>
      </c>
      <c r="S1232">
        <v>2024</v>
      </c>
      <c r="T1232" t="s">
        <v>2040</v>
      </c>
      <c r="U1232">
        <v>12</v>
      </c>
      <c r="V1232" t="s">
        <v>1803</v>
      </c>
    </row>
    <row r="1233" spans="1:22" x14ac:dyDescent="0.3">
      <c r="A1233" t="s">
        <v>2175</v>
      </c>
      <c r="B1233" s="1">
        <v>45657</v>
      </c>
      <c r="C1233" t="s">
        <v>336</v>
      </c>
      <c r="D1233" t="s">
        <v>1367</v>
      </c>
      <c r="E1233" t="s">
        <v>61</v>
      </c>
      <c r="F1233" t="s">
        <v>71</v>
      </c>
      <c r="G1233" t="s">
        <v>100</v>
      </c>
      <c r="H1233" t="s">
        <v>84</v>
      </c>
      <c r="I1233" t="s">
        <v>138</v>
      </c>
      <c r="J1233" t="s">
        <v>139</v>
      </c>
      <c r="K1233">
        <v>1</v>
      </c>
      <c r="L1233">
        <v>12573.76</v>
      </c>
      <c r="M1233">
        <v>0</v>
      </c>
      <c r="N1233">
        <v>12573.76</v>
      </c>
      <c r="O1233">
        <v>9301.36</v>
      </c>
      <c r="P1233">
        <v>3272.4</v>
      </c>
      <c r="Q1233" t="s">
        <v>31</v>
      </c>
      <c r="R1233">
        <v>0.26025627974448368</v>
      </c>
      <c r="S1233">
        <v>2024</v>
      </c>
      <c r="T1233" t="s">
        <v>2040</v>
      </c>
      <c r="U1233">
        <v>12</v>
      </c>
      <c r="V1233" t="s">
        <v>1803</v>
      </c>
    </row>
    <row r="1234" spans="1:22" x14ac:dyDescent="0.3">
      <c r="A1234" t="s">
        <v>2176</v>
      </c>
      <c r="B1234" s="1">
        <v>45657</v>
      </c>
      <c r="C1234" t="s">
        <v>356</v>
      </c>
      <c r="D1234" t="s">
        <v>60</v>
      </c>
      <c r="E1234" t="s">
        <v>61</v>
      </c>
      <c r="F1234" t="s">
        <v>71</v>
      </c>
      <c r="G1234" t="s">
        <v>317</v>
      </c>
      <c r="H1234" t="s">
        <v>28</v>
      </c>
      <c r="I1234" t="s">
        <v>91</v>
      </c>
      <c r="J1234" t="s">
        <v>92</v>
      </c>
      <c r="K1234">
        <v>1</v>
      </c>
      <c r="L1234">
        <v>3170.98</v>
      </c>
      <c r="M1234">
        <v>0</v>
      </c>
      <c r="N1234">
        <v>3170.98</v>
      </c>
      <c r="O1234">
        <v>1619.86</v>
      </c>
      <c r="P1234">
        <v>1551.12</v>
      </c>
      <c r="Q1234" t="s">
        <v>46</v>
      </c>
      <c r="R1234">
        <v>0.48916107954007898</v>
      </c>
      <c r="S1234">
        <v>2024</v>
      </c>
      <c r="T1234" t="s">
        <v>2040</v>
      </c>
      <c r="U1234">
        <v>12</v>
      </c>
      <c r="V1234" t="s">
        <v>1803</v>
      </c>
    </row>
    <row r="1235" spans="1:22" x14ac:dyDescent="0.3">
      <c r="A1235" t="s">
        <v>2177</v>
      </c>
      <c r="B1235" s="1">
        <v>45657</v>
      </c>
      <c r="C1235" t="s">
        <v>778</v>
      </c>
      <c r="D1235" t="s">
        <v>1002</v>
      </c>
      <c r="E1235" t="s">
        <v>61</v>
      </c>
      <c r="F1235" t="s">
        <v>78</v>
      </c>
      <c r="G1235" t="s">
        <v>216</v>
      </c>
      <c r="H1235" t="s">
        <v>43</v>
      </c>
      <c r="I1235" t="s">
        <v>44</v>
      </c>
      <c r="J1235" t="s">
        <v>248</v>
      </c>
      <c r="K1235">
        <v>1</v>
      </c>
      <c r="L1235">
        <v>283.14</v>
      </c>
      <c r="M1235">
        <v>0.15</v>
      </c>
      <c r="N1235">
        <v>240.67</v>
      </c>
      <c r="O1235">
        <v>118.19</v>
      </c>
      <c r="P1235">
        <v>122.48</v>
      </c>
      <c r="Q1235" t="s">
        <v>31</v>
      </c>
      <c r="R1235">
        <v>0.50891261893879591</v>
      </c>
      <c r="S1235">
        <v>2024</v>
      </c>
      <c r="T1235" t="s">
        <v>2040</v>
      </c>
      <c r="U1235">
        <v>12</v>
      </c>
      <c r="V1235" t="s">
        <v>1803</v>
      </c>
    </row>
    <row r="1236" spans="1:22" x14ac:dyDescent="0.3">
      <c r="A1236" t="s">
        <v>2178</v>
      </c>
      <c r="B1236" s="1">
        <v>45658</v>
      </c>
      <c r="C1236" t="s">
        <v>1418</v>
      </c>
      <c r="D1236" t="s">
        <v>200</v>
      </c>
      <c r="E1236" t="s">
        <v>61</v>
      </c>
      <c r="F1236" t="s">
        <v>62</v>
      </c>
      <c r="G1236" t="s">
        <v>90</v>
      </c>
      <c r="H1236" t="s">
        <v>84</v>
      </c>
      <c r="I1236" t="s">
        <v>85</v>
      </c>
      <c r="J1236" t="s">
        <v>86</v>
      </c>
      <c r="K1236">
        <v>3</v>
      </c>
      <c r="L1236">
        <v>1810.32</v>
      </c>
      <c r="M1236">
        <v>0.05</v>
      </c>
      <c r="N1236">
        <v>5159.41</v>
      </c>
      <c r="O1236">
        <v>2834.88</v>
      </c>
      <c r="P1236">
        <v>2324.5300000000002</v>
      </c>
      <c r="Q1236" t="s">
        <v>46</v>
      </c>
      <c r="R1236">
        <v>0.45054182551880939</v>
      </c>
      <c r="S1236">
        <v>2025</v>
      </c>
      <c r="T1236" t="s">
        <v>32</v>
      </c>
      <c r="U1236">
        <v>1</v>
      </c>
      <c r="V1236" t="s">
        <v>33</v>
      </c>
    </row>
    <row r="1237" spans="1:22" x14ac:dyDescent="0.3">
      <c r="A1237" t="s">
        <v>2179</v>
      </c>
      <c r="B1237" s="1">
        <v>45658</v>
      </c>
      <c r="C1237" t="s">
        <v>629</v>
      </c>
      <c r="D1237" t="s">
        <v>712</v>
      </c>
      <c r="E1237" t="s">
        <v>41</v>
      </c>
      <c r="F1237" t="s">
        <v>42</v>
      </c>
      <c r="G1237" t="s">
        <v>42</v>
      </c>
      <c r="H1237" t="s">
        <v>43</v>
      </c>
      <c r="I1237" t="s">
        <v>44</v>
      </c>
      <c r="J1237" t="s">
        <v>45</v>
      </c>
      <c r="K1237">
        <v>3</v>
      </c>
      <c r="L1237">
        <v>250.61</v>
      </c>
      <c r="M1237">
        <v>0</v>
      </c>
      <c r="N1237">
        <v>751.83</v>
      </c>
      <c r="O1237">
        <v>287.43</v>
      </c>
      <c r="P1237">
        <v>464.4</v>
      </c>
      <c r="Q1237" t="s">
        <v>31</v>
      </c>
      <c r="R1237">
        <v>0.61769282949602966</v>
      </c>
      <c r="S1237">
        <v>2025</v>
      </c>
      <c r="T1237" t="s">
        <v>32</v>
      </c>
      <c r="U1237">
        <v>1</v>
      </c>
      <c r="V1237" t="s">
        <v>33</v>
      </c>
    </row>
    <row r="1238" spans="1:22" x14ac:dyDescent="0.3">
      <c r="A1238" t="s">
        <v>2180</v>
      </c>
      <c r="B1238" s="1">
        <v>45658</v>
      </c>
      <c r="C1238" t="s">
        <v>552</v>
      </c>
      <c r="D1238" t="s">
        <v>712</v>
      </c>
      <c r="E1238" t="s">
        <v>41</v>
      </c>
      <c r="F1238" t="s">
        <v>42</v>
      </c>
      <c r="G1238" t="s">
        <v>50</v>
      </c>
      <c r="H1238" t="s">
        <v>84</v>
      </c>
      <c r="I1238" t="s">
        <v>138</v>
      </c>
      <c r="J1238" t="s">
        <v>220</v>
      </c>
      <c r="K1238">
        <v>1</v>
      </c>
      <c r="L1238">
        <v>7948.15</v>
      </c>
      <c r="M1238">
        <v>0.1</v>
      </c>
      <c r="N1238">
        <v>7153.34</v>
      </c>
      <c r="O1238">
        <v>5060.41</v>
      </c>
      <c r="P1238">
        <v>2092.9299999999998</v>
      </c>
      <c r="Q1238" t="s">
        <v>31</v>
      </c>
      <c r="R1238">
        <v>0.29258080840558393</v>
      </c>
      <c r="S1238">
        <v>2025</v>
      </c>
      <c r="T1238" t="s">
        <v>32</v>
      </c>
      <c r="U1238">
        <v>1</v>
      </c>
      <c r="V1238" t="s">
        <v>33</v>
      </c>
    </row>
    <row r="1239" spans="1:22" x14ac:dyDescent="0.3">
      <c r="A1239" t="s">
        <v>2181</v>
      </c>
      <c r="B1239" s="1">
        <v>45658</v>
      </c>
      <c r="C1239" t="s">
        <v>1174</v>
      </c>
      <c r="D1239" t="s">
        <v>430</v>
      </c>
      <c r="E1239" t="s">
        <v>61</v>
      </c>
      <c r="F1239" t="s">
        <v>62</v>
      </c>
      <c r="G1239" t="s">
        <v>134</v>
      </c>
      <c r="H1239" t="s">
        <v>64</v>
      </c>
      <c r="I1239" t="s">
        <v>108</v>
      </c>
      <c r="J1239" t="s">
        <v>155</v>
      </c>
      <c r="K1239">
        <v>1</v>
      </c>
      <c r="L1239">
        <v>8405.31</v>
      </c>
      <c r="M1239">
        <v>0.05</v>
      </c>
      <c r="N1239">
        <v>7985.04</v>
      </c>
      <c r="O1239">
        <v>5540.62</v>
      </c>
      <c r="P1239">
        <v>2444.42</v>
      </c>
      <c r="Q1239" t="s">
        <v>46</v>
      </c>
      <c r="R1239">
        <v>0.30612495366335052</v>
      </c>
      <c r="S1239">
        <v>2025</v>
      </c>
      <c r="T1239" t="s">
        <v>32</v>
      </c>
      <c r="U1239">
        <v>1</v>
      </c>
      <c r="V1239" t="s">
        <v>33</v>
      </c>
    </row>
    <row r="1240" spans="1:22" x14ac:dyDescent="0.3">
      <c r="A1240" t="s">
        <v>2182</v>
      </c>
      <c r="B1240" s="1">
        <v>45658</v>
      </c>
      <c r="C1240" t="s">
        <v>230</v>
      </c>
      <c r="D1240" t="s">
        <v>813</v>
      </c>
      <c r="E1240" t="s">
        <v>61</v>
      </c>
      <c r="F1240" t="s">
        <v>62</v>
      </c>
      <c r="G1240" t="s">
        <v>134</v>
      </c>
      <c r="H1240" t="s">
        <v>28</v>
      </c>
      <c r="I1240" t="s">
        <v>91</v>
      </c>
      <c r="J1240" t="s">
        <v>126</v>
      </c>
      <c r="K1240">
        <v>1</v>
      </c>
      <c r="L1240">
        <v>2041.08</v>
      </c>
      <c r="M1240">
        <v>0.1</v>
      </c>
      <c r="N1240">
        <v>1836.97</v>
      </c>
      <c r="O1240">
        <v>1166.77</v>
      </c>
      <c r="P1240">
        <v>670.2</v>
      </c>
      <c r="Q1240" t="s">
        <v>31</v>
      </c>
      <c r="R1240">
        <v>0.3648399266182899</v>
      </c>
      <c r="S1240">
        <v>2025</v>
      </c>
      <c r="T1240" t="s">
        <v>32</v>
      </c>
      <c r="U1240">
        <v>1</v>
      </c>
      <c r="V1240" t="s">
        <v>33</v>
      </c>
    </row>
    <row r="1241" spans="1:22" x14ac:dyDescent="0.3">
      <c r="A1241" t="s">
        <v>2183</v>
      </c>
      <c r="B1241" s="1">
        <v>45659</v>
      </c>
      <c r="C1241" t="s">
        <v>2184</v>
      </c>
      <c r="D1241" t="s">
        <v>1207</v>
      </c>
      <c r="E1241" t="s">
        <v>61</v>
      </c>
      <c r="F1241" t="s">
        <v>78</v>
      </c>
      <c r="G1241" t="s">
        <v>83</v>
      </c>
      <c r="H1241" t="s">
        <v>28</v>
      </c>
      <c r="I1241" t="s">
        <v>73</v>
      </c>
      <c r="J1241" t="s">
        <v>80</v>
      </c>
      <c r="K1241">
        <v>2</v>
      </c>
      <c r="L1241">
        <v>794.03</v>
      </c>
      <c r="M1241">
        <v>0.05</v>
      </c>
      <c r="N1241">
        <v>1508.66</v>
      </c>
      <c r="O1241">
        <v>1008.37</v>
      </c>
      <c r="P1241">
        <v>500.29</v>
      </c>
      <c r="Q1241" t="s">
        <v>31</v>
      </c>
      <c r="R1241">
        <v>0.33161215913459618</v>
      </c>
      <c r="S1241">
        <v>2025</v>
      </c>
      <c r="T1241" t="s">
        <v>32</v>
      </c>
      <c r="U1241">
        <v>1</v>
      </c>
      <c r="V1241" t="s">
        <v>33</v>
      </c>
    </row>
    <row r="1242" spans="1:22" x14ac:dyDescent="0.3">
      <c r="A1242" t="s">
        <v>2185</v>
      </c>
      <c r="B1242" s="1">
        <v>45659</v>
      </c>
      <c r="C1242" t="s">
        <v>1329</v>
      </c>
      <c r="D1242" t="s">
        <v>1780</v>
      </c>
      <c r="E1242" t="s">
        <v>61</v>
      </c>
      <c r="F1242" t="s">
        <v>71</v>
      </c>
      <c r="G1242" t="s">
        <v>201</v>
      </c>
      <c r="H1242" t="s">
        <v>43</v>
      </c>
      <c r="I1242" t="s">
        <v>44</v>
      </c>
      <c r="J1242" t="s">
        <v>248</v>
      </c>
      <c r="K1242">
        <v>3</v>
      </c>
      <c r="L1242">
        <v>289.11</v>
      </c>
      <c r="M1242">
        <v>0.1</v>
      </c>
      <c r="N1242">
        <v>780.6</v>
      </c>
      <c r="O1242">
        <v>375.02</v>
      </c>
      <c r="P1242">
        <v>405.58</v>
      </c>
      <c r="Q1242" t="s">
        <v>53</v>
      </c>
      <c r="R1242">
        <v>0.51957468613886748</v>
      </c>
      <c r="S1242">
        <v>2025</v>
      </c>
      <c r="T1242" t="s">
        <v>32</v>
      </c>
      <c r="U1242">
        <v>1</v>
      </c>
      <c r="V1242" t="s">
        <v>33</v>
      </c>
    </row>
    <row r="1243" spans="1:22" x14ac:dyDescent="0.3">
      <c r="A1243" t="s">
        <v>2186</v>
      </c>
      <c r="B1243" s="1">
        <v>45660</v>
      </c>
      <c r="C1243" t="s">
        <v>1532</v>
      </c>
      <c r="D1243" t="s">
        <v>2187</v>
      </c>
      <c r="E1243" t="s">
        <v>41</v>
      </c>
      <c r="F1243" t="s">
        <v>42</v>
      </c>
      <c r="G1243" t="s">
        <v>50</v>
      </c>
      <c r="H1243" t="s">
        <v>28</v>
      </c>
      <c r="I1243" t="s">
        <v>73</v>
      </c>
      <c r="J1243" t="s">
        <v>74</v>
      </c>
      <c r="K1243">
        <v>4</v>
      </c>
      <c r="L1243">
        <v>2462.27</v>
      </c>
      <c r="M1243">
        <v>0.15</v>
      </c>
      <c r="N1243">
        <v>8371.7199999999993</v>
      </c>
      <c r="O1243">
        <v>5210.12</v>
      </c>
      <c r="P1243">
        <v>3161.6</v>
      </c>
      <c r="Q1243" t="s">
        <v>53</v>
      </c>
      <c r="R1243">
        <v>0.37765238206724538</v>
      </c>
      <c r="S1243">
        <v>2025</v>
      </c>
      <c r="T1243" t="s">
        <v>32</v>
      </c>
      <c r="U1243">
        <v>1</v>
      </c>
      <c r="V1243" t="s">
        <v>33</v>
      </c>
    </row>
    <row r="1244" spans="1:22" x14ac:dyDescent="0.3">
      <c r="A1244" t="s">
        <v>2188</v>
      </c>
      <c r="B1244" s="1">
        <v>45660</v>
      </c>
      <c r="C1244" t="s">
        <v>564</v>
      </c>
      <c r="D1244" t="s">
        <v>342</v>
      </c>
      <c r="E1244" t="s">
        <v>61</v>
      </c>
      <c r="F1244" t="s">
        <v>62</v>
      </c>
      <c r="G1244" t="s">
        <v>134</v>
      </c>
      <c r="H1244" t="s">
        <v>28</v>
      </c>
      <c r="I1244" t="s">
        <v>91</v>
      </c>
      <c r="J1244" t="s">
        <v>92</v>
      </c>
      <c r="K1244">
        <v>3</v>
      </c>
      <c r="L1244">
        <v>2951.46</v>
      </c>
      <c r="M1244">
        <v>0.1</v>
      </c>
      <c r="N1244">
        <v>7968.94</v>
      </c>
      <c r="O1244">
        <v>4500.84</v>
      </c>
      <c r="P1244">
        <v>3468.1</v>
      </c>
      <c r="Q1244" t="s">
        <v>31</v>
      </c>
      <c r="R1244">
        <v>0.43520217243447679</v>
      </c>
      <c r="S1244">
        <v>2025</v>
      </c>
      <c r="T1244" t="s">
        <v>32</v>
      </c>
      <c r="U1244">
        <v>1</v>
      </c>
      <c r="V1244" t="s">
        <v>33</v>
      </c>
    </row>
    <row r="1245" spans="1:22" x14ac:dyDescent="0.3">
      <c r="A1245" t="s">
        <v>2189</v>
      </c>
      <c r="B1245" s="1">
        <v>45660</v>
      </c>
      <c r="C1245" t="s">
        <v>190</v>
      </c>
      <c r="D1245" t="s">
        <v>1345</v>
      </c>
      <c r="E1245" t="s">
        <v>61</v>
      </c>
      <c r="F1245" t="s">
        <v>71</v>
      </c>
      <c r="G1245" t="s">
        <v>72</v>
      </c>
      <c r="H1245" t="s">
        <v>28</v>
      </c>
      <c r="I1245" t="s">
        <v>91</v>
      </c>
      <c r="J1245" t="s">
        <v>92</v>
      </c>
      <c r="K1245">
        <v>2</v>
      </c>
      <c r="L1245">
        <v>3107.31</v>
      </c>
      <c r="M1245">
        <v>0.15</v>
      </c>
      <c r="N1245">
        <v>5282.43</v>
      </c>
      <c r="O1245">
        <v>3144.49</v>
      </c>
      <c r="P1245">
        <v>2137.94</v>
      </c>
      <c r="Q1245" t="s">
        <v>113</v>
      </c>
      <c r="R1245">
        <v>0.40472661256277892</v>
      </c>
      <c r="S1245">
        <v>2025</v>
      </c>
      <c r="T1245" t="s">
        <v>32</v>
      </c>
      <c r="U1245">
        <v>1</v>
      </c>
      <c r="V1245" t="s">
        <v>33</v>
      </c>
    </row>
    <row r="1246" spans="1:22" x14ac:dyDescent="0.3">
      <c r="A1246" t="s">
        <v>2190</v>
      </c>
      <c r="B1246" s="1">
        <v>45660</v>
      </c>
      <c r="C1246" t="s">
        <v>428</v>
      </c>
      <c r="D1246" t="s">
        <v>698</v>
      </c>
      <c r="E1246" t="s">
        <v>61</v>
      </c>
      <c r="F1246" t="s">
        <v>62</v>
      </c>
      <c r="G1246" t="s">
        <v>63</v>
      </c>
      <c r="H1246" t="s">
        <v>84</v>
      </c>
      <c r="I1246" t="s">
        <v>85</v>
      </c>
      <c r="J1246" t="s">
        <v>86</v>
      </c>
      <c r="K1246">
        <v>5</v>
      </c>
      <c r="L1246">
        <v>1785.7</v>
      </c>
      <c r="M1246">
        <v>0.1</v>
      </c>
      <c r="N1246">
        <v>8035.65</v>
      </c>
      <c r="O1246">
        <v>4733.6400000000003</v>
      </c>
      <c r="P1246">
        <v>3302.01</v>
      </c>
      <c r="Q1246" t="s">
        <v>31</v>
      </c>
      <c r="R1246">
        <v>0.4109200873606989</v>
      </c>
      <c r="S1246">
        <v>2025</v>
      </c>
      <c r="T1246" t="s">
        <v>32</v>
      </c>
      <c r="U1246">
        <v>1</v>
      </c>
      <c r="V1246" t="s">
        <v>33</v>
      </c>
    </row>
    <row r="1247" spans="1:22" x14ac:dyDescent="0.3">
      <c r="A1247" t="s">
        <v>2191</v>
      </c>
      <c r="B1247" s="1">
        <v>45660</v>
      </c>
      <c r="C1247" t="s">
        <v>1259</v>
      </c>
      <c r="D1247" t="s">
        <v>406</v>
      </c>
      <c r="E1247" t="s">
        <v>61</v>
      </c>
      <c r="F1247" t="s">
        <v>78</v>
      </c>
      <c r="G1247" t="s">
        <v>83</v>
      </c>
      <c r="H1247" t="s">
        <v>84</v>
      </c>
      <c r="I1247" t="s">
        <v>85</v>
      </c>
      <c r="J1247" t="s">
        <v>86</v>
      </c>
      <c r="K1247">
        <v>3</v>
      </c>
      <c r="L1247">
        <v>1747.92</v>
      </c>
      <c r="M1247">
        <v>0.05</v>
      </c>
      <c r="N1247">
        <v>4981.57</v>
      </c>
      <c r="O1247">
        <v>2736.53</v>
      </c>
      <c r="P1247">
        <v>2245.04</v>
      </c>
      <c r="Q1247" t="s">
        <v>67</v>
      </c>
      <c r="R1247">
        <v>0.45066916654789563</v>
      </c>
      <c r="S1247">
        <v>2025</v>
      </c>
      <c r="T1247" t="s">
        <v>32</v>
      </c>
      <c r="U1247">
        <v>1</v>
      </c>
      <c r="V1247" t="s">
        <v>33</v>
      </c>
    </row>
    <row r="1248" spans="1:22" x14ac:dyDescent="0.3">
      <c r="A1248" t="s">
        <v>2192</v>
      </c>
      <c r="B1248" s="1">
        <v>45661</v>
      </c>
      <c r="C1248" t="s">
        <v>898</v>
      </c>
      <c r="D1248" t="s">
        <v>1280</v>
      </c>
      <c r="E1248" t="s">
        <v>61</v>
      </c>
      <c r="F1248" t="s">
        <v>71</v>
      </c>
      <c r="G1248" t="s">
        <v>317</v>
      </c>
      <c r="H1248" t="s">
        <v>28</v>
      </c>
      <c r="I1248" t="s">
        <v>73</v>
      </c>
      <c r="J1248" t="s">
        <v>74</v>
      </c>
      <c r="K1248">
        <v>6</v>
      </c>
      <c r="L1248">
        <v>2442.9</v>
      </c>
      <c r="M1248">
        <v>0.1</v>
      </c>
      <c r="N1248">
        <v>13191.66</v>
      </c>
      <c r="O1248">
        <v>8346.32</v>
      </c>
      <c r="P1248">
        <v>4845.34</v>
      </c>
      <c r="Q1248" t="s">
        <v>67</v>
      </c>
      <c r="R1248">
        <v>0.36730328101239718</v>
      </c>
      <c r="S1248">
        <v>2025</v>
      </c>
      <c r="T1248" t="s">
        <v>32</v>
      </c>
      <c r="U1248">
        <v>1</v>
      </c>
      <c r="V1248" t="s">
        <v>33</v>
      </c>
    </row>
    <row r="1249" spans="1:22" x14ac:dyDescent="0.3">
      <c r="A1249" t="s">
        <v>2193</v>
      </c>
      <c r="B1249" s="1">
        <v>45661</v>
      </c>
      <c r="C1249" t="s">
        <v>1468</v>
      </c>
      <c r="D1249" t="s">
        <v>185</v>
      </c>
      <c r="E1249" t="s">
        <v>61</v>
      </c>
      <c r="F1249" t="s">
        <v>62</v>
      </c>
      <c r="G1249" t="s">
        <v>90</v>
      </c>
      <c r="H1249" t="s">
        <v>28</v>
      </c>
      <c r="I1249" t="s">
        <v>73</v>
      </c>
      <c r="J1249" t="s">
        <v>74</v>
      </c>
      <c r="K1249">
        <v>3</v>
      </c>
      <c r="L1249">
        <v>2606.54</v>
      </c>
      <c r="M1249">
        <v>0.1</v>
      </c>
      <c r="N1249">
        <v>7037.66</v>
      </c>
      <c r="O1249">
        <v>4237.08</v>
      </c>
      <c r="P1249">
        <v>2800.58</v>
      </c>
      <c r="Q1249" t="s">
        <v>67</v>
      </c>
      <c r="R1249">
        <v>0.39794192956181462</v>
      </c>
      <c r="S1249">
        <v>2025</v>
      </c>
      <c r="T1249" t="s">
        <v>32</v>
      </c>
      <c r="U1249">
        <v>1</v>
      </c>
      <c r="V1249" t="s">
        <v>33</v>
      </c>
    </row>
    <row r="1250" spans="1:22" x14ac:dyDescent="0.3">
      <c r="A1250" t="s">
        <v>2194</v>
      </c>
      <c r="B1250" s="1">
        <v>45662</v>
      </c>
      <c r="C1250" t="s">
        <v>677</v>
      </c>
      <c r="D1250" t="s">
        <v>683</v>
      </c>
      <c r="E1250" t="s">
        <v>61</v>
      </c>
      <c r="F1250" t="s">
        <v>78</v>
      </c>
      <c r="G1250" t="s">
        <v>104</v>
      </c>
      <c r="H1250" t="s">
        <v>64</v>
      </c>
      <c r="I1250" t="s">
        <v>108</v>
      </c>
      <c r="J1250" t="s">
        <v>109</v>
      </c>
      <c r="K1250">
        <v>2</v>
      </c>
      <c r="L1250">
        <v>7155.27</v>
      </c>
      <c r="M1250">
        <v>0.1</v>
      </c>
      <c r="N1250">
        <v>12879.49</v>
      </c>
      <c r="O1250">
        <v>9019.9599999999991</v>
      </c>
      <c r="P1250">
        <v>3859.53</v>
      </c>
      <c r="Q1250" t="s">
        <v>53</v>
      </c>
      <c r="R1250">
        <v>0.2996648159205062</v>
      </c>
      <c r="S1250">
        <v>2025</v>
      </c>
      <c r="T1250" t="s">
        <v>32</v>
      </c>
      <c r="U1250">
        <v>1</v>
      </c>
      <c r="V1250" t="s">
        <v>33</v>
      </c>
    </row>
    <row r="1251" spans="1:22" x14ac:dyDescent="0.3">
      <c r="A1251" t="s">
        <v>2195</v>
      </c>
      <c r="B1251" s="1">
        <v>45662</v>
      </c>
      <c r="C1251" t="s">
        <v>939</v>
      </c>
      <c r="D1251" t="s">
        <v>940</v>
      </c>
      <c r="E1251" t="s">
        <v>61</v>
      </c>
      <c r="F1251" t="s">
        <v>62</v>
      </c>
      <c r="G1251" t="s">
        <v>228</v>
      </c>
      <c r="H1251" t="s">
        <v>64</v>
      </c>
      <c r="I1251" t="s">
        <v>65</v>
      </c>
      <c r="J1251" t="s">
        <v>66</v>
      </c>
      <c r="K1251">
        <v>1</v>
      </c>
      <c r="L1251">
        <v>5104.21</v>
      </c>
      <c r="M1251">
        <v>0.15</v>
      </c>
      <c r="N1251">
        <v>4338.58</v>
      </c>
      <c r="O1251">
        <v>3144.17</v>
      </c>
      <c r="P1251">
        <v>1194.4100000000001</v>
      </c>
      <c r="Q1251" t="s">
        <v>53</v>
      </c>
      <c r="R1251">
        <v>0.2752997524535678</v>
      </c>
      <c r="S1251">
        <v>2025</v>
      </c>
      <c r="T1251" t="s">
        <v>32</v>
      </c>
      <c r="U1251">
        <v>1</v>
      </c>
      <c r="V1251" t="s">
        <v>33</v>
      </c>
    </row>
    <row r="1252" spans="1:22" x14ac:dyDescent="0.3">
      <c r="A1252" t="s">
        <v>2196</v>
      </c>
      <c r="B1252" s="1">
        <v>45662</v>
      </c>
      <c r="C1252" t="s">
        <v>2043</v>
      </c>
      <c r="D1252" t="s">
        <v>212</v>
      </c>
      <c r="E1252" t="s">
        <v>61</v>
      </c>
      <c r="F1252" t="s">
        <v>62</v>
      </c>
      <c r="G1252" t="s">
        <v>134</v>
      </c>
      <c r="H1252" t="s">
        <v>64</v>
      </c>
      <c r="I1252" t="s">
        <v>65</v>
      </c>
      <c r="J1252" t="s">
        <v>232</v>
      </c>
      <c r="K1252">
        <v>3</v>
      </c>
      <c r="L1252">
        <v>4021.76</v>
      </c>
      <c r="M1252">
        <v>0.1</v>
      </c>
      <c r="N1252">
        <v>10858.75</v>
      </c>
      <c r="O1252">
        <v>7776.07</v>
      </c>
      <c r="P1252">
        <v>3082.68</v>
      </c>
      <c r="Q1252" t="s">
        <v>31</v>
      </c>
      <c r="R1252">
        <v>0.28388902958443651</v>
      </c>
      <c r="S1252">
        <v>2025</v>
      </c>
      <c r="T1252" t="s">
        <v>32</v>
      </c>
      <c r="U1252">
        <v>1</v>
      </c>
      <c r="V1252" t="s">
        <v>33</v>
      </c>
    </row>
    <row r="1253" spans="1:22" x14ac:dyDescent="0.3">
      <c r="A1253" t="s">
        <v>2197</v>
      </c>
      <c r="B1253" s="1">
        <v>45662</v>
      </c>
      <c r="C1253" t="s">
        <v>1769</v>
      </c>
      <c r="D1253" t="s">
        <v>2198</v>
      </c>
      <c r="E1253" t="s">
        <v>25</v>
      </c>
      <c r="F1253" t="s">
        <v>26</v>
      </c>
      <c r="G1253" t="s">
        <v>171</v>
      </c>
      <c r="H1253" t="s">
        <v>64</v>
      </c>
      <c r="I1253" t="s">
        <v>108</v>
      </c>
      <c r="J1253" t="s">
        <v>109</v>
      </c>
      <c r="K1253">
        <v>1</v>
      </c>
      <c r="L1253">
        <v>7087.94</v>
      </c>
      <c r="M1253">
        <v>0.05</v>
      </c>
      <c r="N1253">
        <v>6733.54</v>
      </c>
      <c r="O1253">
        <v>4447.74</v>
      </c>
      <c r="P1253">
        <v>2285.8000000000002</v>
      </c>
      <c r="Q1253" t="s">
        <v>46</v>
      </c>
      <c r="R1253">
        <v>0.33946482830725</v>
      </c>
      <c r="S1253">
        <v>2025</v>
      </c>
      <c r="T1253" t="s">
        <v>32</v>
      </c>
      <c r="U1253">
        <v>1</v>
      </c>
      <c r="V1253" t="s">
        <v>33</v>
      </c>
    </row>
    <row r="1254" spans="1:22" x14ac:dyDescent="0.3">
      <c r="A1254" t="s">
        <v>2199</v>
      </c>
      <c r="B1254" s="1">
        <v>45662</v>
      </c>
      <c r="C1254" t="s">
        <v>1157</v>
      </c>
      <c r="D1254" t="s">
        <v>1020</v>
      </c>
      <c r="E1254" t="s">
        <v>41</v>
      </c>
      <c r="F1254" t="s">
        <v>42</v>
      </c>
      <c r="G1254" t="s">
        <v>50</v>
      </c>
      <c r="H1254" t="s">
        <v>28</v>
      </c>
      <c r="I1254" t="s">
        <v>29</v>
      </c>
      <c r="J1254" t="s">
        <v>57</v>
      </c>
      <c r="K1254">
        <v>2</v>
      </c>
      <c r="L1254">
        <v>15085.08</v>
      </c>
      <c r="M1254">
        <v>0.15</v>
      </c>
      <c r="N1254">
        <v>25644.639999999999</v>
      </c>
      <c r="O1254">
        <v>22664.65</v>
      </c>
      <c r="P1254">
        <v>2979.99</v>
      </c>
      <c r="Q1254" t="s">
        <v>31</v>
      </c>
      <c r="R1254">
        <v>0.1162032299927002</v>
      </c>
      <c r="S1254">
        <v>2025</v>
      </c>
      <c r="T1254" t="s">
        <v>32</v>
      </c>
      <c r="U1254">
        <v>1</v>
      </c>
      <c r="V1254" t="s">
        <v>33</v>
      </c>
    </row>
    <row r="1255" spans="1:22" x14ac:dyDescent="0.3">
      <c r="A1255" t="s">
        <v>2200</v>
      </c>
      <c r="B1255" s="1">
        <v>45662</v>
      </c>
      <c r="C1255" t="s">
        <v>1115</v>
      </c>
      <c r="D1255" t="s">
        <v>411</v>
      </c>
      <c r="E1255" t="s">
        <v>61</v>
      </c>
      <c r="F1255" t="s">
        <v>78</v>
      </c>
      <c r="G1255" t="s">
        <v>83</v>
      </c>
      <c r="H1255" t="s">
        <v>84</v>
      </c>
      <c r="I1255" t="s">
        <v>85</v>
      </c>
      <c r="J1255" t="s">
        <v>86</v>
      </c>
      <c r="K1255">
        <v>2</v>
      </c>
      <c r="L1255">
        <v>1785.5</v>
      </c>
      <c r="M1255">
        <v>0.1</v>
      </c>
      <c r="N1255">
        <v>3213.9</v>
      </c>
      <c r="O1255">
        <v>1993.05</v>
      </c>
      <c r="P1255">
        <v>1220.8499999999999</v>
      </c>
      <c r="Q1255" t="s">
        <v>46</v>
      </c>
      <c r="R1255">
        <v>0.37986558387006442</v>
      </c>
      <c r="S1255">
        <v>2025</v>
      </c>
      <c r="T1255" t="s">
        <v>32</v>
      </c>
      <c r="U1255">
        <v>1</v>
      </c>
      <c r="V1255" t="s">
        <v>33</v>
      </c>
    </row>
    <row r="1256" spans="1:22" x14ac:dyDescent="0.3">
      <c r="A1256" t="s">
        <v>2201</v>
      </c>
      <c r="B1256" s="1">
        <v>45662</v>
      </c>
      <c r="C1256" t="s">
        <v>2202</v>
      </c>
      <c r="D1256" t="s">
        <v>142</v>
      </c>
      <c r="E1256" t="s">
        <v>25</v>
      </c>
      <c r="F1256" t="s">
        <v>26</v>
      </c>
      <c r="G1256" t="s">
        <v>171</v>
      </c>
      <c r="H1256" t="s">
        <v>64</v>
      </c>
      <c r="I1256" t="s">
        <v>108</v>
      </c>
      <c r="J1256" t="s">
        <v>109</v>
      </c>
      <c r="K1256">
        <v>2</v>
      </c>
      <c r="L1256">
        <v>6886.8</v>
      </c>
      <c r="M1256">
        <v>0.2</v>
      </c>
      <c r="N1256">
        <v>11018.88</v>
      </c>
      <c r="O1256">
        <v>9127.5300000000007</v>
      </c>
      <c r="P1256">
        <v>1891.35</v>
      </c>
      <c r="Q1256" t="s">
        <v>31</v>
      </c>
      <c r="R1256">
        <v>0.17164630162049141</v>
      </c>
      <c r="S1256">
        <v>2025</v>
      </c>
      <c r="T1256" t="s">
        <v>32</v>
      </c>
      <c r="U1256">
        <v>1</v>
      </c>
      <c r="V1256" t="s">
        <v>33</v>
      </c>
    </row>
    <row r="1257" spans="1:22" x14ac:dyDescent="0.3">
      <c r="A1257" t="s">
        <v>2203</v>
      </c>
      <c r="B1257" s="1">
        <v>45662</v>
      </c>
      <c r="C1257" t="s">
        <v>1650</v>
      </c>
      <c r="D1257" t="s">
        <v>77</v>
      </c>
      <c r="E1257" t="s">
        <v>61</v>
      </c>
      <c r="F1257" t="s">
        <v>78</v>
      </c>
      <c r="G1257" t="s">
        <v>216</v>
      </c>
      <c r="H1257" t="s">
        <v>84</v>
      </c>
      <c r="I1257" t="s">
        <v>138</v>
      </c>
      <c r="J1257" t="s">
        <v>139</v>
      </c>
      <c r="K1257">
        <v>5</v>
      </c>
      <c r="L1257">
        <v>12997.17</v>
      </c>
      <c r="M1257">
        <v>0.15</v>
      </c>
      <c r="N1257">
        <v>55237.97</v>
      </c>
      <c r="O1257">
        <v>45998.1</v>
      </c>
      <c r="P1257">
        <v>9239.8700000000008</v>
      </c>
      <c r="Q1257" t="s">
        <v>46</v>
      </c>
      <c r="R1257">
        <v>0.16727388787096989</v>
      </c>
      <c r="S1257">
        <v>2025</v>
      </c>
      <c r="T1257" t="s">
        <v>32</v>
      </c>
      <c r="U1257">
        <v>1</v>
      </c>
      <c r="V1257" t="s">
        <v>33</v>
      </c>
    </row>
    <row r="1258" spans="1:22" x14ac:dyDescent="0.3">
      <c r="A1258" t="s">
        <v>2204</v>
      </c>
      <c r="B1258" s="1">
        <v>45663</v>
      </c>
      <c r="C1258" t="s">
        <v>2014</v>
      </c>
      <c r="D1258" t="s">
        <v>194</v>
      </c>
      <c r="E1258" t="s">
        <v>61</v>
      </c>
      <c r="F1258" t="s">
        <v>62</v>
      </c>
      <c r="G1258" t="s">
        <v>134</v>
      </c>
      <c r="H1258" t="s">
        <v>64</v>
      </c>
      <c r="I1258" t="s">
        <v>65</v>
      </c>
      <c r="J1258" t="s">
        <v>66</v>
      </c>
      <c r="K1258">
        <v>1</v>
      </c>
      <c r="L1258">
        <v>4998.6099999999997</v>
      </c>
      <c r="M1258">
        <v>0.1</v>
      </c>
      <c r="N1258">
        <v>4498.75</v>
      </c>
      <c r="O1258">
        <v>2977.17</v>
      </c>
      <c r="P1258">
        <v>1521.58</v>
      </c>
      <c r="Q1258" t="s">
        <v>31</v>
      </c>
      <c r="R1258">
        <v>0.33822283967768818</v>
      </c>
      <c r="S1258">
        <v>2025</v>
      </c>
      <c r="T1258" t="s">
        <v>32</v>
      </c>
      <c r="U1258">
        <v>1</v>
      </c>
      <c r="V1258" t="s">
        <v>33</v>
      </c>
    </row>
    <row r="1259" spans="1:22" x14ac:dyDescent="0.3">
      <c r="A1259" t="s">
        <v>2205</v>
      </c>
      <c r="B1259" s="1">
        <v>45663</v>
      </c>
      <c r="C1259" t="s">
        <v>761</v>
      </c>
      <c r="D1259" t="s">
        <v>339</v>
      </c>
      <c r="E1259" t="s">
        <v>61</v>
      </c>
      <c r="F1259" t="s">
        <v>62</v>
      </c>
      <c r="G1259" t="s">
        <v>63</v>
      </c>
      <c r="H1259" t="s">
        <v>84</v>
      </c>
      <c r="I1259" t="s">
        <v>85</v>
      </c>
      <c r="J1259" t="s">
        <v>86</v>
      </c>
      <c r="K1259">
        <v>5</v>
      </c>
      <c r="L1259">
        <v>1694.5</v>
      </c>
      <c r="M1259">
        <v>0.05</v>
      </c>
      <c r="N1259">
        <v>8048.88</v>
      </c>
      <c r="O1259">
        <v>4478.66</v>
      </c>
      <c r="P1259">
        <v>3570.22</v>
      </c>
      <c r="Q1259" t="s">
        <v>53</v>
      </c>
      <c r="R1259">
        <v>0.44356730377394121</v>
      </c>
      <c r="S1259">
        <v>2025</v>
      </c>
      <c r="T1259" t="s">
        <v>32</v>
      </c>
      <c r="U1259">
        <v>1</v>
      </c>
      <c r="V1259" t="s">
        <v>33</v>
      </c>
    </row>
    <row r="1260" spans="1:22" x14ac:dyDescent="0.3">
      <c r="A1260" t="s">
        <v>2206</v>
      </c>
      <c r="B1260" s="1">
        <v>45663</v>
      </c>
      <c r="C1260" t="s">
        <v>2207</v>
      </c>
      <c r="D1260" t="s">
        <v>307</v>
      </c>
      <c r="E1260" t="s">
        <v>61</v>
      </c>
      <c r="F1260" t="s">
        <v>78</v>
      </c>
      <c r="G1260" t="s">
        <v>79</v>
      </c>
      <c r="H1260" t="s">
        <v>28</v>
      </c>
      <c r="I1260" t="s">
        <v>91</v>
      </c>
      <c r="J1260" t="s">
        <v>126</v>
      </c>
      <c r="K1260">
        <v>1</v>
      </c>
      <c r="L1260">
        <v>2051.8200000000002</v>
      </c>
      <c r="M1260">
        <v>0.1</v>
      </c>
      <c r="N1260">
        <v>1846.64</v>
      </c>
      <c r="O1260">
        <v>1200.6199999999999</v>
      </c>
      <c r="P1260">
        <v>646.02</v>
      </c>
      <c r="Q1260" t="s">
        <v>46</v>
      </c>
      <c r="R1260">
        <v>0.34983537668413978</v>
      </c>
      <c r="S1260">
        <v>2025</v>
      </c>
      <c r="T1260" t="s">
        <v>32</v>
      </c>
      <c r="U1260">
        <v>1</v>
      </c>
      <c r="V1260" t="s">
        <v>33</v>
      </c>
    </row>
    <row r="1261" spans="1:22" x14ac:dyDescent="0.3">
      <c r="A1261" t="s">
        <v>2208</v>
      </c>
      <c r="B1261" s="1">
        <v>45664</v>
      </c>
      <c r="C1261" t="s">
        <v>892</v>
      </c>
      <c r="D1261" t="s">
        <v>1289</v>
      </c>
      <c r="E1261" t="s">
        <v>61</v>
      </c>
      <c r="F1261" t="s">
        <v>71</v>
      </c>
      <c r="G1261" t="s">
        <v>201</v>
      </c>
      <c r="H1261" t="s">
        <v>64</v>
      </c>
      <c r="I1261" t="s">
        <v>108</v>
      </c>
      <c r="J1261" t="s">
        <v>155</v>
      </c>
      <c r="K1261">
        <v>3</v>
      </c>
      <c r="L1261">
        <v>8543.41</v>
      </c>
      <c r="M1261">
        <v>0.1</v>
      </c>
      <c r="N1261">
        <v>23067.21</v>
      </c>
      <c r="O1261">
        <v>17552.91</v>
      </c>
      <c r="P1261">
        <v>5514.3</v>
      </c>
      <c r="Q1261" t="s">
        <v>31</v>
      </c>
      <c r="R1261">
        <v>0.23905361766767641</v>
      </c>
      <c r="S1261">
        <v>2025</v>
      </c>
      <c r="T1261" t="s">
        <v>32</v>
      </c>
      <c r="U1261">
        <v>1</v>
      </c>
      <c r="V1261" t="s">
        <v>33</v>
      </c>
    </row>
    <row r="1262" spans="1:22" x14ac:dyDescent="0.3">
      <c r="A1262" t="s">
        <v>2209</v>
      </c>
      <c r="B1262" s="1">
        <v>45664</v>
      </c>
      <c r="C1262" t="s">
        <v>962</v>
      </c>
      <c r="D1262" t="s">
        <v>209</v>
      </c>
      <c r="E1262" t="s">
        <v>120</v>
      </c>
      <c r="F1262" t="s">
        <v>121</v>
      </c>
      <c r="G1262" t="s">
        <v>122</v>
      </c>
      <c r="H1262" t="s">
        <v>84</v>
      </c>
      <c r="I1262" t="s">
        <v>85</v>
      </c>
      <c r="J1262" t="s">
        <v>145</v>
      </c>
      <c r="K1262">
        <v>1</v>
      </c>
      <c r="L1262">
        <v>3281.7</v>
      </c>
      <c r="M1262">
        <v>0.1</v>
      </c>
      <c r="N1262">
        <v>2953.53</v>
      </c>
      <c r="O1262">
        <v>1843.46</v>
      </c>
      <c r="P1262">
        <v>1110.07</v>
      </c>
      <c r="Q1262" t="s">
        <v>31</v>
      </c>
      <c r="R1262">
        <v>0.37584517509556359</v>
      </c>
      <c r="S1262">
        <v>2025</v>
      </c>
      <c r="T1262" t="s">
        <v>32</v>
      </c>
      <c r="U1262">
        <v>1</v>
      </c>
      <c r="V1262" t="s">
        <v>33</v>
      </c>
    </row>
    <row r="1263" spans="1:22" x14ac:dyDescent="0.3">
      <c r="A1263" t="s">
        <v>2210</v>
      </c>
      <c r="B1263" s="1">
        <v>45664</v>
      </c>
      <c r="C1263" t="s">
        <v>2211</v>
      </c>
      <c r="D1263" t="s">
        <v>1525</v>
      </c>
      <c r="E1263" t="s">
        <v>61</v>
      </c>
      <c r="F1263" t="s">
        <v>62</v>
      </c>
      <c r="G1263" t="s">
        <v>90</v>
      </c>
      <c r="H1263" t="s">
        <v>64</v>
      </c>
      <c r="I1263" t="s">
        <v>108</v>
      </c>
      <c r="J1263" t="s">
        <v>109</v>
      </c>
      <c r="K1263">
        <v>1</v>
      </c>
      <c r="L1263">
        <v>7236.58</v>
      </c>
      <c r="M1263">
        <v>0.15</v>
      </c>
      <c r="N1263">
        <v>6151.09</v>
      </c>
      <c r="O1263">
        <v>4486</v>
      </c>
      <c r="P1263">
        <v>1665.09</v>
      </c>
      <c r="Q1263" t="s">
        <v>67</v>
      </c>
      <c r="R1263">
        <v>0.27069836402978981</v>
      </c>
      <c r="S1263">
        <v>2025</v>
      </c>
      <c r="T1263" t="s">
        <v>32</v>
      </c>
      <c r="U1263">
        <v>1</v>
      </c>
      <c r="V1263" t="s">
        <v>33</v>
      </c>
    </row>
    <row r="1264" spans="1:22" x14ac:dyDescent="0.3">
      <c r="A1264" t="s">
        <v>2212</v>
      </c>
      <c r="B1264" s="1">
        <v>45664</v>
      </c>
      <c r="C1264" t="s">
        <v>618</v>
      </c>
      <c r="D1264" t="s">
        <v>304</v>
      </c>
      <c r="E1264" t="s">
        <v>61</v>
      </c>
      <c r="F1264" t="s">
        <v>71</v>
      </c>
      <c r="G1264" t="s">
        <v>317</v>
      </c>
      <c r="H1264" t="s">
        <v>28</v>
      </c>
      <c r="I1264" t="s">
        <v>29</v>
      </c>
      <c r="J1264" t="s">
        <v>57</v>
      </c>
      <c r="K1264">
        <v>3</v>
      </c>
      <c r="L1264">
        <v>16115.58</v>
      </c>
      <c r="M1264">
        <v>0</v>
      </c>
      <c r="N1264">
        <v>48346.74</v>
      </c>
      <c r="O1264">
        <v>35897.71</v>
      </c>
      <c r="P1264">
        <v>12449.03</v>
      </c>
      <c r="Q1264" t="s">
        <v>67</v>
      </c>
      <c r="R1264">
        <v>0.25749471422478543</v>
      </c>
      <c r="S1264">
        <v>2025</v>
      </c>
      <c r="T1264" t="s">
        <v>32</v>
      </c>
      <c r="U1264">
        <v>1</v>
      </c>
      <c r="V1264" t="s">
        <v>33</v>
      </c>
    </row>
    <row r="1265" spans="1:22" x14ac:dyDescent="0.3">
      <c r="A1265" t="s">
        <v>2213</v>
      </c>
      <c r="B1265" s="1">
        <v>45664</v>
      </c>
      <c r="C1265" t="s">
        <v>989</v>
      </c>
      <c r="D1265" t="s">
        <v>630</v>
      </c>
      <c r="E1265" t="s">
        <v>41</v>
      </c>
      <c r="F1265" t="s">
        <v>42</v>
      </c>
      <c r="G1265" t="s">
        <v>50</v>
      </c>
      <c r="H1265" t="s">
        <v>43</v>
      </c>
      <c r="I1265" t="s">
        <v>44</v>
      </c>
      <c r="J1265" t="s">
        <v>248</v>
      </c>
      <c r="K1265">
        <v>1</v>
      </c>
      <c r="L1265">
        <v>315.04000000000002</v>
      </c>
      <c r="M1265">
        <v>0.2</v>
      </c>
      <c r="N1265">
        <v>252.03</v>
      </c>
      <c r="O1265">
        <v>133.59</v>
      </c>
      <c r="P1265">
        <v>118.44</v>
      </c>
      <c r="Q1265" t="s">
        <v>31</v>
      </c>
      <c r="R1265">
        <v>0.46994405427925251</v>
      </c>
      <c r="S1265">
        <v>2025</v>
      </c>
      <c r="T1265" t="s">
        <v>32</v>
      </c>
      <c r="U1265">
        <v>1</v>
      </c>
      <c r="V1265" t="s">
        <v>33</v>
      </c>
    </row>
    <row r="1266" spans="1:22" x14ac:dyDescent="0.3">
      <c r="A1266" t="s">
        <v>2214</v>
      </c>
      <c r="B1266" s="1">
        <v>45665</v>
      </c>
      <c r="C1266" t="s">
        <v>2215</v>
      </c>
      <c r="D1266" t="s">
        <v>468</v>
      </c>
      <c r="E1266" t="s">
        <v>41</v>
      </c>
      <c r="F1266" t="s">
        <v>42</v>
      </c>
      <c r="G1266" t="s">
        <v>50</v>
      </c>
      <c r="H1266" t="s">
        <v>28</v>
      </c>
      <c r="I1266" t="s">
        <v>29</v>
      </c>
      <c r="J1266" t="s">
        <v>30</v>
      </c>
      <c r="K1266">
        <v>1</v>
      </c>
      <c r="L1266">
        <v>55989.42</v>
      </c>
      <c r="M1266">
        <v>0</v>
      </c>
      <c r="N1266">
        <v>55989.42</v>
      </c>
      <c r="O1266">
        <v>47446.63</v>
      </c>
      <c r="P1266">
        <v>8542.7900000000009</v>
      </c>
      <c r="Q1266" t="s">
        <v>46</v>
      </c>
      <c r="R1266">
        <v>0.1525786478945487</v>
      </c>
      <c r="S1266">
        <v>2025</v>
      </c>
      <c r="T1266" t="s">
        <v>32</v>
      </c>
      <c r="U1266">
        <v>1</v>
      </c>
      <c r="V1266" t="s">
        <v>33</v>
      </c>
    </row>
    <row r="1267" spans="1:22" x14ac:dyDescent="0.3">
      <c r="A1267" t="s">
        <v>2216</v>
      </c>
      <c r="B1267" s="1">
        <v>45665</v>
      </c>
      <c r="C1267" t="s">
        <v>1167</v>
      </c>
      <c r="D1267" t="s">
        <v>562</v>
      </c>
      <c r="E1267" t="s">
        <v>120</v>
      </c>
      <c r="F1267" t="s">
        <v>121</v>
      </c>
      <c r="G1267" t="s">
        <v>122</v>
      </c>
      <c r="H1267" t="s">
        <v>43</v>
      </c>
      <c r="I1267" t="s">
        <v>51</v>
      </c>
      <c r="J1267" t="s">
        <v>96</v>
      </c>
      <c r="K1267">
        <v>3</v>
      </c>
      <c r="L1267">
        <v>520.1</v>
      </c>
      <c r="M1267">
        <v>0.1</v>
      </c>
      <c r="N1267">
        <v>1404.27</v>
      </c>
      <c r="O1267">
        <v>696.07</v>
      </c>
      <c r="P1267">
        <v>708.2</v>
      </c>
      <c r="Q1267" t="s">
        <v>31</v>
      </c>
      <c r="R1267">
        <v>0.504318969998647</v>
      </c>
      <c r="S1267">
        <v>2025</v>
      </c>
      <c r="T1267" t="s">
        <v>32</v>
      </c>
      <c r="U1267">
        <v>1</v>
      </c>
      <c r="V1267" t="s">
        <v>33</v>
      </c>
    </row>
    <row r="1268" spans="1:22" x14ac:dyDescent="0.3">
      <c r="A1268" t="s">
        <v>2217</v>
      </c>
      <c r="B1268" s="1">
        <v>45665</v>
      </c>
      <c r="C1268" t="s">
        <v>459</v>
      </c>
      <c r="D1268" t="s">
        <v>740</v>
      </c>
      <c r="E1268" t="s">
        <v>120</v>
      </c>
      <c r="F1268" t="s">
        <v>121</v>
      </c>
      <c r="G1268" t="s">
        <v>130</v>
      </c>
      <c r="H1268" t="s">
        <v>28</v>
      </c>
      <c r="I1268" t="s">
        <v>73</v>
      </c>
      <c r="J1268" t="s">
        <v>74</v>
      </c>
      <c r="K1268">
        <v>6</v>
      </c>
      <c r="L1268">
        <v>2468.0100000000002</v>
      </c>
      <c r="M1268">
        <v>0.15</v>
      </c>
      <c r="N1268">
        <v>12586.85</v>
      </c>
      <c r="O1268">
        <v>8435.59</v>
      </c>
      <c r="P1268">
        <v>4151.26</v>
      </c>
      <c r="Q1268" t="s">
        <v>31</v>
      </c>
      <c r="R1268">
        <v>0.32980928508721402</v>
      </c>
      <c r="S1268">
        <v>2025</v>
      </c>
      <c r="T1268" t="s">
        <v>32</v>
      </c>
      <c r="U1268">
        <v>1</v>
      </c>
      <c r="V1268" t="s">
        <v>33</v>
      </c>
    </row>
    <row r="1269" spans="1:22" x14ac:dyDescent="0.3">
      <c r="A1269" t="s">
        <v>2218</v>
      </c>
      <c r="B1269" s="1">
        <v>45665</v>
      </c>
      <c r="C1269" t="s">
        <v>968</v>
      </c>
      <c r="D1269" t="s">
        <v>1798</v>
      </c>
      <c r="E1269" t="s">
        <v>25</v>
      </c>
      <c r="F1269" t="s">
        <v>26</v>
      </c>
      <c r="G1269" t="s">
        <v>171</v>
      </c>
      <c r="H1269" t="s">
        <v>64</v>
      </c>
      <c r="I1269" t="s">
        <v>108</v>
      </c>
      <c r="J1269" t="s">
        <v>109</v>
      </c>
      <c r="K1269">
        <v>2</v>
      </c>
      <c r="L1269">
        <v>7037.75</v>
      </c>
      <c r="M1269">
        <v>0.1</v>
      </c>
      <c r="N1269">
        <v>12667.95</v>
      </c>
      <c r="O1269">
        <v>8737.36</v>
      </c>
      <c r="P1269">
        <v>3930.59</v>
      </c>
      <c r="Q1269" t="s">
        <v>113</v>
      </c>
      <c r="R1269">
        <v>0.31027830075110813</v>
      </c>
      <c r="S1269">
        <v>2025</v>
      </c>
      <c r="T1269" t="s">
        <v>32</v>
      </c>
      <c r="U1269">
        <v>1</v>
      </c>
      <c r="V1269" t="s">
        <v>33</v>
      </c>
    </row>
    <row r="1270" spans="1:22" x14ac:dyDescent="0.3">
      <c r="A1270" t="s">
        <v>2219</v>
      </c>
      <c r="B1270" s="1">
        <v>45666</v>
      </c>
      <c r="C1270" t="s">
        <v>1329</v>
      </c>
      <c r="D1270" t="s">
        <v>562</v>
      </c>
      <c r="E1270" t="s">
        <v>41</v>
      </c>
      <c r="F1270" t="s">
        <v>42</v>
      </c>
      <c r="G1270" t="s">
        <v>42</v>
      </c>
      <c r="H1270" t="s">
        <v>28</v>
      </c>
      <c r="I1270" t="s">
        <v>91</v>
      </c>
      <c r="J1270" t="s">
        <v>126</v>
      </c>
      <c r="K1270">
        <v>3</v>
      </c>
      <c r="L1270">
        <v>1890.64</v>
      </c>
      <c r="M1270">
        <v>0</v>
      </c>
      <c r="N1270">
        <v>5671.92</v>
      </c>
      <c r="O1270">
        <v>3186.87</v>
      </c>
      <c r="P1270">
        <v>2485.0500000000002</v>
      </c>
      <c r="Q1270" t="s">
        <v>31</v>
      </c>
      <c r="R1270">
        <v>0.43813206110100278</v>
      </c>
      <c r="S1270">
        <v>2025</v>
      </c>
      <c r="T1270" t="s">
        <v>32</v>
      </c>
      <c r="U1270">
        <v>1</v>
      </c>
      <c r="V1270" t="s">
        <v>33</v>
      </c>
    </row>
    <row r="1271" spans="1:22" x14ac:dyDescent="0.3">
      <c r="A1271" t="s">
        <v>2220</v>
      </c>
      <c r="B1271" s="1">
        <v>45666</v>
      </c>
      <c r="C1271" t="s">
        <v>531</v>
      </c>
      <c r="D1271" t="s">
        <v>1613</v>
      </c>
      <c r="E1271" t="s">
        <v>61</v>
      </c>
      <c r="F1271" t="s">
        <v>78</v>
      </c>
      <c r="G1271" t="s">
        <v>79</v>
      </c>
      <c r="H1271" t="s">
        <v>43</v>
      </c>
      <c r="I1271" t="s">
        <v>51</v>
      </c>
      <c r="J1271" t="s">
        <v>96</v>
      </c>
      <c r="K1271">
        <v>6</v>
      </c>
      <c r="L1271">
        <v>504.04</v>
      </c>
      <c r="M1271">
        <v>0.2</v>
      </c>
      <c r="N1271">
        <v>2419.39</v>
      </c>
      <c r="O1271">
        <v>1381.16</v>
      </c>
      <c r="P1271">
        <v>1038.23</v>
      </c>
      <c r="Q1271" t="s">
        <v>53</v>
      </c>
      <c r="R1271">
        <v>0.42912882999433738</v>
      </c>
      <c r="S1271">
        <v>2025</v>
      </c>
      <c r="T1271" t="s">
        <v>32</v>
      </c>
      <c r="U1271">
        <v>1</v>
      </c>
      <c r="V1271" t="s">
        <v>33</v>
      </c>
    </row>
    <row r="1272" spans="1:22" x14ac:dyDescent="0.3">
      <c r="A1272" t="s">
        <v>2221</v>
      </c>
      <c r="B1272" s="1">
        <v>45666</v>
      </c>
      <c r="C1272" t="s">
        <v>2009</v>
      </c>
      <c r="D1272" t="s">
        <v>349</v>
      </c>
      <c r="E1272" t="s">
        <v>61</v>
      </c>
      <c r="F1272" t="s">
        <v>71</v>
      </c>
      <c r="G1272" t="s">
        <v>201</v>
      </c>
      <c r="H1272" t="s">
        <v>84</v>
      </c>
      <c r="I1272" t="s">
        <v>85</v>
      </c>
      <c r="J1272" t="s">
        <v>145</v>
      </c>
      <c r="K1272">
        <v>4</v>
      </c>
      <c r="L1272">
        <v>3244.63</v>
      </c>
      <c r="M1272">
        <v>0.1</v>
      </c>
      <c r="N1272">
        <v>11680.67</v>
      </c>
      <c r="O1272">
        <v>7113.5</v>
      </c>
      <c r="P1272">
        <v>4567.17</v>
      </c>
      <c r="Q1272" t="s">
        <v>53</v>
      </c>
      <c r="R1272">
        <v>0.39100239969111361</v>
      </c>
      <c r="S1272">
        <v>2025</v>
      </c>
      <c r="T1272" t="s">
        <v>32</v>
      </c>
      <c r="U1272">
        <v>1</v>
      </c>
      <c r="V1272" t="s">
        <v>33</v>
      </c>
    </row>
    <row r="1273" spans="1:22" x14ac:dyDescent="0.3">
      <c r="A1273" t="s">
        <v>2222</v>
      </c>
      <c r="B1273" s="1">
        <v>45666</v>
      </c>
      <c r="C1273" t="s">
        <v>1234</v>
      </c>
      <c r="D1273" t="s">
        <v>1946</v>
      </c>
      <c r="E1273" t="s">
        <v>61</v>
      </c>
      <c r="F1273" t="s">
        <v>71</v>
      </c>
      <c r="G1273" t="s">
        <v>72</v>
      </c>
      <c r="H1273" t="s">
        <v>28</v>
      </c>
      <c r="I1273" t="s">
        <v>73</v>
      </c>
      <c r="J1273" t="s">
        <v>80</v>
      </c>
      <c r="K1273">
        <v>6</v>
      </c>
      <c r="L1273">
        <v>840.13</v>
      </c>
      <c r="M1273">
        <v>0.15</v>
      </c>
      <c r="N1273">
        <v>4284.66</v>
      </c>
      <c r="O1273">
        <v>3063.97</v>
      </c>
      <c r="P1273">
        <v>1220.69</v>
      </c>
      <c r="Q1273" t="s">
        <v>53</v>
      </c>
      <c r="R1273">
        <v>0.28489775151353902</v>
      </c>
      <c r="S1273">
        <v>2025</v>
      </c>
      <c r="T1273" t="s">
        <v>32</v>
      </c>
      <c r="U1273">
        <v>1</v>
      </c>
      <c r="V1273" t="s">
        <v>33</v>
      </c>
    </row>
    <row r="1274" spans="1:22" x14ac:dyDescent="0.3">
      <c r="A1274" t="s">
        <v>2223</v>
      </c>
      <c r="B1274" s="1">
        <v>45666</v>
      </c>
      <c r="C1274" t="s">
        <v>2224</v>
      </c>
      <c r="D1274" t="s">
        <v>1044</v>
      </c>
      <c r="E1274" t="s">
        <v>25</v>
      </c>
      <c r="F1274" t="s">
        <v>26</v>
      </c>
      <c r="G1274" t="s">
        <v>27</v>
      </c>
      <c r="H1274" t="s">
        <v>28</v>
      </c>
      <c r="I1274" t="s">
        <v>29</v>
      </c>
      <c r="J1274" t="s">
        <v>57</v>
      </c>
      <c r="K1274">
        <v>1</v>
      </c>
      <c r="L1274">
        <v>15184.29</v>
      </c>
      <c r="M1274">
        <v>0</v>
      </c>
      <c r="N1274">
        <v>15184.29</v>
      </c>
      <c r="O1274">
        <v>11679.43</v>
      </c>
      <c r="P1274">
        <v>3504.86</v>
      </c>
      <c r="Q1274" t="s">
        <v>46</v>
      </c>
      <c r="R1274">
        <v>0.23082146086514421</v>
      </c>
      <c r="S1274">
        <v>2025</v>
      </c>
      <c r="T1274" t="s">
        <v>32</v>
      </c>
      <c r="U1274">
        <v>1</v>
      </c>
      <c r="V1274" t="s">
        <v>33</v>
      </c>
    </row>
    <row r="1275" spans="1:22" x14ac:dyDescent="0.3">
      <c r="A1275" t="s">
        <v>2225</v>
      </c>
      <c r="B1275" s="1">
        <v>45666</v>
      </c>
      <c r="C1275" t="s">
        <v>169</v>
      </c>
      <c r="D1275" t="s">
        <v>851</v>
      </c>
      <c r="E1275" t="s">
        <v>41</v>
      </c>
      <c r="F1275" t="s">
        <v>42</v>
      </c>
      <c r="G1275" t="s">
        <v>42</v>
      </c>
      <c r="H1275" t="s">
        <v>84</v>
      </c>
      <c r="I1275" t="s">
        <v>85</v>
      </c>
      <c r="J1275" t="s">
        <v>145</v>
      </c>
      <c r="K1275">
        <v>2</v>
      </c>
      <c r="L1275">
        <v>3485.62</v>
      </c>
      <c r="M1275">
        <v>0.1</v>
      </c>
      <c r="N1275">
        <v>6274.12</v>
      </c>
      <c r="O1275">
        <v>4023.4</v>
      </c>
      <c r="P1275">
        <v>2250.7199999999998</v>
      </c>
      <c r="Q1275" t="s">
        <v>31</v>
      </c>
      <c r="R1275">
        <v>0.35873078615008958</v>
      </c>
      <c r="S1275">
        <v>2025</v>
      </c>
      <c r="T1275" t="s">
        <v>32</v>
      </c>
      <c r="U1275">
        <v>1</v>
      </c>
      <c r="V1275" t="s">
        <v>33</v>
      </c>
    </row>
    <row r="1276" spans="1:22" x14ac:dyDescent="0.3">
      <c r="A1276" t="s">
        <v>2226</v>
      </c>
      <c r="B1276" s="1">
        <v>45666</v>
      </c>
      <c r="C1276" t="s">
        <v>965</v>
      </c>
      <c r="D1276" t="s">
        <v>1435</v>
      </c>
      <c r="E1276" t="s">
        <v>25</v>
      </c>
      <c r="F1276" t="s">
        <v>26</v>
      </c>
      <c r="G1276" t="s">
        <v>171</v>
      </c>
      <c r="H1276" t="s">
        <v>64</v>
      </c>
      <c r="I1276" t="s">
        <v>108</v>
      </c>
      <c r="J1276" t="s">
        <v>155</v>
      </c>
      <c r="K1276">
        <v>6</v>
      </c>
      <c r="L1276">
        <v>8450.56</v>
      </c>
      <c r="M1276">
        <v>0</v>
      </c>
      <c r="N1276">
        <v>50703.360000000001</v>
      </c>
      <c r="O1276">
        <v>35423.42</v>
      </c>
      <c r="P1276">
        <v>15279.94</v>
      </c>
      <c r="Q1276" t="s">
        <v>67</v>
      </c>
      <c r="R1276">
        <v>0.30135951542461881</v>
      </c>
      <c r="S1276">
        <v>2025</v>
      </c>
      <c r="T1276" t="s">
        <v>32</v>
      </c>
      <c r="U1276">
        <v>1</v>
      </c>
      <c r="V1276" t="s">
        <v>33</v>
      </c>
    </row>
    <row r="1277" spans="1:22" x14ac:dyDescent="0.3">
      <c r="A1277" t="s">
        <v>2227</v>
      </c>
      <c r="B1277" s="1">
        <v>45666</v>
      </c>
      <c r="C1277" t="s">
        <v>205</v>
      </c>
      <c r="D1277" t="s">
        <v>1449</v>
      </c>
      <c r="E1277" t="s">
        <v>61</v>
      </c>
      <c r="F1277" t="s">
        <v>62</v>
      </c>
      <c r="G1277" t="s">
        <v>134</v>
      </c>
      <c r="H1277" t="s">
        <v>84</v>
      </c>
      <c r="I1277" t="s">
        <v>85</v>
      </c>
      <c r="J1277" t="s">
        <v>145</v>
      </c>
      <c r="K1277">
        <v>4</v>
      </c>
      <c r="L1277">
        <v>3290.61</v>
      </c>
      <c r="M1277">
        <v>0.15</v>
      </c>
      <c r="N1277">
        <v>11188.07</v>
      </c>
      <c r="O1277">
        <v>7647.46</v>
      </c>
      <c r="P1277">
        <v>3540.61</v>
      </c>
      <c r="Q1277" t="s">
        <v>113</v>
      </c>
      <c r="R1277">
        <v>0.31646298244469329</v>
      </c>
      <c r="S1277">
        <v>2025</v>
      </c>
      <c r="T1277" t="s">
        <v>32</v>
      </c>
      <c r="U1277">
        <v>1</v>
      </c>
      <c r="V1277" t="s">
        <v>33</v>
      </c>
    </row>
    <row r="1278" spans="1:22" x14ac:dyDescent="0.3">
      <c r="A1278" t="s">
        <v>2228</v>
      </c>
      <c r="B1278" s="1">
        <v>45666</v>
      </c>
      <c r="C1278" t="s">
        <v>1030</v>
      </c>
      <c r="D1278" t="s">
        <v>89</v>
      </c>
      <c r="E1278" t="s">
        <v>120</v>
      </c>
      <c r="F1278" t="s">
        <v>121</v>
      </c>
      <c r="G1278" t="s">
        <v>122</v>
      </c>
      <c r="H1278" t="s">
        <v>84</v>
      </c>
      <c r="I1278" t="s">
        <v>138</v>
      </c>
      <c r="J1278" t="s">
        <v>139</v>
      </c>
      <c r="K1278">
        <v>2</v>
      </c>
      <c r="L1278">
        <v>12711.25</v>
      </c>
      <c r="M1278">
        <v>0.05</v>
      </c>
      <c r="N1278">
        <v>24151.38</v>
      </c>
      <c r="O1278">
        <v>17577.87</v>
      </c>
      <c r="P1278">
        <v>6573.51</v>
      </c>
      <c r="Q1278" t="s">
        <v>31</v>
      </c>
      <c r="R1278">
        <v>0.27217947794287528</v>
      </c>
      <c r="S1278">
        <v>2025</v>
      </c>
      <c r="T1278" t="s">
        <v>32</v>
      </c>
      <c r="U1278">
        <v>1</v>
      </c>
      <c r="V1278" t="s">
        <v>33</v>
      </c>
    </row>
    <row r="1279" spans="1:22" x14ac:dyDescent="0.3">
      <c r="A1279" t="s">
        <v>2229</v>
      </c>
      <c r="B1279" s="1">
        <v>45666</v>
      </c>
      <c r="C1279" t="s">
        <v>1518</v>
      </c>
      <c r="D1279" t="s">
        <v>457</v>
      </c>
      <c r="E1279" t="s">
        <v>61</v>
      </c>
      <c r="F1279" t="s">
        <v>71</v>
      </c>
      <c r="G1279" t="s">
        <v>72</v>
      </c>
      <c r="H1279" t="s">
        <v>43</v>
      </c>
      <c r="I1279" t="s">
        <v>44</v>
      </c>
      <c r="J1279" t="s">
        <v>248</v>
      </c>
      <c r="K1279">
        <v>3</v>
      </c>
      <c r="L1279">
        <v>286.85000000000002</v>
      </c>
      <c r="M1279">
        <v>0</v>
      </c>
      <c r="N1279">
        <v>860.55</v>
      </c>
      <c r="O1279">
        <v>355.72</v>
      </c>
      <c r="P1279">
        <v>504.83</v>
      </c>
      <c r="Q1279" t="s">
        <v>31</v>
      </c>
      <c r="R1279">
        <v>0.58663645343094539</v>
      </c>
      <c r="S1279">
        <v>2025</v>
      </c>
      <c r="T1279" t="s">
        <v>32</v>
      </c>
      <c r="U1279">
        <v>1</v>
      </c>
      <c r="V1279" t="s">
        <v>33</v>
      </c>
    </row>
    <row r="1280" spans="1:22" x14ac:dyDescent="0.3">
      <c r="A1280" t="s">
        <v>2230</v>
      </c>
      <c r="B1280" s="1">
        <v>45666</v>
      </c>
      <c r="C1280" t="s">
        <v>2231</v>
      </c>
      <c r="D1280" t="s">
        <v>1396</v>
      </c>
      <c r="E1280" t="s">
        <v>41</v>
      </c>
      <c r="F1280" t="s">
        <v>42</v>
      </c>
      <c r="G1280" t="s">
        <v>50</v>
      </c>
      <c r="H1280" t="s">
        <v>28</v>
      </c>
      <c r="I1280" t="s">
        <v>29</v>
      </c>
      <c r="J1280" t="s">
        <v>57</v>
      </c>
      <c r="K1280">
        <v>1</v>
      </c>
      <c r="L1280">
        <v>15692.29</v>
      </c>
      <c r="M1280">
        <v>0.1</v>
      </c>
      <c r="N1280">
        <v>14123.06</v>
      </c>
      <c r="O1280">
        <v>11566.84</v>
      </c>
      <c r="P1280">
        <v>2556.2199999999998</v>
      </c>
      <c r="Q1280" t="s">
        <v>53</v>
      </c>
      <c r="R1280">
        <v>0.18099618637887249</v>
      </c>
      <c r="S1280">
        <v>2025</v>
      </c>
      <c r="T1280" t="s">
        <v>32</v>
      </c>
      <c r="U1280">
        <v>1</v>
      </c>
      <c r="V1280" t="s">
        <v>33</v>
      </c>
    </row>
    <row r="1281" spans="1:22" x14ac:dyDescent="0.3">
      <c r="A1281" t="s">
        <v>2232</v>
      </c>
      <c r="B1281" s="1">
        <v>45667</v>
      </c>
      <c r="C1281" t="s">
        <v>971</v>
      </c>
      <c r="D1281" t="s">
        <v>844</v>
      </c>
      <c r="E1281" t="s">
        <v>61</v>
      </c>
      <c r="F1281" t="s">
        <v>62</v>
      </c>
      <c r="G1281" t="s">
        <v>134</v>
      </c>
      <c r="H1281" t="s">
        <v>43</v>
      </c>
      <c r="I1281" t="s">
        <v>51</v>
      </c>
      <c r="J1281" t="s">
        <v>96</v>
      </c>
      <c r="K1281">
        <v>5</v>
      </c>
      <c r="L1281">
        <v>502.13</v>
      </c>
      <c r="M1281">
        <v>0</v>
      </c>
      <c r="N1281">
        <v>2510.65</v>
      </c>
      <c r="O1281">
        <v>1149</v>
      </c>
      <c r="P1281">
        <v>1361.65</v>
      </c>
      <c r="Q1281" t="s">
        <v>46</v>
      </c>
      <c r="R1281">
        <v>0.54234959074343303</v>
      </c>
      <c r="S1281">
        <v>2025</v>
      </c>
      <c r="T1281" t="s">
        <v>32</v>
      </c>
      <c r="U1281">
        <v>1</v>
      </c>
      <c r="V1281" t="s">
        <v>33</v>
      </c>
    </row>
    <row r="1282" spans="1:22" x14ac:dyDescent="0.3">
      <c r="A1282" t="s">
        <v>2233</v>
      </c>
      <c r="B1282" s="1">
        <v>45667</v>
      </c>
      <c r="C1282" t="s">
        <v>338</v>
      </c>
      <c r="D1282" t="s">
        <v>1863</v>
      </c>
      <c r="E1282" t="s">
        <v>25</v>
      </c>
      <c r="F1282" t="s">
        <v>26</v>
      </c>
      <c r="G1282" t="s">
        <v>171</v>
      </c>
      <c r="H1282" t="s">
        <v>28</v>
      </c>
      <c r="I1282" t="s">
        <v>91</v>
      </c>
      <c r="J1282" t="s">
        <v>92</v>
      </c>
      <c r="K1282">
        <v>4</v>
      </c>
      <c r="L1282">
        <v>3155.34</v>
      </c>
      <c r="M1282">
        <v>0.05</v>
      </c>
      <c r="N1282">
        <v>11990.29</v>
      </c>
      <c r="O1282">
        <v>6599.3</v>
      </c>
      <c r="P1282">
        <v>5390.99</v>
      </c>
      <c r="Q1282" t="s">
        <v>53</v>
      </c>
      <c r="R1282">
        <v>0.44961297850177101</v>
      </c>
      <c r="S1282">
        <v>2025</v>
      </c>
      <c r="T1282" t="s">
        <v>32</v>
      </c>
      <c r="U1282">
        <v>1</v>
      </c>
      <c r="V1282" t="s">
        <v>33</v>
      </c>
    </row>
    <row r="1283" spans="1:22" x14ac:dyDescent="0.3">
      <c r="A1283" t="s">
        <v>2234</v>
      </c>
      <c r="B1283" s="1">
        <v>45667</v>
      </c>
      <c r="C1283" t="s">
        <v>1772</v>
      </c>
      <c r="D1283" t="s">
        <v>1513</v>
      </c>
      <c r="E1283" t="s">
        <v>61</v>
      </c>
      <c r="F1283" t="s">
        <v>78</v>
      </c>
      <c r="G1283" t="s">
        <v>83</v>
      </c>
      <c r="H1283" t="s">
        <v>84</v>
      </c>
      <c r="I1283" t="s">
        <v>138</v>
      </c>
      <c r="J1283" t="s">
        <v>220</v>
      </c>
      <c r="K1283">
        <v>6</v>
      </c>
      <c r="L1283">
        <v>7337.63</v>
      </c>
      <c r="M1283">
        <v>0.15</v>
      </c>
      <c r="N1283">
        <v>37421.910000000003</v>
      </c>
      <c r="O1283">
        <v>29232.18</v>
      </c>
      <c r="P1283">
        <v>8189.73</v>
      </c>
      <c r="Q1283" t="s">
        <v>46</v>
      </c>
      <c r="R1283">
        <v>0.21884853017924519</v>
      </c>
      <c r="S1283">
        <v>2025</v>
      </c>
      <c r="T1283" t="s">
        <v>32</v>
      </c>
      <c r="U1283">
        <v>1</v>
      </c>
      <c r="V1283" t="s">
        <v>33</v>
      </c>
    </row>
    <row r="1284" spans="1:22" x14ac:dyDescent="0.3">
      <c r="A1284" t="s">
        <v>2235</v>
      </c>
      <c r="B1284" s="1">
        <v>45667</v>
      </c>
      <c r="C1284" t="s">
        <v>1624</v>
      </c>
      <c r="D1284" t="s">
        <v>888</v>
      </c>
      <c r="E1284" t="s">
        <v>41</v>
      </c>
      <c r="F1284" t="s">
        <v>42</v>
      </c>
      <c r="G1284" t="s">
        <v>50</v>
      </c>
      <c r="H1284" t="s">
        <v>64</v>
      </c>
      <c r="I1284" t="s">
        <v>65</v>
      </c>
      <c r="J1284" t="s">
        <v>232</v>
      </c>
      <c r="K1284">
        <v>5</v>
      </c>
      <c r="L1284">
        <v>3953.23</v>
      </c>
      <c r="M1284">
        <v>0.1</v>
      </c>
      <c r="N1284">
        <v>17789.54</v>
      </c>
      <c r="O1284">
        <v>12503.58</v>
      </c>
      <c r="P1284">
        <v>5285.96</v>
      </c>
      <c r="Q1284" t="s">
        <v>53</v>
      </c>
      <c r="R1284">
        <v>0.29713865563696418</v>
      </c>
      <c r="S1284">
        <v>2025</v>
      </c>
      <c r="T1284" t="s">
        <v>32</v>
      </c>
      <c r="U1284">
        <v>1</v>
      </c>
      <c r="V1284" t="s">
        <v>33</v>
      </c>
    </row>
    <row r="1285" spans="1:22" x14ac:dyDescent="0.3">
      <c r="A1285" t="s">
        <v>2236</v>
      </c>
      <c r="B1285" s="1">
        <v>45668</v>
      </c>
      <c r="C1285" t="s">
        <v>405</v>
      </c>
      <c r="D1285" t="s">
        <v>1863</v>
      </c>
      <c r="E1285" t="s">
        <v>61</v>
      </c>
      <c r="F1285" t="s">
        <v>78</v>
      </c>
      <c r="G1285" t="s">
        <v>83</v>
      </c>
      <c r="H1285" t="s">
        <v>43</v>
      </c>
      <c r="I1285" t="s">
        <v>51</v>
      </c>
      <c r="J1285" t="s">
        <v>52</v>
      </c>
      <c r="K1285">
        <v>5</v>
      </c>
      <c r="L1285">
        <v>677.17</v>
      </c>
      <c r="M1285">
        <v>0.15</v>
      </c>
      <c r="N1285">
        <v>2877.97</v>
      </c>
      <c r="O1285">
        <v>1529.34</v>
      </c>
      <c r="P1285">
        <v>1348.63</v>
      </c>
      <c r="Q1285" t="s">
        <v>53</v>
      </c>
      <c r="R1285">
        <v>0.46860460671931958</v>
      </c>
      <c r="S1285">
        <v>2025</v>
      </c>
      <c r="T1285" t="s">
        <v>32</v>
      </c>
      <c r="U1285">
        <v>1</v>
      </c>
      <c r="V1285" t="s">
        <v>33</v>
      </c>
    </row>
    <row r="1286" spans="1:22" x14ac:dyDescent="0.3">
      <c r="A1286" t="s">
        <v>2237</v>
      </c>
      <c r="B1286" s="1">
        <v>45668</v>
      </c>
      <c r="C1286" t="s">
        <v>1019</v>
      </c>
      <c r="D1286" t="s">
        <v>726</v>
      </c>
      <c r="E1286" t="s">
        <v>25</v>
      </c>
      <c r="F1286" t="s">
        <v>26</v>
      </c>
      <c r="G1286" t="s">
        <v>260</v>
      </c>
      <c r="H1286" t="s">
        <v>28</v>
      </c>
      <c r="I1286" t="s">
        <v>73</v>
      </c>
      <c r="J1286" t="s">
        <v>74</v>
      </c>
      <c r="K1286">
        <v>6</v>
      </c>
      <c r="L1286">
        <v>2541.71</v>
      </c>
      <c r="M1286">
        <v>0.05</v>
      </c>
      <c r="N1286">
        <v>14487.75</v>
      </c>
      <c r="O1286">
        <v>8126.43</v>
      </c>
      <c r="P1286">
        <v>6361.32</v>
      </c>
      <c r="Q1286" t="s">
        <v>31</v>
      </c>
      <c r="R1286">
        <v>0.43908267329295442</v>
      </c>
      <c r="S1286">
        <v>2025</v>
      </c>
      <c r="T1286" t="s">
        <v>32</v>
      </c>
      <c r="U1286">
        <v>1</v>
      </c>
      <c r="V1286" t="s">
        <v>33</v>
      </c>
    </row>
    <row r="1287" spans="1:22" x14ac:dyDescent="0.3">
      <c r="A1287" t="s">
        <v>2238</v>
      </c>
      <c r="B1287" s="1">
        <v>45668</v>
      </c>
      <c r="C1287" t="s">
        <v>353</v>
      </c>
      <c r="D1287" t="s">
        <v>604</v>
      </c>
      <c r="E1287" t="s">
        <v>25</v>
      </c>
      <c r="F1287" t="s">
        <v>26</v>
      </c>
      <c r="G1287" t="s">
        <v>27</v>
      </c>
      <c r="H1287" t="s">
        <v>43</v>
      </c>
      <c r="I1287" t="s">
        <v>44</v>
      </c>
      <c r="J1287" t="s">
        <v>45</v>
      </c>
      <c r="K1287">
        <v>1</v>
      </c>
      <c r="L1287">
        <v>238.98</v>
      </c>
      <c r="M1287">
        <v>0.2</v>
      </c>
      <c r="N1287">
        <v>191.18</v>
      </c>
      <c r="O1287">
        <v>87.51</v>
      </c>
      <c r="P1287">
        <v>103.67</v>
      </c>
      <c r="Q1287" t="s">
        <v>113</v>
      </c>
      <c r="R1287">
        <v>0.54226383512919762</v>
      </c>
      <c r="S1287">
        <v>2025</v>
      </c>
      <c r="T1287" t="s">
        <v>32</v>
      </c>
      <c r="U1287">
        <v>1</v>
      </c>
      <c r="V1287" t="s">
        <v>33</v>
      </c>
    </row>
    <row r="1288" spans="1:22" x14ac:dyDescent="0.3">
      <c r="A1288" t="s">
        <v>2239</v>
      </c>
      <c r="B1288" s="1">
        <v>45668</v>
      </c>
      <c r="C1288" t="s">
        <v>1265</v>
      </c>
      <c r="D1288" t="s">
        <v>185</v>
      </c>
      <c r="E1288" t="s">
        <v>41</v>
      </c>
      <c r="F1288" t="s">
        <v>42</v>
      </c>
      <c r="G1288" t="s">
        <v>50</v>
      </c>
      <c r="H1288" t="s">
        <v>84</v>
      </c>
      <c r="I1288" t="s">
        <v>85</v>
      </c>
      <c r="J1288" t="s">
        <v>145</v>
      </c>
      <c r="K1288">
        <v>4</v>
      </c>
      <c r="L1288">
        <v>3360.7</v>
      </c>
      <c r="M1288">
        <v>0.05</v>
      </c>
      <c r="N1288">
        <v>12770.66</v>
      </c>
      <c r="O1288">
        <v>7773.97</v>
      </c>
      <c r="P1288">
        <v>4996.6899999999996</v>
      </c>
      <c r="Q1288" t="s">
        <v>31</v>
      </c>
      <c r="R1288">
        <v>0.39126325499230258</v>
      </c>
      <c r="S1288">
        <v>2025</v>
      </c>
      <c r="T1288" t="s">
        <v>32</v>
      </c>
      <c r="U1288">
        <v>1</v>
      </c>
      <c r="V1288" t="s">
        <v>33</v>
      </c>
    </row>
    <row r="1289" spans="1:22" x14ac:dyDescent="0.3">
      <c r="A1289" t="s">
        <v>2240</v>
      </c>
      <c r="B1289" s="1">
        <v>45668</v>
      </c>
      <c r="C1289" t="s">
        <v>1241</v>
      </c>
      <c r="D1289" t="s">
        <v>276</v>
      </c>
      <c r="E1289" t="s">
        <v>61</v>
      </c>
      <c r="F1289" t="s">
        <v>71</v>
      </c>
      <c r="G1289" t="s">
        <v>72</v>
      </c>
      <c r="H1289" t="s">
        <v>84</v>
      </c>
      <c r="I1289" t="s">
        <v>138</v>
      </c>
      <c r="J1289" t="s">
        <v>139</v>
      </c>
      <c r="K1289">
        <v>3</v>
      </c>
      <c r="L1289">
        <v>12845.13</v>
      </c>
      <c r="M1289">
        <v>0</v>
      </c>
      <c r="N1289">
        <v>38535.39</v>
      </c>
      <c r="O1289">
        <v>28623.65</v>
      </c>
      <c r="P1289">
        <v>9911.74</v>
      </c>
      <c r="Q1289" t="s">
        <v>113</v>
      </c>
      <c r="R1289">
        <v>0.25721135818269908</v>
      </c>
      <c r="S1289">
        <v>2025</v>
      </c>
      <c r="T1289" t="s">
        <v>32</v>
      </c>
      <c r="U1289">
        <v>1</v>
      </c>
      <c r="V1289" t="s">
        <v>33</v>
      </c>
    </row>
    <row r="1290" spans="1:22" x14ac:dyDescent="0.3">
      <c r="A1290" t="s">
        <v>2241</v>
      </c>
      <c r="B1290" s="1">
        <v>45669</v>
      </c>
      <c r="C1290" t="s">
        <v>289</v>
      </c>
      <c r="D1290" t="s">
        <v>2187</v>
      </c>
      <c r="E1290" t="s">
        <v>61</v>
      </c>
      <c r="F1290" t="s">
        <v>62</v>
      </c>
      <c r="G1290" t="s">
        <v>228</v>
      </c>
      <c r="H1290" t="s">
        <v>84</v>
      </c>
      <c r="I1290" t="s">
        <v>85</v>
      </c>
      <c r="J1290" t="s">
        <v>145</v>
      </c>
      <c r="K1290">
        <v>2</v>
      </c>
      <c r="L1290">
        <v>3412.29</v>
      </c>
      <c r="M1290">
        <v>0</v>
      </c>
      <c r="N1290">
        <v>6824.58</v>
      </c>
      <c r="O1290">
        <v>3861.22</v>
      </c>
      <c r="P1290">
        <v>2963.36</v>
      </c>
      <c r="Q1290" t="s">
        <v>53</v>
      </c>
      <c r="R1290">
        <v>0.43421866254040542</v>
      </c>
      <c r="S1290">
        <v>2025</v>
      </c>
      <c r="T1290" t="s">
        <v>32</v>
      </c>
      <c r="U1290">
        <v>1</v>
      </c>
      <c r="V1290" t="s">
        <v>33</v>
      </c>
    </row>
    <row r="1291" spans="1:22" x14ac:dyDescent="0.3">
      <c r="A1291" t="s">
        <v>2242</v>
      </c>
      <c r="B1291" s="1">
        <v>45669</v>
      </c>
      <c r="C1291" t="s">
        <v>2243</v>
      </c>
      <c r="D1291" t="s">
        <v>2244</v>
      </c>
      <c r="E1291" t="s">
        <v>120</v>
      </c>
      <c r="F1291" t="s">
        <v>121</v>
      </c>
      <c r="G1291" t="s">
        <v>122</v>
      </c>
      <c r="H1291" t="s">
        <v>43</v>
      </c>
      <c r="I1291" t="s">
        <v>44</v>
      </c>
      <c r="J1291" t="s">
        <v>45</v>
      </c>
      <c r="K1291">
        <v>3</v>
      </c>
      <c r="L1291">
        <v>243.68</v>
      </c>
      <c r="M1291">
        <v>0.05</v>
      </c>
      <c r="N1291">
        <v>694.49</v>
      </c>
      <c r="O1291">
        <v>279.83999999999997</v>
      </c>
      <c r="P1291">
        <v>414.65</v>
      </c>
      <c r="Q1291" t="s">
        <v>113</v>
      </c>
      <c r="R1291">
        <v>0.5970568330717505</v>
      </c>
      <c r="S1291">
        <v>2025</v>
      </c>
      <c r="T1291" t="s">
        <v>32</v>
      </c>
      <c r="U1291">
        <v>1</v>
      </c>
      <c r="V1291" t="s">
        <v>33</v>
      </c>
    </row>
    <row r="1292" spans="1:22" x14ac:dyDescent="0.3">
      <c r="A1292" t="s">
        <v>2245</v>
      </c>
      <c r="B1292" s="1">
        <v>45669</v>
      </c>
      <c r="C1292" t="s">
        <v>866</v>
      </c>
      <c r="D1292" t="s">
        <v>678</v>
      </c>
      <c r="E1292" t="s">
        <v>120</v>
      </c>
      <c r="F1292" t="s">
        <v>121</v>
      </c>
      <c r="G1292" t="s">
        <v>224</v>
      </c>
      <c r="H1292" t="s">
        <v>84</v>
      </c>
      <c r="I1292" t="s">
        <v>138</v>
      </c>
      <c r="J1292" t="s">
        <v>139</v>
      </c>
      <c r="K1292">
        <v>2</v>
      </c>
      <c r="L1292">
        <v>12881.67</v>
      </c>
      <c r="M1292">
        <v>0.15</v>
      </c>
      <c r="N1292">
        <v>21898.84</v>
      </c>
      <c r="O1292">
        <v>18044.259999999998</v>
      </c>
      <c r="P1292">
        <v>3854.58</v>
      </c>
      <c r="Q1292" t="s">
        <v>46</v>
      </c>
      <c r="R1292">
        <v>0.1760175424817022</v>
      </c>
      <c r="S1292">
        <v>2025</v>
      </c>
      <c r="T1292" t="s">
        <v>32</v>
      </c>
      <c r="U1292">
        <v>1</v>
      </c>
      <c r="V1292" t="s">
        <v>33</v>
      </c>
    </row>
    <row r="1293" spans="1:22" x14ac:dyDescent="0.3">
      <c r="A1293" t="s">
        <v>2246</v>
      </c>
      <c r="B1293" s="1">
        <v>45670</v>
      </c>
      <c r="C1293" t="s">
        <v>2247</v>
      </c>
      <c r="D1293" t="s">
        <v>1164</v>
      </c>
      <c r="E1293" t="s">
        <v>61</v>
      </c>
      <c r="F1293" t="s">
        <v>78</v>
      </c>
      <c r="G1293" t="s">
        <v>216</v>
      </c>
      <c r="H1293" t="s">
        <v>28</v>
      </c>
      <c r="I1293" t="s">
        <v>73</v>
      </c>
      <c r="J1293" t="s">
        <v>80</v>
      </c>
      <c r="K1293">
        <v>1</v>
      </c>
      <c r="L1293">
        <v>816.83</v>
      </c>
      <c r="M1293">
        <v>0.1</v>
      </c>
      <c r="N1293">
        <v>735.15</v>
      </c>
      <c r="O1293">
        <v>503.16</v>
      </c>
      <c r="P1293">
        <v>231.99</v>
      </c>
      <c r="Q1293" t="s">
        <v>31</v>
      </c>
      <c r="R1293">
        <v>0.31556825137727001</v>
      </c>
      <c r="S1293">
        <v>2025</v>
      </c>
      <c r="T1293" t="s">
        <v>32</v>
      </c>
      <c r="U1293">
        <v>1</v>
      </c>
      <c r="V1293" t="s">
        <v>33</v>
      </c>
    </row>
    <row r="1294" spans="1:22" x14ac:dyDescent="0.3">
      <c r="A1294" t="s">
        <v>2248</v>
      </c>
      <c r="B1294" s="1">
        <v>45671</v>
      </c>
      <c r="C1294" t="s">
        <v>625</v>
      </c>
      <c r="D1294" t="s">
        <v>1455</v>
      </c>
      <c r="E1294" t="s">
        <v>41</v>
      </c>
      <c r="F1294" t="s">
        <v>42</v>
      </c>
      <c r="G1294" t="s">
        <v>50</v>
      </c>
      <c r="H1294" t="s">
        <v>84</v>
      </c>
      <c r="I1294" t="s">
        <v>138</v>
      </c>
      <c r="J1294" t="s">
        <v>220</v>
      </c>
      <c r="K1294">
        <v>2</v>
      </c>
      <c r="L1294">
        <v>7768.85</v>
      </c>
      <c r="M1294">
        <v>0.1</v>
      </c>
      <c r="N1294">
        <v>13983.93</v>
      </c>
      <c r="O1294">
        <v>9949.59</v>
      </c>
      <c r="P1294">
        <v>4034.34</v>
      </c>
      <c r="Q1294" t="s">
        <v>31</v>
      </c>
      <c r="R1294">
        <v>0.28849829768884711</v>
      </c>
      <c r="S1294">
        <v>2025</v>
      </c>
      <c r="T1294" t="s">
        <v>32</v>
      </c>
      <c r="U1294">
        <v>1</v>
      </c>
      <c r="V1294" t="s">
        <v>33</v>
      </c>
    </row>
    <row r="1295" spans="1:22" x14ac:dyDescent="0.3">
      <c r="A1295" t="s">
        <v>2249</v>
      </c>
      <c r="B1295" s="1">
        <v>45671</v>
      </c>
      <c r="C1295" t="s">
        <v>856</v>
      </c>
      <c r="D1295" t="s">
        <v>1373</v>
      </c>
      <c r="E1295" t="s">
        <v>41</v>
      </c>
      <c r="F1295" t="s">
        <v>42</v>
      </c>
      <c r="G1295" t="s">
        <v>42</v>
      </c>
      <c r="H1295" t="s">
        <v>28</v>
      </c>
      <c r="I1295" t="s">
        <v>91</v>
      </c>
      <c r="J1295" t="s">
        <v>126</v>
      </c>
      <c r="K1295">
        <v>2</v>
      </c>
      <c r="L1295">
        <v>1987.91</v>
      </c>
      <c r="M1295">
        <v>0.1</v>
      </c>
      <c r="N1295">
        <v>3578.24</v>
      </c>
      <c r="O1295">
        <v>2333.11</v>
      </c>
      <c r="P1295">
        <v>1245.1300000000001</v>
      </c>
      <c r="Q1295" t="s">
        <v>31</v>
      </c>
      <c r="R1295">
        <v>0.34797274637810771</v>
      </c>
      <c r="S1295">
        <v>2025</v>
      </c>
      <c r="T1295" t="s">
        <v>32</v>
      </c>
      <c r="U1295">
        <v>1</v>
      </c>
      <c r="V1295" t="s">
        <v>33</v>
      </c>
    </row>
    <row r="1296" spans="1:22" x14ac:dyDescent="0.3">
      <c r="A1296" t="s">
        <v>2250</v>
      </c>
      <c r="B1296" s="1">
        <v>45671</v>
      </c>
      <c r="C1296" t="s">
        <v>2143</v>
      </c>
      <c r="D1296" t="s">
        <v>1413</v>
      </c>
      <c r="E1296" t="s">
        <v>120</v>
      </c>
      <c r="F1296" t="s">
        <v>121</v>
      </c>
      <c r="G1296" t="s">
        <v>224</v>
      </c>
      <c r="H1296" t="s">
        <v>28</v>
      </c>
      <c r="I1296" t="s">
        <v>91</v>
      </c>
      <c r="J1296" t="s">
        <v>126</v>
      </c>
      <c r="K1296">
        <v>3</v>
      </c>
      <c r="L1296">
        <v>1986.51</v>
      </c>
      <c r="M1296">
        <v>0.05</v>
      </c>
      <c r="N1296">
        <v>5661.55</v>
      </c>
      <c r="O1296">
        <v>3374.32</v>
      </c>
      <c r="P1296">
        <v>2287.23</v>
      </c>
      <c r="Q1296" t="s">
        <v>31</v>
      </c>
      <c r="R1296">
        <v>0.40399360599129208</v>
      </c>
      <c r="S1296">
        <v>2025</v>
      </c>
      <c r="T1296" t="s">
        <v>32</v>
      </c>
      <c r="U1296">
        <v>1</v>
      </c>
      <c r="V1296" t="s">
        <v>33</v>
      </c>
    </row>
    <row r="1297" spans="1:22" x14ac:dyDescent="0.3">
      <c r="A1297" t="s">
        <v>2251</v>
      </c>
      <c r="B1297" s="1">
        <v>45672</v>
      </c>
      <c r="C1297" t="s">
        <v>150</v>
      </c>
      <c r="D1297" t="s">
        <v>179</v>
      </c>
      <c r="E1297" t="s">
        <v>61</v>
      </c>
      <c r="F1297" t="s">
        <v>62</v>
      </c>
      <c r="G1297" t="s">
        <v>90</v>
      </c>
      <c r="H1297" t="s">
        <v>64</v>
      </c>
      <c r="I1297" t="s">
        <v>65</v>
      </c>
      <c r="J1297" t="s">
        <v>232</v>
      </c>
      <c r="K1297">
        <v>1</v>
      </c>
      <c r="L1297">
        <v>4035.28</v>
      </c>
      <c r="M1297">
        <v>0.2</v>
      </c>
      <c r="N1297">
        <v>3228.22</v>
      </c>
      <c r="O1297">
        <v>2560.36</v>
      </c>
      <c r="P1297">
        <v>667.86</v>
      </c>
      <c r="Q1297" t="s">
        <v>46</v>
      </c>
      <c r="R1297">
        <v>0.20688181102898809</v>
      </c>
      <c r="S1297">
        <v>2025</v>
      </c>
      <c r="T1297" t="s">
        <v>32</v>
      </c>
      <c r="U1297">
        <v>1</v>
      </c>
      <c r="V1297" t="s">
        <v>33</v>
      </c>
    </row>
    <row r="1298" spans="1:22" x14ac:dyDescent="0.3">
      <c r="A1298" t="s">
        <v>2252</v>
      </c>
      <c r="B1298" s="1">
        <v>45672</v>
      </c>
      <c r="C1298" t="s">
        <v>400</v>
      </c>
      <c r="D1298" t="s">
        <v>1020</v>
      </c>
      <c r="E1298" t="s">
        <v>41</v>
      </c>
      <c r="F1298" t="s">
        <v>42</v>
      </c>
      <c r="G1298" t="s">
        <v>42</v>
      </c>
      <c r="H1298" t="s">
        <v>64</v>
      </c>
      <c r="I1298" t="s">
        <v>65</v>
      </c>
      <c r="J1298" t="s">
        <v>232</v>
      </c>
      <c r="K1298">
        <v>4</v>
      </c>
      <c r="L1298">
        <v>3941.87</v>
      </c>
      <c r="M1298">
        <v>0</v>
      </c>
      <c r="N1298">
        <v>15767.48</v>
      </c>
      <c r="O1298">
        <v>9938.25</v>
      </c>
      <c r="P1298">
        <v>5829.23</v>
      </c>
      <c r="Q1298" t="s">
        <v>31</v>
      </c>
      <c r="R1298">
        <v>0.369699533470155</v>
      </c>
      <c r="S1298">
        <v>2025</v>
      </c>
      <c r="T1298" t="s">
        <v>32</v>
      </c>
      <c r="U1298">
        <v>1</v>
      </c>
      <c r="V1298" t="s">
        <v>33</v>
      </c>
    </row>
    <row r="1299" spans="1:22" x14ac:dyDescent="0.3">
      <c r="A1299" t="s">
        <v>2253</v>
      </c>
      <c r="B1299" s="1">
        <v>45672</v>
      </c>
      <c r="C1299" t="s">
        <v>1920</v>
      </c>
      <c r="D1299" t="s">
        <v>510</v>
      </c>
      <c r="E1299" t="s">
        <v>61</v>
      </c>
      <c r="F1299" t="s">
        <v>78</v>
      </c>
      <c r="G1299" t="s">
        <v>216</v>
      </c>
      <c r="H1299" t="s">
        <v>28</v>
      </c>
      <c r="I1299" t="s">
        <v>91</v>
      </c>
      <c r="J1299" t="s">
        <v>126</v>
      </c>
      <c r="K1299">
        <v>1</v>
      </c>
      <c r="L1299">
        <v>1882.38</v>
      </c>
      <c r="M1299">
        <v>0.15</v>
      </c>
      <c r="N1299">
        <v>1600.02</v>
      </c>
      <c r="O1299">
        <v>1100.68</v>
      </c>
      <c r="P1299">
        <v>499.34</v>
      </c>
      <c r="Q1299" t="s">
        <v>53</v>
      </c>
      <c r="R1299">
        <v>0.31208359895501298</v>
      </c>
      <c r="S1299">
        <v>2025</v>
      </c>
      <c r="T1299" t="s">
        <v>32</v>
      </c>
      <c r="U1299">
        <v>1</v>
      </c>
      <c r="V1299" t="s">
        <v>33</v>
      </c>
    </row>
    <row r="1300" spans="1:22" x14ac:dyDescent="0.3">
      <c r="A1300" t="s">
        <v>2254</v>
      </c>
      <c r="B1300" s="1">
        <v>45672</v>
      </c>
      <c r="C1300" t="s">
        <v>459</v>
      </c>
      <c r="D1300" t="s">
        <v>119</v>
      </c>
      <c r="E1300" t="s">
        <v>120</v>
      </c>
      <c r="F1300" t="s">
        <v>121</v>
      </c>
      <c r="G1300" t="s">
        <v>122</v>
      </c>
      <c r="H1300" t="s">
        <v>84</v>
      </c>
      <c r="I1300" t="s">
        <v>85</v>
      </c>
      <c r="J1300" t="s">
        <v>86</v>
      </c>
      <c r="K1300">
        <v>1</v>
      </c>
      <c r="L1300">
        <v>1723.22</v>
      </c>
      <c r="M1300">
        <v>0.1</v>
      </c>
      <c r="N1300">
        <v>1550.9</v>
      </c>
      <c r="O1300">
        <v>923.52</v>
      </c>
      <c r="P1300">
        <v>627.38</v>
      </c>
      <c r="Q1300" t="s">
        <v>46</v>
      </c>
      <c r="R1300">
        <v>0.40452640402347018</v>
      </c>
      <c r="S1300">
        <v>2025</v>
      </c>
      <c r="T1300" t="s">
        <v>32</v>
      </c>
      <c r="U1300">
        <v>1</v>
      </c>
      <c r="V1300" t="s">
        <v>33</v>
      </c>
    </row>
    <row r="1301" spans="1:22" x14ac:dyDescent="0.3">
      <c r="A1301" t="s">
        <v>2255</v>
      </c>
      <c r="B1301" s="1">
        <v>45673</v>
      </c>
      <c r="C1301" t="s">
        <v>1611</v>
      </c>
      <c r="D1301" t="s">
        <v>385</v>
      </c>
      <c r="E1301" t="s">
        <v>41</v>
      </c>
      <c r="F1301" t="s">
        <v>42</v>
      </c>
      <c r="G1301" t="s">
        <v>42</v>
      </c>
      <c r="H1301" t="s">
        <v>64</v>
      </c>
      <c r="I1301" t="s">
        <v>108</v>
      </c>
      <c r="J1301" t="s">
        <v>155</v>
      </c>
      <c r="K1301">
        <v>1</v>
      </c>
      <c r="L1301">
        <v>8133.39</v>
      </c>
      <c r="M1301">
        <v>0.1</v>
      </c>
      <c r="N1301">
        <v>7320.05</v>
      </c>
      <c r="O1301">
        <v>5357.72</v>
      </c>
      <c r="P1301">
        <v>1962.33</v>
      </c>
      <c r="Q1301" t="s">
        <v>31</v>
      </c>
      <c r="R1301">
        <v>0.26807603773198269</v>
      </c>
      <c r="S1301">
        <v>2025</v>
      </c>
      <c r="T1301" t="s">
        <v>32</v>
      </c>
      <c r="U1301">
        <v>1</v>
      </c>
      <c r="V1301" t="s">
        <v>33</v>
      </c>
    </row>
    <row r="1302" spans="1:22" x14ac:dyDescent="0.3">
      <c r="A1302" t="s">
        <v>2256</v>
      </c>
      <c r="B1302" s="1">
        <v>45673</v>
      </c>
      <c r="C1302" t="s">
        <v>309</v>
      </c>
      <c r="D1302" t="s">
        <v>424</v>
      </c>
      <c r="E1302" t="s">
        <v>25</v>
      </c>
      <c r="F1302" t="s">
        <v>26</v>
      </c>
      <c r="G1302" t="s">
        <v>27</v>
      </c>
      <c r="H1302" t="s">
        <v>43</v>
      </c>
      <c r="I1302" t="s">
        <v>51</v>
      </c>
      <c r="J1302" t="s">
        <v>96</v>
      </c>
      <c r="K1302">
        <v>1</v>
      </c>
      <c r="L1302">
        <v>481.45</v>
      </c>
      <c r="M1302">
        <v>0</v>
      </c>
      <c r="N1302">
        <v>481.45</v>
      </c>
      <c r="O1302">
        <v>215.31</v>
      </c>
      <c r="P1302">
        <v>266.14</v>
      </c>
      <c r="Q1302" t="s">
        <v>113</v>
      </c>
      <c r="R1302">
        <v>0.55278845155260148</v>
      </c>
      <c r="S1302">
        <v>2025</v>
      </c>
      <c r="T1302" t="s">
        <v>32</v>
      </c>
      <c r="U1302">
        <v>1</v>
      </c>
      <c r="V1302" t="s">
        <v>33</v>
      </c>
    </row>
    <row r="1303" spans="1:22" x14ac:dyDescent="0.3">
      <c r="A1303" t="s">
        <v>2257</v>
      </c>
      <c r="B1303" s="1">
        <v>45673</v>
      </c>
      <c r="C1303" t="s">
        <v>264</v>
      </c>
      <c r="D1303" t="s">
        <v>112</v>
      </c>
      <c r="E1303" t="s">
        <v>61</v>
      </c>
      <c r="F1303" t="s">
        <v>62</v>
      </c>
      <c r="G1303" t="s">
        <v>63</v>
      </c>
      <c r="H1303" t="s">
        <v>43</v>
      </c>
      <c r="I1303" t="s">
        <v>51</v>
      </c>
      <c r="J1303" t="s">
        <v>96</v>
      </c>
      <c r="K1303">
        <v>6</v>
      </c>
      <c r="L1303">
        <v>515.99</v>
      </c>
      <c r="M1303">
        <v>0.1</v>
      </c>
      <c r="N1303">
        <v>2786.35</v>
      </c>
      <c r="O1303">
        <v>1410.79</v>
      </c>
      <c r="P1303">
        <v>1375.56</v>
      </c>
      <c r="Q1303" t="s">
        <v>46</v>
      </c>
      <c r="R1303">
        <v>0.49367810935453188</v>
      </c>
      <c r="S1303">
        <v>2025</v>
      </c>
      <c r="T1303" t="s">
        <v>32</v>
      </c>
      <c r="U1303">
        <v>1</v>
      </c>
      <c r="V1303" t="s">
        <v>33</v>
      </c>
    </row>
    <row r="1304" spans="1:22" x14ac:dyDescent="0.3">
      <c r="A1304" t="s">
        <v>2258</v>
      </c>
      <c r="B1304" s="1">
        <v>45673</v>
      </c>
      <c r="C1304" t="s">
        <v>913</v>
      </c>
      <c r="D1304" t="s">
        <v>626</v>
      </c>
      <c r="E1304" t="s">
        <v>25</v>
      </c>
      <c r="F1304" t="s">
        <v>26</v>
      </c>
      <c r="G1304" t="s">
        <v>37</v>
      </c>
      <c r="H1304" t="s">
        <v>43</v>
      </c>
      <c r="I1304" t="s">
        <v>44</v>
      </c>
      <c r="J1304" t="s">
        <v>248</v>
      </c>
      <c r="K1304">
        <v>1</v>
      </c>
      <c r="L1304">
        <v>283.27</v>
      </c>
      <c r="M1304">
        <v>0.15</v>
      </c>
      <c r="N1304">
        <v>240.78</v>
      </c>
      <c r="O1304">
        <v>118.64</v>
      </c>
      <c r="P1304">
        <v>122.14</v>
      </c>
      <c r="Q1304" t="s">
        <v>31</v>
      </c>
      <c r="R1304">
        <v>0.50726804551873084</v>
      </c>
      <c r="S1304">
        <v>2025</v>
      </c>
      <c r="T1304" t="s">
        <v>32</v>
      </c>
      <c r="U1304">
        <v>1</v>
      </c>
      <c r="V1304" t="s">
        <v>33</v>
      </c>
    </row>
    <row r="1305" spans="1:22" x14ac:dyDescent="0.3">
      <c r="A1305" t="s">
        <v>2259</v>
      </c>
      <c r="B1305" s="1">
        <v>45673</v>
      </c>
      <c r="C1305" t="s">
        <v>2260</v>
      </c>
      <c r="D1305" t="s">
        <v>276</v>
      </c>
      <c r="E1305" t="s">
        <v>120</v>
      </c>
      <c r="F1305" t="s">
        <v>121</v>
      </c>
      <c r="G1305" t="s">
        <v>130</v>
      </c>
      <c r="H1305" t="s">
        <v>28</v>
      </c>
      <c r="I1305" t="s">
        <v>29</v>
      </c>
      <c r="J1305" t="s">
        <v>57</v>
      </c>
      <c r="K1305">
        <v>3</v>
      </c>
      <c r="L1305">
        <v>16485.080000000002</v>
      </c>
      <c r="M1305">
        <v>0.1</v>
      </c>
      <c r="N1305">
        <v>44509.72</v>
      </c>
      <c r="O1305">
        <v>36768.11</v>
      </c>
      <c r="P1305">
        <v>7741.61</v>
      </c>
      <c r="Q1305" t="s">
        <v>53</v>
      </c>
      <c r="R1305">
        <v>0.17393077287388009</v>
      </c>
      <c r="S1305">
        <v>2025</v>
      </c>
      <c r="T1305" t="s">
        <v>32</v>
      </c>
      <c r="U1305">
        <v>1</v>
      </c>
      <c r="V1305" t="s">
        <v>33</v>
      </c>
    </row>
    <row r="1306" spans="1:22" x14ac:dyDescent="0.3">
      <c r="A1306" t="s">
        <v>2261</v>
      </c>
      <c r="B1306" s="1">
        <v>45673</v>
      </c>
      <c r="C1306" t="s">
        <v>208</v>
      </c>
      <c r="D1306" t="s">
        <v>571</v>
      </c>
      <c r="E1306" t="s">
        <v>41</v>
      </c>
      <c r="F1306" t="s">
        <v>42</v>
      </c>
      <c r="G1306" t="s">
        <v>50</v>
      </c>
      <c r="H1306" t="s">
        <v>28</v>
      </c>
      <c r="I1306" t="s">
        <v>73</v>
      </c>
      <c r="J1306" t="s">
        <v>80</v>
      </c>
      <c r="K1306">
        <v>2</v>
      </c>
      <c r="L1306">
        <v>838.29</v>
      </c>
      <c r="M1306">
        <v>0</v>
      </c>
      <c r="N1306">
        <v>1676.58</v>
      </c>
      <c r="O1306">
        <v>1051.27</v>
      </c>
      <c r="P1306">
        <v>625.30999999999995</v>
      </c>
      <c r="Q1306" t="s">
        <v>46</v>
      </c>
      <c r="R1306">
        <v>0.3729675887819251</v>
      </c>
      <c r="S1306">
        <v>2025</v>
      </c>
      <c r="T1306" t="s">
        <v>32</v>
      </c>
      <c r="U1306">
        <v>1</v>
      </c>
      <c r="V1306" t="s">
        <v>33</v>
      </c>
    </row>
    <row r="1307" spans="1:22" x14ac:dyDescent="0.3">
      <c r="A1307" t="s">
        <v>2262</v>
      </c>
      <c r="B1307" s="1">
        <v>45674</v>
      </c>
      <c r="C1307" t="s">
        <v>2215</v>
      </c>
      <c r="D1307" t="s">
        <v>1307</v>
      </c>
      <c r="E1307" t="s">
        <v>41</v>
      </c>
      <c r="F1307" t="s">
        <v>42</v>
      </c>
      <c r="G1307" t="s">
        <v>42</v>
      </c>
      <c r="H1307" t="s">
        <v>43</v>
      </c>
      <c r="I1307" t="s">
        <v>44</v>
      </c>
      <c r="J1307" t="s">
        <v>248</v>
      </c>
      <c r="K1307">
        <v>4</v>
      </c>
      <c r="L1307">
        <v>292.63</v>
      </c>
      <c r="M1307">
        <v>0.2</v>
      </c>
      <c r="N1307">
        <v>936.42</v>
      </c>
      <c r="O1307">
        <v>507.43</v>
      </c>
      <c r="P1307">
        <v>428.99</v>
      </c>
      <c r="Q1307" t="s">
        <v>31</v>
      </c>
      <c r="R1307">
        <v>0.45811708421434832</v>
      </c>
      <c r="S1307">
        <v>2025</v>
      </c>
      <c r="T1307" t="s">
        <v>32</v>
      </c>
      <c r="U1307">
        <v>1</v>
      </c>
      <c r="V1307" t="s">
        <v>33</v>
      </c>
    </row>
    <row r="1308" spans="1:22" x14ac:dyDescent="0.3">
      <c r="A1308" t="s">
        <v>2263</v>
      </c>
      <c r="B1308" s="1">
        <v>45674</v>
      </c>
      <c r="C1308" t="s">
        <v>153</v>
      </c>
      <c r="D1308" t="s">
        <v>1503</v>
      </c>
      <c r="E1308" t="s">
        <v>61</v>
      </c>
      <c r="F1308" t="s">
        <v>78</v>
      </c>
      <c r="G1308" t="s">
        <v>104</v>
      </c>
      <c r="H1308" t="s">
        <v>28</v>
      </c>
      <c r="I1308" t="s">
        <v>29</v>
      </c>
      <c r="J1308" t="s">
        <v>57</v>
      </c>
      <c r="K1308">
        <v>1</v>
      </c>
      <c r="L1308">
        <v>16297.82</v>
      </c>
      <c r="M1308">
        <v>0</v>
      </c>
      <c r="N1308">
        <v>16297.82</v>
      </c>
      <c r="O1308">
        <v>11962.44</v>
      </c>
      <c r="P1308">
        <v>4335.38</v>
      </c>
      <c r="Q1308" t="s">
        <v>31</v>
      </c>
      <c r="R1308">
        <v>0.26600980990095607</v>
      </c>
      <c r="S1308">
        <v>2025</v>
      </c>
      <c r="T1308" t="s">
        <v>32</v>
      </c>
      <c r="U1308">
        <v>1</v>
      </c>
      <c r="V1308" t="s">
        <v>33</v>
      </c>
    </row>
    <row r="1309" spans="1:22" x14ac:dyDescent="0.3">
      <c r="A1309" t="s">
        <v>2264</v>
      </c>
      <c r="B1309" s="1">
        <v>45674</v>
      </c>
      <c r="C1309" t="s">
        <v>1769</v>
      </c>
      <c r="D1309" t="s">
        <v>649</v>
      </c>
      <c r="E1309" t="s">
        <v>61</v>
      </c>
      <c r="F1309" t="s">
        <v>78</v>
      </c>
      <c r="G1309" t="s">
        <v>104</v>
      </c>
      <c r="H1309" t="s">
        <v>64</v>
      </c>
      <c r="I1309" t="s">
        <v>108</v>
      </c>
      <c r="J1309" t="s">
        <v>109</v>
      </c>
      <c r="K1309">
        <v>6</v>
      </c>
      <c r="L1309">
        <v>6814.67</v>
      </c>
      <c r="M1309">
        <v>0.05</v>
      </c>
      <c r="N1309">
        <v>38843.620000000003</v>
      </c>
      <c r="O1309">
        <v>26047.13</v>
      </c>
      <c r="P1309">
        <v>12796.49</v>
      </c>
      <c r="Q1309" t="s">
        <v>53</v>
      </c>
      <c r="R1309">
        <v>0.3294360824248615</v>
      </c>
      <c r="S1309">
        <v>2025</v>
      </c>
      <c r="T1309" t="s">
        <v>32</v>
      </c>
      <c r="U1309">
        <v>1</v>
      </c>
      <c r="V1309" t="s">
        <v>33</v>
      </c>
    </row>
    <row r="1310" spans="1:22" x14ac:dyDescent="0.3">
      <c r="A1310" t="s">
        <v>2265</v>
      </c>
      <c r="B1310" s="1">
        <v>45674</v>
      </c>
      <c r="C1310" t="s">
        <v>561</v>
      </c>
      <c r="D1310" t="s">
        <v>462</v>
      </c>
      <c r="E1310" t="s">
        <v>61</v>
      </c>
      <c r="F1310" t="s">
        <v>62</v>
      </c>
      <c r="G1310" t="s">
        <v>63</v>
      </c>
      <c r="H1310" t="s">
        <v>84</v>
      </c>
      <c r="I1310" t="s">
        <v>85</v>
      </c>
      <c r="J1310" t="s">
        <v>86</v>
      </c>
      <c r="K1310">
        <v>6</v>
      </c>
      <c r="L1310">
        <v>1903.96</v>
      </c>
      <c r="M1310">
        <v>0.1</v>
      </c>
      <c r="N1310">
        <v>10281.379999999999</v>
      </c>
      <c r="O1310">
        <v>6014.04</v>
      </c>
      <c r="P1310">
        <v>4267.34</v>
      </c>
      <c r="Q1310" t="s">
        <v>46</v>
      </c>
      <c r="R1310">
        <v>0.4150551774178175</v>
      </c>
      <c r="S1310">
        <v>2025</v>
      </c>
      <c r="T1310" t="s">
        <v>32</v>
      </c>
      <c r="U1310">
        <v>1</v>
      </c>
      <c r="V1310" t="s">
        <v>33</v>
      </c>
    </row>
    <row r="1311" spans="1:22" x14ac:dyDescent="0.3">
      <c r="A1311" t="s">
        <v>2266</v>
      </c>
      <c r="B1311" s="1">
        <v>45674</v>
      </c>
      <c r="C1311" t="s">
        <v>830</v>
      </c>
      <c r="D1311" t="s">
        <v>170</v>
      </c>
      <c r="E1311" t="s">
        <v>120</v>
      </c>
      <c r="F1311" t="s">
        <v>121</v>
      </c>
      <c r="G1311" t="s">
        <v>130</v>
      </c>
      <c r="H1311" t="s">
        <v>43</v>
      </c>
      <c r="I1311" t="s">
        <v>51</v>
      </c>
      <c r="J1311" t="s">
        <v>96</v>
      </c>
      <c r="K1311">
        <v>1</v>
      </c>
      <c r="L1311">
        <v>491.91</v>
      </c>
      <c r="M1311">
        <v>0.2</v>
      </c>
      <c r="N1311">
        <v>393.53</v>
      </c>
      <c r="O1311">
        <v>212.99</v>
      </c>
      <c r="P1311">
        <v>180.54</v>
      </c>
      <c r="Q1311" t="s">
        <v>67</v>
      </c>
      <c r="R1311">
        <v>0.45877061469265368</v>
      </c>
      <c r="S1311">
        <v>2025</v>
      </c>
      <c r="T1311" t="s">
        <v>32</v>
      </c>
      <c r="U1311">
        <v>1</v>
      </c>
      <c r="V1311" t="s">
        <v>33</v>
      </c>
    </row>
    <row r="1312" spans="1:22" x14ac:dyDescent="0.3">
      <c r="A1312" t="s">
        <v>2267</v>
      </c>
      <c r="B1312" s="1">
        <v>45675</v>
      </c>
      <c r="C1312" t="s">
        <v>692</v>
      </c>
      <c r="D1312" t="s">
        <v>244</v>
      </c>
      <c r="E1312" t="s">
        <v>61</v>
      </c>
      <c r="F1312" t="s">
        <v>78</v>
      </c>
      <c r="G1312" t="s">
        <v>216</v>
      </c>
      <c r="H1312" t="s">
        <v>43</v>
      </c>
      <c r="I1312" t="s">
        <v>44</v>
      </c>
      <c r="J1312" t="s">
        <v>45</v>
      </c>
      <c r="K1312">
        <v>1</v>
      </c>
      <c r="L1312">
        <v>256.39999999999998</v>
      </c>
      <c r="M1312">
        <v>0.1</v>
      </c>
      <c r="N1312">
        <v>230.76</v>
      </c>
      <c r="O1312">
        <v>100.15</v>
      </c>
      <c r="P1312">
        <v>130.61000000000001</v>
      </c>
      <c r="Q1312" t="s">
        <v>46</v>
      </c>
      <c r="R1312">
        <v>0.56599930663893228</v>
      </c>
      <c r="S1312">
        <v>2025</v>
      </c>
      <c r="T1312" t="s">
        <v>32</v>
      </c>
      <c r="U1312">
        <v>1</v>
      </c>
      <c r="V1312" t="s">
        <v>33</v>
      </c>
    </row>
    <row r="1313" spans="1:22" x14ac:dyDescent="0.3">
      <c r="A1313" t="s">
        <v>2268</v>
      </c>
      <c r="B1313" s="1">
        <v>45675</v>
      </c>
      <c r="C1313" t="s">
        <v>797</v>
      </c>
      <c r="D1313" t="s">
        <v>1289</v>
      </c>
      <c r="E1313" t="s">
        <v>61</v>
      </c>
      <c r="F1313" t="s">
        <v>78</v>
      </c>
      <c r="G1313" t="s">
        <v>216</v>
      </c>
      <c r="H1313" t="s">
        <v>84</v>
      </c>
      <c r="I1313" t="s">
        <v>85</v>
      </c>
      <c r="J1313" t="s">
        <v>145</v>
      </c>
      <c r="K1313">
        <v>3</v>
      </c>
      <c r="L1313">
        <v>3455.66</v>
      </c>
      <c r="M1313">
        <v>0</v>
      </c>
      <c r="N1313">
        <v>10366.98</v>
      </c>
      <c r="O1313">
        <v>5762.68</v>
      </c>
      <c r="P1313">
        <v>4604.3</v>
      </c>
      <c r="Q1313" t="s">
        <v>31</v>
      </c>
      <c r="R1313">
        <v>0.44413127063040542</v>
      </c>
      <c r="S1313">
        <v>2025</v>
      </c>
      <c r="T1313" t="s">
        <v>32</v>
      </c>
      <c r="U1313">
        <v>1</v>
      </c>
      <c r="V1313" t="s">
        <v>33</v>
      </c>
    </row>
    <row r="1314" spans="1:22" x14ac:dyDescent="0.3">
      <c r="A1314" t="s">
        <v>2269</v>
      </c>
      <c r="B1314" s="1">
        <v>45675</v>
      </c>
      <c r="C1314" t="s">
        <v>2082</v>
      </c>
      <c r="D1314" t="s">
        <v>1338</v>
      </c>
      <c r="E1314" t="s">
        <v>25</v>
      </c>
      <c r="F1314" t="s">
        <v>26</v>
      </c>
      <c r="G1314" t="s">
        <v>260</v>
      </c>
      <c r="H1314" t="s">
        <v>64</v>
      </c>
      <c r="I1314" t="s">
        <v>108</v>
      </c>
      <c r="J1314" t="s">
        <v>109</v>
      </c>
      <c r="K1314">
        <v>2</v>
      </c>
      <c r="L1314">
        <v>7091.8</v>
      </c>
      <c r="M1314">
        <v>0.1</v>
      </c>
      <c r="N1314">
        <v>12765.24</v>
      </c>
      <c r="O1314">
        <v>9070.23</v>
      </c>
      <c r="P1314">
        <v>3695.01</v>
      </c>
      <c r="Q1314" t="s">
        <v>46</v>
      </c>
      <c r="R1314">
        <v>0.28945871757992803</v>
      </c>
      <c r="S1314">
        <v>2025</v>
      </c>
      <c r="T1314" t="s">
        <v>32</v>
      </c>
      <c r="U1314">
        <v>1</v>
      </c>
      <c r="V1314" t="s">
        <v>33</v>
      </c>
    </row>
    <row r="1315" spans="1:22" x14ac:dyDescent="0.3">
      <c r="A1315" t="s">
        <v>2270</v>
      </c>
      <c r="B1315" s="1">
        <v>45675</v>
      </c>
      <c r="C1315" t="s">
        <v>593</v>
      </c>
      <c r="D1315" t="s">
        <v>1230</v>
      </c>
      <c r="E1315" t="s">
        <v>61</v>
      </c>
      <c r="F1315" t="s">
        <v>71</v>
      </c>
      <c r="G1315" t="s">
        <v>100</v>
      </c>
      <c r="H1315" t="s">
        <v>28</v>
      </c>
      <c r="I1315" t="s">
        <v>29</v>
      </c>
      <c r="J1315" t="s">
        <v>30</v>
      </c>
      <c r="K1315">
        <v>4</v>
      </c>
      <c r="L1315">
        <v>60668.95</v>
      </c>
      <c r="M1315">
        <v>0.15</v>
      </c>
      <c r="N1315">
        <v>206274.43</v>
      </c>
      <c r="O1315">
        <v>208680.14</v>
      </c>
      <c r="P1315">
        <v>-2405.71</v>
      </c>
      <c r="Q1315" t="s">
        <v>31</v>
      </c>
      <c r="R1315">
        <v>-1.166266705960598E-2</v>
      </c>
      <c r="S1315">
        <v>2025</v>
      </c>
      <c r="T1315" t="s">
        <v>32</v>
      </c>
      <c r="U1315">
        <v>1</v>
      </c>
      <c r="V1315" t="s">
        <v>33</v>
      </c>
    </row>
    <row r="1316" spans="1:22" x14ac:dyDescent="0.3">
      <c r="A1316" t="s">
        <v>2271</v>
      </c>
      <c r="B1316" s="1">
        <v>45675</v>
      </c>
      <c r="C1316" t="s">
        <v>2024</v>
      </c>
      <c r="D1316" t="s">
        <v>398</v>
      </c>
      <c r="E1316" t="s">
        <v>61</v>
      </c>
      <c r="F1316" t="s">
        <v>62</v>
      </c>
      <c r="G1316" t="s">
        <v>228</v>
      </c>
      <c r="H1316" t="s">
        <v>28</v>
      </c>
      <c r="I1316" t="s">
        <v>29</v>
      </c>
      <c r="J1316" t="s">
        <v>30</v>
      </c>
      <c r="K1316">
        <v>1</v>
      </c>
      <c r="L1316">
        <v>59836.82</v>
      </c>
      <c r="M1316">
        <v>0.1</v>
      </c>
      <c r="N1316">
        <v>53853.14</v>
      </c>
      <c r="O1316">
        <v>53080.639999999999</v>
      </c>
      <c r="P1316">
        <v>772.5</v>
      </c>
      <c r="Q1316" t="s">
        <v>31</v>
      </c>
      <c r="R1316">
        <v>1.434456746626102E-2</v>
      </c>
      <c r="S1316">
        <v>2025</v>
      </c>
      <c r="T1316" t="s">
        <v>32</v>
      </c>
      <c r="U1316">
        <v>1</v>
      </c>
      <c r="V1316" t="s">
        <v>33</v>
      </c>
    </row>
    <row r="1317" spans="1:22" x14ac:dyDescent="0.3">
      <c r="A1317" t="s">
        <v>2272</v>
      </c>
      <c r="B1317" s="1">
        <v>45676</v>
      </c>
      <c r="C1317" t="s">
        <v>546</v>
      </c>
      <c r="D1317" t="s">
        <v>1118</v>
      </c>
      <c r="E1317" t="s">
        <v>61</v>
      </c>
      <c r="F1317" t="s">
        <v>78</v>
      </c>
      <c r="G1317" t="s">
        <v>216</v>
      </c>
      <c r="H1317" t="s">
        <v>28</v>
      </c>
      <c r="I1317" t="s">
        <v>73</v>
      </c>
      <c r="J1317" t="s">
        <v>74</v>
      </c>
      <c r="K1317">
        <v>2</v>
      </c>
      <c r="L1317">
        <v>2506.13</v>
      </c>
      <c r="M1317">
        <v>0.05</v>
      </c>
      <c r="N1317">
        <v>4761.6499999999996</v>
      </c>
      <c r="O1317">
        <v>2708.28</v>
      </c>
      <c r="P1317">
        <v>2053.37</v>
      </c>
      <c r="Q1317" t="s">
        <v>46</v>
      </c>
      <c r="R1317">
        <v>0.43123077084624029</v>
      </c>
      <c r="S1317">
        <v>2025</v>
      </c>
      <c r="T1317" t="s">
        <v>32</v>
      </c>
      <c r="U1317">
        <v>1</v>
      </c>
      <c r="V1317" t="s">
        <v>33</v>
      </c>
    </row>
    <row r="1318" spans="1:22" x14ac:dyDescent="0.3">
      <c r="A1318" t="s">
        <v>2273</v>
      </c>
      <c r="B1318" s="1">
        <v>45676</v>
      </c>
      <c r="C1318" t="s">
        <v>400</v>
      </c>
      <c r="D1318" t="s">
        <v>446</v>
      </c>
      <c r="E1318" t="s">
        <v>120</v>
      </c>
      <c r="F1318" t="s">
        <v>121</v>
      </c>
      <c r="G1318" t="s">
        <v>122</v>
      </c>
      <c r="H1318" t="s">
        <v>28</v>
      </c>
      <c r="I1318" t="s">
        <v>29</v>
      </c>
      <c r="J1318" t="s">
        <v>30</v>
      </c>
      <c r="K1318">
        <v>1</v>
      </c>
      <c r="L1318">
        <v>57061.93</v>
      </c>
      <c r="M1318">
        <v>0.15</v>
      </c>
      <c r="N1318">
        <v>48502.64</v>
      </c>
      <c r="O1318">
        <v>50227.27</v>
      </c>
      <c r="P1318">
        <v>-1724.63</v>
      </c>
      <c r="Q1318" t="s">
        <v>53</v>
      </c>
      <c r="R1318">
        <v>-3.555744594521041E-2</v>
      </c>
      <c r="S1318">
        <v>2025</v>
      </c>
      <c r="T1318" t="s">
        <v>32</v>
      </c>
      <c r="U1318">
        <v>1</v>
      </c>
      <c r="V1318" t="s">
        <v>33</v>
      </c>
    </row>
    <row r="1319" spans="1:22" x14ac:dyDescent="0.3">
      <c r="A1319" t="s">
        <v>2274</v>
      </c>
      <c r="B1319" s="1">
        <v>45677</v>
      </c>
      <c r="C1319" t="s">
        <v>1388</v>
      </c>
      <c r="D1319" t="s">
        <v>798</v>
      </c>
      <c r="E1319" t="s">
        <v>61</v>
      </c>
      <c r="F1319" t="s">
        <v>71</v>
      </c>
      <c r="G1319" t="s">
        <v>317</v>
      </c>
      <c r="H1319" t="s">
        <v>28</v>
      </c>
      <c r="I1319" t="s">
        <v>73</v>
      </c>
      <c r="J1319" t="s">
        <v>80</v>
      </c>
      <c r="K1319">
        <v>3</v>
      </c>
      <c r="L1319">
        <v>798.46</v>
      </c>
      <c r="M1319">
        <v>0.05</v>
      </c>
      <c r="N1319">
        <v>2275.61</v>
      </c>
      <c r="O1319">
        <v>1461.1</v>
      </c>
      <c r="P1319">
        <v>814.51</v>
      </c>
      <c r="Q1319" t="s">
        <v>67</v>
      </c>
      <c r="R1319">
        <v>0.35793040107927099</v>
      </c>
      <c r="S1319">
        <v>2025</v>
      </c>
      <c r="T1319" t="s">
        <v>32</v>
      </c>
      <c r="U1319">
        <v>1</v>
      </c>
      <c r="V1319" t="s">
        <v>33</v>
      </c>
    </row>
    <row r="1320" spans="1:22" x14ac:dyDescent="0.3">
      <c r="A1320" t="s">
        <v>2275</v>
      </c>
      <c r="B1320" s="1">
        <v>45677</v>
      </c>
      <c r="C1320" t="s">
        <v>1848</v>
      </c>
      <c r="D1320" t="s">
        <v>89</v>
      </c>
      <c r="E1320" t="s">
        <v>25</v>
      </c>
      <c r="F1320" t="s">
        <v>26</v>
      </c>
      <c r="G1320" t="s">
        <v>171</v>
      </c>
      <c r="H1320" t="s">
        <v>84</v>
      </c>
      <c r="I1320" t="s">
        <v>85</v>
      </c>
      <c r="J1320" t="s">
        <v>86</v>
      </c>
      <c r="K1320">
        <v>1</v>
      </c>
      <c r="L1320">
        <v>1826.19</v>
      </c>
      <c r="M1320">
        <v>0.05</v>
      </c>
      <c r="N1320">
        <v>1734.88</v>
      </c>
      <c r="O1320">
        <v>1023.48</v>
      </c>
      <c r="P1320">
        <v>711.4</v>
      </c>
      <c r="Q1320" t="s">
        <v>46</v>
      </c>
      <c r="R1320">
        <v>0.41005717974730238</v>
      </c>
      <c r="S1320">
        <v>2025</v>
      </c>
      <c r="T1320" t="s">
        <v>32</v>
      </c>
      <c r="U1320">
        <v>1</v>
      </c>
      <c r="V1320" t="s">
        <v>33</v>
      </c>
    </row>
    <row r="1321" spans="1:22" x14ac:dyDescent="0.3">
      <c r="A1321" t="s">
        <v>2276</v>
      </c>
      <c r="B1321" s="1">
        <v>45677</v>
      </c>
      <c r="C1321" t="s">
        <v>487</v>
      </c>
      <c r="D1321" t="s">
        <v>820</v>
      </c>
      <c r="E1321" t="s">
        <v>61</v>
      </c>
      <c r="F1321" t="s">
        <v>62</v>
      </c>
      <c r="G1321" t="s">
        <v>134</v>
      </c>
      <c r="H1321" t="s">
        <v>64</v>
      </c>
      <c r="I1321" t="s">
        <v>108</v>
      </c>
      <c r="J1321" t="s">
        <v>155</v>
      </c>
      <c r="K1321">
        <v>1</v>
      </c>
      <c r="L1321">
        <v>8041.96</v>
      </c>
      <c r="M1321">
        <v>0.15</v>
      </c>
      <c r="N1321">
        <v>6835.67</v>
      </c>
      <c r="O1321">
        <v>5543.91</v>
      </c>
      <c r="P1321">
        <v>1291.76</v>
      </c>
      <c r="Q1321" t="s">
        <v>113</v>
      </c>
      <c r="R1321">
        <v>0.18897342908595649</v>
      </c>
      <c r="S1321">
        <v>2025</v>
      </c>
      <c r="T1321" t="s">
        <v>32</v>
      </c>
      <c r="U1321">
        <v>1</v>
      </c>
      <c r="V1321" t="s">
        <v>33</v>
      </c>
    </row>
    <row r="1322" spans="1:22" x14ac:dyDescent="0.3">
      <c r="A1322" t="s">
        <v>2277</v>
      </c>
      <c r="B1322" s="1">
        <v>45678</v>
      </c>
      <c r="C1322" t="s">
        <v>485</v>
      </c>
      <c r="D1322" t="s">
        <v>406</v>
      </c>
      <c r="E1322" t="s">
        <v>25</v>
      </c>
      <c r="F1322" t="s">
        <v>26</v>
      </c>
      <c r="G1322" t="s">
        <v>37</v>
      </c>
      <c r="H1322" t="s">
        <v>28</v>
      </c>
      <c r="I1322" t="s">
        <v>29</v>
      </c>
      <c r="J1322" t="s">
        <v>57</v>
      </c>
      <c r="K1322">
        <v>1</v>
      </c>
      <c r="L1322">
        <v>16375.38</v>
      </c>
      <c r="M1322">
        <v>0.05</v>
      </c>
      <c r="N1322">
        <v>15556.61</v>
      </c>
      <c r="O1322">
        <v>12042.92</v>
      </c>
      <c r="P1322">
        <v>3513.69</v>
      </c>
      <c r="Q1322" t="s">
        <v>113</v>
      </c>
      <c r="R1322">
        <v>0.22586476102441341</v>
      </c>
      <c r="S1322">
        <v>2025</v>
      </c>
      <c r="T1322" t="s">
        <v>32</v>
      </c>
      <c r="U1322">
        <v>1</v>
      </c>
      <c r="V1322" t="s">
        <v>33</v>
      </c>
    </row>
    <row r="1323" spans="1:22" x14ac:dyDescent="0.3">
      <c r="A1323" t="s">
        <v>2278</v>
      </c>
      <c r="B1323" s="1">
        <v>45679</v>
      </c>
      <c r="C1323" t="s">
        <v>1679</v>
      </c>
      <c r="D1323" t="s">
        <v>1503</v>
      </c>
      <c r="E1323" t="s">
        <v>41</v>
      </c>
      <c r="F1323" t="s">
        <v>42</v>
      </c>
      <c r="G1323" t="s">
        <v>50</v>
      </c>
      <c r="H1323" t="s">
        <v>84</v>
      </c>
      <c r="I1323" t="s">
        <v>138</v>
      </c>
      <c r="J1323" t="s">
        <v>220</v>
      </c>
      <c r="K1323">
        <v>1</v>
      </c>
      <c r="L1323">
        <v>7107.56</v>
      </c>
      <c r="M1323">
        <v>0.05</v>
      </c>
      <c r="N1323">
        <v>6752.18</v>
      </c>
      <c r="O1323">
        <v>4672.62</v>
      </c>
      <c r="P1323">
        <v>2079.56</v>
      </c>
      <c r="Q1323" t="s">
        <v>113</v>
      </c>
      <c r="R1323">
        <v>0.30798349570064781</v>
      </c>
      <c r="S1323">
        <v>2025</v>
      </c>
      <c r="T1323" t="s">
        <v>32</v>
      </c>
      <c r="U1323">
        <v>1</v>
      </c>
      <c r="V1323" t="s">
        <v>33</v>
      </c>
    </row>
    <row r="1324" spans="1:22" x14ac:dyDescent="0.3">
      <c r="A1324" t="s">
        <v>2279</v>
      </c>
      <c r="B1324" s="1">
        <v>45679</v>
      </c>
      <c r="C1324" t="s">
        <v>1402</v>
      </c>
      <c r="D1324" t="s">
        <v>2187</v>
      </c>
      <c r="E1324" t="s">
        <v>61</v>
      </c>
      <c r="F1324" t="s">
        <v>62</v>
      </c>
      <c r="G1324" t="s">
        <v>228</v>
      </c>
      <c r="H1324" t="s">
        <v>28</v>
      </c>
      <c r="I1324" t="s">
        <v>91</v>
      </c>
      <c r="J1324" t="s">
        <v>126</v>
      </c>
      <c r="K1324">
        <v>3</v>
      </c>
      <c r="L1324">
        <v>2067.6999999999998</v>
      </c>
      <c r="M1324">
        <v>0.1</v>
      </c>
      <c r="N1324">
        <v>5582.79</v>
      </c>
      <c r="O1324">
        <v>3618.43</v>
      </c>
      <c r="P1324">
        <v>1964.36</v>
      </c>
      <c r="Q1324" t="s">
        <v>113</v>
      </c>
      <c r="R1324">
        <v>0.35185991233773789</v>
      </c>
      <c r="S1324">
        <v>2025</v>
      </c>
      <c r="T1324" t="s">
        <v>32</v>
      </c>
      <c r="U1324">
        <v>1</v>
      </c>
      <c r="V1324" t="s">
        <v>33</v>
      </c>
    </row>
    <row r="1325" spans="1:22" x14ac:dyDescent="0.3">
      <c r="A1325" t="s">
        <v>2280</v>
      </c>
      <c r="B1325" s="1">
        <v>45679</v>
      </c>
      <c r="C1325" t="s">
        <v>836</v>
      </c>
      <c r="D1325" t="s">
        <v>354</v>
      </c>
      <c r="E1325" t="s">
        <v>120</v>
      </c>
      <c r="F1325" t="s">
        <v>121</v>
      </c>
      <c r="G1325" t="s">
        <v>130</v>
      </c>
      <c r="H1325" t="s">
        <v>28</v>
      </c>
      <c r="I1325" t="s">
        <v>29</v>
      </c>
      <c r="J1325" t="s">
        <v>57</v>
      </c>
      <c r="K1325">
        <v>6</v>
      </c>
      <c r="L1325">
        <v>15617.71</v>
      </c>
      <c r="M1325">
        <v>0</v>
      </c>
      <c r="N1325">
        <v>93706.26</v>
      </c>
      <c r="O1325">
        <v>67643.19</v>
      </c>
      <c r="P1325">
        <v>26063.07</v>
      </c>
      <c r="Q1325" t="s">
        <v>46</v>
      </c>
      <c r="R1325">
        <v>0.27813584706080469</v>
      </c>
      <c r="S1325">
        <v>2025</v>
      </c>
      <c r="T1325" t="s">
        <v>32</v>
      </c>
      <c r="U1325">
        <v>1</v>
      </c>
      <c r="V1325" t="s">
        <v>33</v>
      </c>
    </row>
    <row r="1326" spans="1:22" x14ac:dyDescent="0.3">
      <c r="A1326" t="s">
        <v>2281</v>
      </c>
      <c r="B1326" s="1">
        <v>45679</v>
      </c>
      <c r="C1326" t="s">
        <v>2282</v>
      </c>
      <c r="D1326" t="s">
        <v>1413</v>
      </c>
      <c r="E1326" t="s">
        <v>61</v>
      </c>
      <c r="F1326" t="s">
        <v>78</v>
      </c>
      <c r="G1326" t="s">
        <v>104</v>
      </c>
      <c r="H1326" t="s">
        <v>28</v>
      </c>
      <c r="I1326" t="s">
        <v>91</v>
      </c>
      <c r="J1326" t="s">
        <v>92</v>
      </c>
      <c r="K1326">
        <v>2</v>
      </c>
      <c r="L1326">
        <v>3044.36</v>
      </c>
      <c r="M1326">
        <v>0</v>
      </c>
      <c r="N1326">
        <v>6088.72</v>
      </c>
      <c r="O1326">
        <v>3261.09</v>
      </c>
      <c r="P1326">
        <v>2827.63</v>
      </c>
      <c r="Q1326" t="s">
        <v>53</v>
      </c>
      <c r="R1326">
        <v>0.46440466961857341</v>
      </c>
      <c r="S1326">
        <v>2025</v>
      </c>
      <c r="T1326" t="s">
        <v>32</v>
      </c>
      <c r="U1326">
        <v>1</v>
      </c>
      <c r="V1326" t="s">
        <v>33</v>
      </c>
    </row>
    <row r="1327" spans="1:22" x14ac:dyDescent="0.3">
      <c r="A1327" t="s">
        <v>2283</v>
      </c>
      <c r="B1327" s="1">
        <v>45679</v>
      </c>
      <c r="C1327" t="s">
        <v>2284</v>
      </c>
      <c r="D1327" t="s">
        <v>1172</v>
      </c>
      <c r="E1327" t="s">
        <v>61</v>
      </c>
      <c r="F1327" t="s">
        <v>78</v>
      </c>
      <c r="G1327" t="s">
        <v>104</v>
      </c>
      <c r="H1327" t="s">
        <v>43</v>
      </c>
      <c r="I1327" t="s">
        <v>51</v>
      </c>
      <c r="J1327" t="s">
        <v>52</v>
      </c>
      <c r="K1327">
        <v>3</v>
      </c>
      <c r="L1327">
        <v>733.66</v>
      </c>
      <c r="M1327">
        <v>0.05</v>
      </c>
      <c r="N1327">
        <v>2090.9299999999998</v>
      </c>
      <c r="O1327">
        <v>1055.4100000000001</v>
      </c>
      <c r="P1327">
        <v>1035.52</v>
      </c>
      <c r="Q1327" t="s">
        <v>67</v>
      </c>
      <c r="R1327">
        <v>0.49524374321474179</v>
      </c>
      <c r="S1327">
        <v>2025</v>
      </c>
      <c r="T1327" t="s">
        <v>32</v>
      </c>
      <c r="U1327">
        <v>1</v>
      </c>
      <c r="V1327" t="s">
        <v>33</v>
      </c>
    </row>
    <row r="1328" spans="1:22" x14ac:dyDescent="0.3">
      <c r="A1328" t="s">
        <v>2285</v>
      </c>
      <c r="B1328" s="1">
        <v>45679</v>
      </c>
      <c r="C1328" t="s">
        <v>1428</v>
      </c>
      <c r="D1328" t="s">
        <v>390</v>
      </c>
      <c r="E1328" t="s">
        <v>41</v>
      </c>
      <c r="F1328" t="s">
        <v>42</v>
      </c>
      <c r="G1328" t="s">
        <v>50</v>
      </c>
      <c r="H1328" t="s">
        <v>84</v>
      </c>
      <c r="I1328" t="s">
        <v>85</v>
      </c>
      <c r="J1328" t="s">
        <v>145</v>
      </c>
      <c r="K1328">
        <v>4</v>
      </c>
      <c r="L1328">
        <v>3347.57</v>
      </c>
      <c r="M1328">
        <v>0.2</v>
      </c>
      <c r="N1328">
        <v>10712.22</v>
      </c>
      <c r="O1328">
        <v>7652.98</v>
      </c>
      <c r="P1328">
        <v>3059.24</v>
      </c>
      <c r="Q1328" t="s">
        <v>46</v>
      </c>
      <c r="R1328">
        <v>0.28558412728640747</v>
      </c>
      <c r="S1328">
        <v>2025</v>
      </c>
      <c r="T1328" t="s">
        <v>32</v>
      </c>
      <c r="U1328">
        <v>1</v>
      </c>
      <c r="V1328" t="s">
        <v>33</v>
      </c>
    </row>
    <row r="1329" spans="1:22" x14ac:dyDescent="0.3">
      <c r="A1329" t="s">
        <v>2286</v>
      </c>
      <c r="B1329" s="1">
        <v>45679</v>
      </c>
      <c r="C1329" t="s">
        <v>187</v>
      </c>
      <c r="D1329" t="s">
        <v>1433</v>
      </c>
      <c r="E1329" t="s">
        <v>120</v>
      </c>
      <c r="F1329" t="s">
        <v>121</v>
      </c>
      <c r="G1329" t="s">
        <v>224</v>
      </c>
      <c r="H1329" t="s">
        <v>84</v>
      </c>
      <c r="I1329" t="s">
        <v>138</v>
      </c>
      <c r="J1329" t="s">
        <v>220</v>
      </c>
      <c r="K1329">
        <v>4</v>
      </c>
      <c r="L1329">
        <v>7399.86</v>
      </c>
      <c r="M1329">
        <v>0.15</v>
      </c>
      <c r="N1329">
        <v>25159.52</v>
      </c>
      <c r="O1329">
        <v>19672.82</v>
      </c>
      <c r="P1329">
        <v>5486.7</v>
      </c>
      <c r="Q1329" t="s">
        <v>31</v>
      </c>
      <c r="R1329">
        <v>0.2180764974848487</v>
      </c>
      <c r="S1329">
        <v>2025</v>
      </c>
      <c r="T1329" t="s">
        <v>32</v>
      </c>
      <c r="U1329">
        <v>1</v>
      </c>
      <c r="V1329" t="s">
        <v>33</v>
      </c>
    </row>
    <row r="1330" spans="1:22" x14ac:dyDescent="0.3">
      <c r="A1330" t="s">
        <v>2287</v>
      </c>
      <c r="B1330" s="1">
        <v>45679</v>
      </c>
      <c r="C1330" t="s">
        <v>2288</v>
      </c>
      <c r="D1330" t="s">
        <v>695</v>
      </c>
      <c r="E1330" t="s">
        <v>41</v>
      </c>
      <c r="F1330" t="s">
        <v>42</v>
      </c>
      <c r="G1330" t="s">
        <v>50</v>
      </c>
      <c r="H1330" t="s">
        <v>28</v>
      </c>
      <c r="I1330" t="s">
        <v>29</v>
      </c>
      <c r="J1330" t="s">
        <v>30</v>
      </c>
      <c r="K1330">
        <v>4</v>
      </c>
      <c r="L1330">
        <v>56385.66</v>
      </c>
      <c r="M1330">
        <v>0</v>
      </c>
      <c r="N1330">
        <v>225542.64</v>
      </c>
      <c r="O1330">
        <v>202116.86</v>
      </c>
      <c r="P1330">
        <v>23425.78</v>
      </c>
      <c r="Q1330" t="s">
        <v>31</v>
      </c>
      <c r="R1330">
        <v>0.1038640853011209</v>
      </c>
      <c r="S1330">
        <v>2025</v>
      </c>
      <c r="T1330" t="s">
        <v>32</v>
      </c>
      <c r="U1330">
        <v>1</v>
      </c>
      <c r="V1330" t="s">
        <v>33</v>
      </c>
    </row>
    <row r="1331" spans="1:22" x14ac:dyDescent="0.3">
      <c r="A1331" t="s">
        <v>2289</v>
      </c>
      <c r="B1331" s="1">
        <v>45679</v>
      </c>
      <c r="C1331" t="s">
        <v>1829</v>
      </c>
      <c r="D1331" t="s">
        <v>876</v>
      </c>
      <c r="E1331" t="s">
        <v>25</v>
      </c>
      <c r="F1331" t="s">
        <v>26</v>
      </c>
      <c r="G1331" t="s">
        <v>27</v>
      </c>
      <c r="H1331" t="s">
        <v>64</v>
      </c>
      <c r="I1331" t="s">
        <v>108</v>
      </c>
      <c r="J1331" t="s">
        <v>109</v>
      </c>
      <c r="K1331">
        <v>4</v>
      </c>
      <c r="L1331">
        <v>6770.34</v>
      </c>
      <c r="M1331">
        <v>0.1</v>
      </c>
      <c r="N1331">
        <v>24373.22</v>
      </c>
      <c r="O1331">
        <v>18016.29</v>
      </c>
      <c r="P1331">
        <v>6356.93</v>
      </c>
      <c r="Q1331" t="s">
        <v>46</v>
      </c>
      <c r="R1331">
        <v>0.26081617447345901</v>
      </c>
      <c r="S1331">
        <v>2025</v>
      </c>
      <c r="T1331" t="s">
        <v>32</v>
      </c>
      <c r="U1331">
        <v>1</v>
      </c>
      <c r="V1331" t="s">
        <v>33</v>
      </c>
    </row>
    <row r="1332" spans="1:22" x14ac:dyDescent="0.3">
      <c r="A1332" t="s">
        <v>2290</v>
      </c>
      <c r="B1332" s="1">
        <v>45680</v>
      </c>
      <c r="C1332" t="s">
        <v>1418</v>
      </c>
      <c r="D1332" t="s">
        <v>301</v>
      </c>
      <c r="E1332" t="s">
        <v>61</v>
      </c>
      <c r="F1332" t="s">
        <v>78</v>
      </c>
      <c r="G1332" t="s">
        <v>216</v>
      </c>
      <c r="H1332" t="s">
        <v>28</v>
      </c>
      <c r="I1332" t="s">
        <v>73</v>
      </c>
      <c r="J1332" t="s">
        <v>80</v>
      </c>
      <c r="K1332">
        <v>3</v>
      </c>
      <c r="L1332">
        <v>840.55</v>
      </c>
      <c r="M1332">
        <v>0</v>
      </c>
      <c r="N1332">
        <v>2521.65</v>
      </c>
      <c r="O1332">
        <v>1618.07</v>
      </c>
      <c r="P1332">
        <v>903.58</v>
      </c>
      <c r="Q1332" t="s">
        <v>31</v>
      </c>
      <c r="R1332">
        <v>0.35832887196875057</v>
      </c>
      <c r="S1332">
        <v>2025</v>
      </c>
      <c r="T1332" t="s">
        <v>32</v>
      </c>
      <c r="U1332">
        <v>1</v>
      </c>
      <c r="V1332" t="s">
        <v>33</v>
      </c>
    </row>
    <row r="1333" spans="1:22" x14ac:dyDescent="0.3">
      <c r="A1333" t="s">
        <v>2291</v>
      </c>
      <c r="B1333" s="1">
        <v>45680</v>
      </c>
      <c r="C1333" t="s">
        <v>2292</v>
      </c>
      <c r="D1333" t="s">
        <v>2171</v>
      </c>
      <c r="E1333" t="s">
        <v>61</v>
      </c>
      <c r="F1333" t="s">
        <v>71</v>
      </c>
      <c r="G1333" t="s">
        <v>201</v>
      </c>
      <c r="H1333" t="s">
        <v>28</v>
      </c>
      <c r="I1333" t="s">
        <v>29</v>
      </c>
      <c r="J1333" t="s">
        <v>57</v>
      </c>
      <c r="K1333">
        <v>3</v>
      </c>
      <c r="L1333">
        <v>15172.64</v>
      </c>
      <c r="M1333">
        <v>0.1</v>
      </c>
      <c r="N1333">
        <v>40966.129999999997</v>
      </c>
      <c r="O1333">
        <v>34968.58</v>
      </c>
      <c r="P1333">
        <v>5997.55</v>
      </c>
      <c r="Q1333" t="s">
        <v>31</v>
      </c>
      <c r="R1333">
        <v>0.14640265018931489</v>
      </c>
      <c r="S1333">
        <v>2025</v>
      </c>
      <c r="T1333" t="s">
        <v>32</v>
      </c>
      <c r="U1333">
        <v>1</v>
      </c>
      <c r="V1333" t="s">
        <v>33</v>
      </c>
    </row>
    <row r="1334" spans="1:22" x14ac:dyDescent="0.3">
      <c r="A1334" t="s">
        <v>2293</v>
      </c>
      <c r="B1334" s="1">
        <v>45680</v>
      </c>
      <c r="C1334" t="s">
        <v>1019</v>
      </c>
      <c r="D1334" t="s">
        <v>2294</v>
      </c>
      <c r="E1334" t="s">
        <v>61</v>
      </c>
      <c r="F1334" t="s">
        <v>78</v>
      </c>
      <c r="G1334" t="s">
        <v>83</v>
      </c>
      <c r="H1334" t="s">
        <v>28</v>
      </c>
      <c r="I1334" t="s">
        <v>29</v>
      </c>
      <c r="J1334" t="s">
        <v>57</v>
      </c>
      <c r="K1334">
        <v>4</v>
      </c>
      <c r="L1334">
        <v>15243.5</v>
      </c>
      <c r="M1334">
        <v>0.05</v>
      </c>
      <c r="N1334">
        <v>57925.3</v>
      </c>
      <c r="O1334">
        <v>46455.29</v>
      </c>
      <c r="P1334">
        <v>11470.01</v>
      </c>
      <c r="Q1334" t="s">
        <v>53</v>
      </c>
      <c r="R1334">
        <v>0.1980138212490915</v>
      </c>
      <c r="S1334">
        <v>2025</v>
      </c>
      <c r="T1334" t="s">
        <v>32</v>
      </c>
      <c r="U1334">
        <v>1</v>
      </c>
      <c r="V1334" t="s">
        <v>33</v>
      </c>
    </row>
    <row r="1335" spans="1:22" x14ac:dyDescent="0.3">
      <c r="A1335" t="s">
        <v>2295</v>
      </c>
      <c r="B1335" s="1">
        <v>45680</v>
      </c>
      <c r="C1335" t="s">
        <v>448</v>
      </c>
      <c r="D1335" t="s">
        <v>626</v>
      </c>
      <c r="E1335" t="s">
        <v>61</v>
      </c>
      <c r="F1335" t="s">
        <v>78</v>
      </c>
      <c r="G1335" t="s">
        <v>216</v>
      </c>
      <c r="H1335" t="s">
        <v>28</v>
      </c>
      <c r="I1335" t="s">
        <v>73</v>
      </c>
      <c r="J1335" t="s">
        <v>74</v>
      </c>
      <c r="K1335">
        <v>5</v>
      </c>
      <c r="L1335">
        <v>2493.6999999999998</v>
      </c>
      <c r="M1335">
        <v>0</v>
      </c>
      <c r="N1335">
        <v>12468.5</v>
      </c>
      <c r="O1335">
        <v>6820.96</v>
      </c>
      <c r="P1335">
        <v>5647.54</v>
      </c>
      <c r="Q1335" t="s">
        <v>31</v>
      </c>
      <c r="R1335">
        <v>0.45294462044351769</v>
      </c>
      <c r="S1335">
        <v>2025</v>
      </c>
      <c r="T1335" t="s">
        <v>32</v>
      </c>
      <c r="U1335">
        <v>1</v>
      </c>
      <c r="V1335" t="s">
        <v>33</v>
      </c>
    </row>
    <row r="1336" spans="1:22" x14ac:dyDescent="0.3">
      <c r="A1336" t="s">
        <v>2296</v>
      </c>
      <c r="B1336" s="1">
        <v>45681</v>
      </c>
      <c r="C1336" t="s">
        <v>359</v>
      </c>
      <c r="D1336" t="s">
        <v>1232</v>
      </c>
      <c r="E1336" t="s">
        <v>61</v>
      </c>
      <c r="F1336" t="s">
        <v>62</v>
      </c>
      <c r="G1336" t="s">
        <v>63</v>
      </c>
      <c r="H1336" t="s">
        <v>84</v>
      </c>
      <c r="I1336" t="s">
        <v>85</v>
      </c>
      <c r="J1336" t="s">
        <v>145</v>
      </c>
      <c r="K1336">
        <v>2</v>
      </c>
      <c r="L1336">
        <v>3117.19</v>
      </c>
      <c r="M1336">
        <v>0.1</v>
      </c>
      <c r="N1336">
        <v>5610.94</v>
      </c>
      <c r="O1336">
        <v>3564.08</v>
      </c>
      <c r="P1336">
        <v>2046.86</v>
      </c>
      <c r="Q1336" t="s">
        <v>53</v>
      </c>
      <c r="R1336">
        <v>0.36479805522782283</v>
      </c>
      <c r="S1336">
        <v>2025</v>
      </c>
      <c r="T1336" t="s">
        <v>32</v>
      </c>
      <c r="U1336">
        <v>1</v>
      </c>
      <c r="V1336" t="s">
        <v>33</v>
      </c>
    </row>
    <row r="1337" spans="1:22" x14ac:dyDescent="0.3">
      <c r="A1337" t="s">
        <v>2297</v>
      </c>
      <c r="B1337" s="1">
        <v>45681</v>
      </c>
      <c r="C1337" t="s">
        <v>1272</v>
      </c>
      <c r="D1337" t="s">
        <v>529</v>
      </c>
      <c r="E1337" t="s">
        <v>41</v>
      </c>
      <c r="F1337" t="s">
        <v>42</v>
      </c>
      <c r="G1337" t="s">
        <v>42</v>
      </c>
      <c r="H1337" t="s">
        <v>28</v>
      </c>
      <c r="I1337" t="s">
        <v>73</v>
      </c>
      <c r="J1337" t="s">
        <v>80</v>
      </c>
      <c r="K1337">
        <v>1</v>
      </c>
      <c r="L1337">
        <v>797.35</v>
      </c>
      <c r="M1337">
        <v>0.1</v>
      </c>
      <c r="N1337">
        <v>717.62</v>
      </c>
      <c r="O1337">
        <v>500.02</v>
      </c>
      <c r="P1337">
        <v>217.6</v>
      </c>
      <c r="Q1337" t="s">
        <v>31</v>
      </c>
      <c r="R1337">
        <v>0.30322454781081909</v>
      </c>
      <c r="S1337">
        <v>2025</v>
      </c>
      <c r="T1337" t="s">
        <v>32</v>
      </c>
      <c r="U1337">
        <v>1</v>
      </c>
      <c r="V1337" t="s">
        <v>33</v>
      </c>
    </row>
    <row r="1338" spans="1:22" x14ac:dyDescent="0.3">
      <c r="A1338" t="s">
        <v>2298</v>
      </c>
      <c r="B1338" s="1">
        <v>45681</v>
      </c>
      <c r="C1338" t="s">
        <v>1176</v>
      </c>
      <c r="D1338" t="s">
        <v>1521</v>
      </c>
      <c r="E1338" t="s">
        <v>120</v>
      </c>
      <c r="F1338" t="s">
        <v>121</v>
      </c>
      <c r="G1338" t="s">
        <v>122</v>
      </c>
      <c r="H1338" t="s">
        <v>28</v>
      </c>
      <c r="I1338" t="s">
        <v>29</v>
      </c>
      <c r="J1338" t="s">
        <v>57</v>
      </c>
      <c r="K1338">
        <v>2</v>
      </c>
      <c r="L1338">
        <v>16919.89</v>
      </c>
      <c r="M1338">
        <v>0.05</v>
      </c>
      <c r="N1338">
        <v>32147.79</v>
      </c>
      <c r="O1338">
        <v>24813.81</v>
      </c>
      <c r="P1338">
        <v>7333.98</v>
      </c>
      <c r="Q1338" t="s">
        <v>31</v>
      </c>
      <c r="R1338">
        <v>0.2281332558163407</v>
      </c>
      <c r="S1338">
        <v>2025</v>
      </c>
      <c r="T1338" t="s">
        <v>32</v>
      </c>
      <c r="U1338">
        <v>1</v>
      </c>
      <c r="V1338" t="s">
        <v>33</v>
      </c>
    </row>
    <row r="1339" spans="1:22" x14ac:dyDescent="0.3">
      <c r="A1339" t="s">
        <v>2299</v>
      </c>
      <c r="B1339" s="1">
        <v>45681</v>
      </c>
      <c r="C1339" t="s">
        <v>1209</v>
      </c>
      <c r="D1339" t="s">
        <v>1988</v>
      </c>
      <c r="E1339" t="s">
        <v>41</v>
      </c>
      <c r="F1339" t="s">
        <v>42</v>
      </c>
      <c r="G1339" t="s">
        <v>50</v>
      </c>
      <c r="H1339" t="s">
        <v>28</v>
      </c>
      <c r="I1339" t="s">
        <v>29</v>
      </c>
      <c r="J1339" t="s">
        <v>30</v>
      </c>
      <c r="K1339">
        <v>3</v>
      </c>
      <c r="L1339">
        <v>60236.54</v>
      </c>
      <c r="M1339">
        <v>0.1</v>
      </c>
      <c r="N1339">
        <v>162638.66</v>
      </c>
      <c r="O1339">
        <v>158935.42000000001</v>
      </c>
      <c r="P1339">
        <v>3703.24</v>
      </c>
      <c r="Q1339" t="s">
        <v>31</v>
      </c>
      <c r="R1339">
        <v>2.2769739986790351E-2</v>
      </c>
      <c r="S1339">
        <v>2025</v>
      </c>
      <c r="T1339" t="s">
        <v>32</v>
      </c>
      <c r="U1339">
        <v>1</v>
      </c>
      <c r="V1339" t="s">
        <v>33</v>
      </c>
    </row>
    <row r="1340" spans="1:22" x14ac:dyDescent="0.3">
      <c r="A1340" t="s">
        <v>2300</v>
      </c>
      <c r="B1340" s="1">
        <v>45682</v>
      </c>
      <c r="C1340" t="s">
        <v>1297</v>
      </c>
      <c r="D1340" t="s">
        <v>285</v>
      </c>
      <c r="E1340" t="s">
        <v>61</v>
      </c>
      <c r="F1340" t="s">
        <v>62</v>
      </c>
      <c r="G1340" t="s">
        <v>134</v>
      </c>
      <c r="H1340" t="s">
        <v>64</v>
      </c>
      <c r="I1340" t="s">
        <v>65</v>
      </c>
      <c r="J1340" t="s">
        <v>232</v>
      </c>
      <c r="K1340">
        <v>1</v>
      </c>
      <c r="L1340">
        <v>4150.5600000000004</v>
      </c>
      <c r="M1340">
        <v>0</v>
      </c>
      <c r="N1340">
        <v>4150.5600000000004</v>
      </c>
      <c r="O1340">
        <v>2547.17</v>
      </c>
      <c r="P1340">
        <v>1603.39</v>
      </c>
      <c r="Q1340" t="s">
        <v>31</v>
      </c>
      <c r="R1340">
        <v>0.38630690798350098</v>
      </c>
      <c r="S1340">
        <v>2025</v>
      </c>
      <c r="T1340" t="s">
        <v>32</v>
      </c>
      <c r="U1340">
        <v>1</v>
      </c>
      <c r="V1340" t="s">
        <v>33</v>
      </c>
    </row>
    <row r="1341" spans="1:22" x14ac:dyDescent="0.3">
      <c r="A1341" t="s">
        <v>2301</v>
      </c>
      <c r="B1341" s="1">
        <v>45682</v>
      </c>
      <c r="C1341" t="s">
        <v>132</v>
      </c>
      <c r="D1341" t="s">
        <v>1096</v>
      </c>
      <c r="E1341" t="s">
        <v>41</v>
      </c>
      <c r="F1341" t="s">
        <v>42</v>
      </c>
      <c r="G1341" t="s">
        <v>50</v>
      </c>
      <c r="H1341" t="s">
        <v>43</v>
      </c>
      <c r="I1341" t="s">
        <v>51</v>
      </c>
      <c r="J1341" t="s">
        <v>52</v>
      </c>
      <c r="K1341">
        <v>2</v>
      </c>
      <c r="L1341">
        <v>740.62</v>
      </c>
      <c r="M1341">
        <v>0.15</v>
      </c>
      <c r="N1341">
        <v>1259.05</v>
      </c>
      <c r="O1341">
        <v>674.31</v>
      </c>
      <c r="P1341">
        <v>584.74</v>
      </c>
      <c r="Q1341" t="s">
        <v>53</v>
      </c>
      <c r="R1341">
        <v>0.46442953020134231</v>
      </c>
      <c r="S1341">
        <v>2025</v>
      </c>
      <c r="T1341" t="s">
        <v>32</v>
      </c>
      <c r="U1341">
        <v>1</v>
      </c>
      <c r="V1341" t="s">
        <v>33</v>
      </c>
    </row>
    <row r="1342" spans="1:22" x14ac:dyDescent="0.3">
      <c r="A1342" t="s">
        <v>2302</v>
      </c>
      <c r="B1342" s="1">
        <v>45683</v>
      </c>
      <c r="C1342" t="s">
        <v>2292</v>
      </c>
      <c r="D1342" t="s">
        <v>382</v>
      </c>
      <c r="E1342" t="s">
        <v>25</v>
      </c>
      <c r="F1342" t="s">
        <v>26</v>
      </c>
      <c r="G1342" t="s">
        <v>260</v>
      </c>
      <c r="H1342" t="s">
        <v>64</v>
      </c>
      <c r="I1342" t="s">
        <v>108</v>
      </c>
      <c r="J1342" t="s">
        <v>155</v>
      </c>
      <c r="K1342">
        <v>1</v>
      </c>
      <c r="L1342">
        <v>8640.1</v>
      </c>
      <c r="M1342">
        <v>0.1</v>
      </c>
      <c r="N1342">
        <v>7776.09</v>
      </c>
      <c r="O1342">
        <v>5705.87</v>
      </c>
      <c r="P1342">
        <v>2070.2199999999998</v>
      </c>
      <c r="Q1342" t="s">
        <v>113</v>
      </c>
      <c r="R1342">
        <v>0.26622891453159619</v>
      </c>
      <c r="S1342">
        <v>2025</v>
      </c>
      <c r="T1342" t="s">
        <v>32</v>
      </c>
      <c r="U1342">
        <v>1</v>
      </c>
      <c r="V1342" t="s">
        <v>33</v>
      </c>
    </row>
    <row r="1343" spans="1:22" x14ac:dyDescent="0.3">
      <c r="A1343" t="s">
        <v>2303</v>
      </c>
      <c r="B1343" s="1">
        <v>45683</v>
      </c>
      <c r="C1343" t="s">
        <v>956</v>
      </c>
      <c r="D1343" t="s">
        <v>1307</v>
      </c>
      <c r="E1343" t="s">
        <v>120</v>
      </c>
      <c r="F1343" t="s">
        <v>121</v>
      </c>
      <c r="G1343" t="s">
        <v>130</v>
      </c>
      <c r="H1343" t="s">
        <v>28</v>
      </c>
      <c r="I1343" t="s">
        <v>73</v>
      </c>
      <c r="J1343" t="s">
        <v>74</v>
      </c>
      <c r="K1343">
        <v>3</v>
      </c>
      <c r="L1343">
        <v>2550</v>
      </c>
      <c r="M1343">
        <v>0.1</v>
      </c>
      <c r="N1343">
        <v>6885</v>
      </c>
      <c r="O1343">
        <v>4167.83</v>
      </c>
      <c r="P1343">
        <v>2717.17</v>
      </c>
      <c r="Q1343" t="s">
        <v>31</v>
      </c>
      <c r="R1343">
        <v>0.39465068990559188</v>
      </c>
      <c r="S1343">
        <v>2025</v>
      </c>
      <c r="T1343" t="s">
        <v>32</v>
      </c>
      <c r="U1343">
        <v>1</v>
      </c>
      <c r="V1343" t="s">
        <v>33</v>
      </c>
    </row>
    <row r="1344" spans="1:22" x14ac:dyDescent="0.3">
      <c r="A1344" t="s">
        <v>2304</v>
      </c>
      <c r="B1344" s="1">
        <v>45683</v>
      </c>
      <c r="C1344" t="s">
        <v>470</v>
      </c>
      <c r="D1344" t="s">
        <v>1118</v>
      </c>
      <c r="E1344" t="s">
        <v>61</v>
      </c>
      <c r="F1344" t="s">
        <v>78</v>
      </c>
      <c r="G1344" t="s">
        <v>216</v>
      </c>
      <c r="H1344" t="s">
        <v>64</v>
      </c>
      <c r="I1344" t="s">
        <v>65</v>
      </c>
      <c r="J1344" t="s">
        <v>232</v>
      </c>
      <c r="K1344">
        <v>4</v>
      </c>
      <c r="L1344">
        <v>3943.02</v>
      </c>
      <c r="M1344">
        <v>0.05</v>
      </c>
      <c r="N1344">
        <v>14983.48</v>
      </c>
      <c r="O1344">
        <v>10056.06</v>
      </c>
      <c r="P1344">
        <v>4927.42</v>
      </c>
      <c r="Q1344" t="s">
        <v>31</v>
      </c>
      <c r="R1344">
        <v>0.32885684767490603</v>
      </c>
      <c r="S1344">
        <v>2025</v>
      </c>
      <c r="T1344" t="s">
        <v>32</v>
      </c>
      <c r="U1344">
        <v>1</v>
      </c>
      <c r="V1344" t="s">
        <v>33</v>
      </c>
    </row>
    <row r="1345" spans="1:22" x14ac:dyDescent="0.3">
      <c r="A1345" t="s">
        <v>2305</v>
      </c>
      <c r="B1345" s="1">
        <v>45683</v>
      </c>
      <c r="C1345" t="s">
        <v>556</v>
      </c>
      <c r="D1345" t="s">
        <v>704</v>
      </c>
      <c r="E1345" t="s">
        <v>61</v>
      </c>
      <c r="F1345" t="s">
        <v>78</v>
      </c>
      <c r="G1345" t="s">
        <v>104</v>
      </c>
      <c r="H1345" t="s">
        <v>64</v>
      </c>
      <c r="I1345" t="s">
        <v>108</v>
      </c>
      <c r="J1345" t="s">
        <v>109</v>
      </c>
      <c r="K1345">
        <v>3</v>
      </c>
      <c r="L1345">
        <v>6621.49</v>
      </c>
      <c r="M1345">
        <v>0.05</v>
      </c>
      <c r="N1345">
        <v>18871.25</v>
      </c>
      <c r="O1345">
        <v>12809.44</v>
      </c>
      <c r="P1345">
        <v>6061.81</v>
      </c>
      <c r="Q1345" t="s">
        <v>113</v>
      </c>
      <c r="R1345">
        <v>0.32121931509571439</v>
      </c>
      <c r="S1345">
        <v>2025</v>
      </c>
      <c r="T1345" t="s">
        <v>32</v>
      </c>
      <c r="U1345">
        <v>1</v>
      </c>
      <c r="V1345" t="s">
        <v>33</v>
      </c>
    </row>
    <row r="1346" spans="1:22" x14ac:dyDescent="0.3">
      <c r="A1346" t="s">
        <v>2306</v>
      </c>
      <c r="B1346" s="1">
        <v>45684</v>
      </c>
      <c r="C1346" t="s">
        <v>2307</v>
      </c>
      <c r="D1346" t="s">
        <v>524</v>
      </c>
      <c r="E1346" t="s">
        <v>61</v>
      </c>
      <c r="F1346" t="s">
        <v>71</v>
      </c>
      <c r="G1346" t="s">
        <v>317</v>
      </c>
      <c r="H1346" t="s">
        <v>43</v>
      </c>
      <c r="I1346" t="s">
        <v>51</v>
      </c>
      <c r="J1346" t="s">
        <v>52</v>
      </c>
      <c r="K1346">
        <v>2</v>
      </c>
      <c r="L1346">
        <v>679.23</v>
      </c>
      <c r="M1346">
        <v>0.1</v>
      </c>
      <c r="N1346">
        <v>1222.6099999999999</v>
      </c>
      <c r="O1346">
        <v>619.58000000000004</v>
      </c>
      <c r="P1346">
        <v>603.03</v>
      </c>
      <c r="Q1346" t="s">
        <v>67</v>
      </c>
      <c r="R1346">
        <v>0.49323169285381269</v>
      </c>
      <c r="S1346">
        <v>2025</v>
      </c>
      <c r="T1346" t="s">
        <v>32</v>
      </c>
      <c r="U1346">
        <v>1</v>
      </c>
      <c r="V1346" t="s">
        <v>33</v>
      </c>
    </row>
    <row r="1347" spans="1:22" x14ac:dyDescent="0.3">
      <c r="A1347" t="s">
        <v>2308</v>
      </c>
      <c r="B1347" s="1">
        <v>45685</v>
      </c>
      <c r="C1347" t="s">
        <v>739</v>
      </c>
      <c r="D1347" t="s">
        <v>1172</v>
      </c>
      <c r="E1347" t="s">
        <v>25</v>
      </c>
      <c r="F1347" t="s">
        <v>26</v>
      </c>
      <c r="G1347" t="s">
        <v>27</v>
      </c>
      <c r="H1347" t="s">
        <v>28</v>
      </c>
      <c r="I1347" t="s">
        <v>91</v>
      </c>
      <c r="J1347" t="s">
        <v>126</v>
      </c>
      <c r="K1347">
        <v>5</v>
      </c>
      <c r="L1347">
        <v>2077.94</v>
      </c>
      <c r="M1347">
        <v>0.15</v>
      </c>
      <c r="N1347">
        <v>8831.25</v>
      </c>
      <c r="O1347">
        <v>6089.32</v>
      </c>
      <c r="P1347">
        <v>2741.93</v>
      </c>
      <c r="Q1347" t="s">
        <v>46</v>
      </c>
      <c r="R1347">
        <v>0.31048039631988672</v>
      </c>
      <c r="S1347">
        <v>2025</v>
      </c>
      <c r="T1347" t="s">
        <v>32</v>
      </c>
      <c r="U1347">
        <v>1</v>
      </c>
      <c r="V1347" t="s">
        <v>33</v>
      </c>
    </row>
    <row r="1348" spans="1:22" x14ac:dyDescent="0.3">
      <c r="A1348" t="s">
        <v>2309</v>
      </c>
      <c r="B1348" s="1">
        <v>45685</v>
      </c>
      <c r="C1348" t="s">
        <v>258</v>
      </c>
      <c r="D1348" t="s">
        <v>182</v>
      </c>
      <c r="E1348" t="s">
        <v>41</v>
      </c>
      <c r="F1348" t="s">
        <v>42</v>
      </c>
      <c r="G1348" t="s">
        <v>42</v>
      </c>
      <c r="H1348" t="s">
        <v>28</v>
      </c>
      <c r="I1348" t="s">
        <v>91</v>
      </c>
      <c r="J1348" t="s">
        <v>126</v>
      </c>
      <c r="K1348">
        <v>4</v>
      </c>
      <c r="L1348">
        <v>1942.43</v>
      </c>
      <c r="M1348">
        <v>0</v>
      </c>
      <c r="N1348">
        <v>7769.72</v>
      </c>
      <c r="O1348">
        <v>4346.75</v>
      </c>
      <c r="P1348">
        <v>3422.97</v>
      </c>
      <c r="Q1348" t="s">
        <v>46</v>
      </c>
      <c r="R1348">
        <v>0.44055255530443821</v>
      </c>
      <c r="S1348">
        <v>2025</v>
      </c>
      <c r="T1348" t="s">
        <v>32</v>
      </c>
      <c r="U1348">
        <v>1</v>
      </c>
      <c r="V1348" t="s">
        <v>33</v>
      </c>
    </row>
    <row r="1349" spans="1:22" x14ac:dyDescent="0.3">
      <c r="A1349" t="s">
        <v>2310</v>
      </c>
      <c r="B1349" s="1">
        <v>45686</v>
      </c>
      <c r="C1349" t="s">
        <v>2037</v>
      </c>
      <c r="D1349" t="s">
        <v>494</v>
      </c>
      <c r="E1349" t="s">
        <v>61</v>
      </c>
      <c r="F1349" t="s">
        <v>71</v>
      </c>
      <c r="G1349" t="s">
        <v>100</v>
      </c>
      <c r="H1349" t="s">
        <v>28</v>
      </c>
      <c r="I1349" t="s">
        <v>29</v>
      </c>
      <c r="J1349" t="s">
        <v>30</v>
      </c>
      <c r="K1349">
        <v>1</v>
      </c>
      <c r="L1349">
        <v>60383.95</v>
      </c>
      <c r="M1349">
        <v>0.1</v>
      </c>
      <c r="N1349">
        <v>54345.56</v>
      </c>
      <c r="O1349">
        <v>51843.41</v>
      </c>
      <c r="P1349">
        <v>2502.15</v>
      </c>
      <c r="Q1349" t="s">
        <v>31</v>
      </c>
      <c r="R1349">
        <v>4.6041479745539467E-2</v>
      </c>
      <c r="S1349">
        <v>2025</v>
      </c>
      <c r="T1349" t="s">
        <v>32</v>
      </c>
      <c r="U1349">
        <v>1</v>
      </c>
      <c r="V1349" t="s">
        <v>33</v>
      </c>
    </row>
    <row r="1350" spans="1:22" x14ac:dyDescent="0.3">
      <c r="A1350" t="s">
        <v>2311</v>
      </c>
      <c r="B1350" s="1">
        <v>45686</v>
      </c>
      <c r="C1350" t="s">
        <v>1155</v>
      </c>
      <c r="D1350" t="s">
        <v>680</v>
      </c>
      <c r="E1350" t="s">
        <v>25</v>
      </c>
      <c r="F1350" t="s">
        <v>26</v>
      </c>
      <c r="G1350" t="s">
        <v>37</v>
      </c>
      <c r="H1350" t="s">
        <v>64</v>
      </c>
      <c r="I1350" t="s">
        <v>108</v>
      </c>
      <c r="J1350" t="s">
        <v>109</v>
      </c>
      <c r="K1350">
        <v>2</v>
      </c>
      <c r="L1350">
        <v>6653.28</v>
      </c>
      <c r="M1350">
        <v>0.2</v>
      </c>
      <c r="N1350">
        <v>10645.25</v>
      </c>
      <c r="O1350">
        <v>8568.48</v>
      </c>
      <c r="P1350">
        <v>2076.77</v>
      </c>
      <c r="Q1350" t="s">
        <v>46</v>
      </c>
      <c r="R1350">
        <v>0.1950888894107701</v>
      </c>
      <c r="S1350">
        <v>2025</v>
      </c>
      <c r="T1350" t="s">
        <v>32</v>
      </c>
      <c r="U1350">
        <v>1</v>
      </c>
      <c r="V1350" t="s">
        <v>33</v>
      </c>
    </row>
    <row r="1351" spans="1:22" x14ac:dyDescent="0.3">
      <c r="A1351" t="s">
        <v>2312</v>
      </c>
      <c r="B1351" s="1">
        <v>45686</v>
      </c>
      <c r="C1351" t="s">
        <v>591</v>
      </c>
      <c r="D1351" t="s">
        <v>670</v>
      </c>
      <c r="E1351" t="s">
        <v>25</v>
      </c>
      <c r="F1351" t="s">
        <v>26</v>
      </c>
      <c r="G1351" t="s">
        <v>27</v>
      </c>
      <c r="H1351" t="s">
        <v>28</v>
      </c>
      <c r="I1351" t="s">
        <v>91</v>
      </c>
      <c r="J1351" t="s">
        <v>126</v>
      </c>
      <c r="K1351">
        <v>1</v>
      </c>
      <c r="L1351">
        <v>2006.6</v>
      </c>
      <c r="M1351">
        <v>0</v>
      </c>
      <c r="N1351">
        <v>2006.6</v>
      </c>
      <c r="O1351">
        <v>1138.19</v>
      </c>
      <c r="P1351">
        <v>868.41</v>
      </c>
      <c r="Q1351" t="s">
        <v>31</v>
      </c>
      <c r="R1351">
        <v>0.43277683643974879</v>
      </c>
      <c r="S1351">
        <v>2025</v>
      </c>
      <c r="T1351" t="s">
        <v>32</v>
      </c>
      <c r="U1351">
        <v>1</v>
      </c>
      <c r="V1351" t="s">
        <v>33</v>
      </c>
    </row>
    <row r="1352" spans="1:22" x14ac:dyDescent="0.3">
      <c r="A1352" t="s">
        <v>2313</v>
      </c>
      <c r="B1352" s="1">
        <v>45686</v>
      </c>
      <c r="C1352" t="s">
        <v>2314</v>
      </c>
      <c r="D1352" t="s">
        <v>820</v>
      </c>
      <c r="E1352" t="s">
        <v>25</v>
      </c>
      <c r="F1352" t="s">
        <v>26</v>
      </c>
      <c r="G1352" t="s">
        <v>260</v>
      </c>
      <c r="H1352" t="s">
        <v>64</v>
      </c>
      <c r="I1352" t="s">
        <v>108</v>
      </c>
      <c r="J1352" t="s">
        <v>155</v>
      </c>
      <c r="K1352">
        <v>4</v>
      </c>
      <c r="L1352">
        <v>8723.09</v>
      </c>
      <c r="M1352">
        <v>0.05</v>
      </c>
      <c r="N1352">
        <v>33147.74</v>
      </c>
      <c r="O1352">
        <v>22955.78</v>
      </c>
      <c r="P1352">
        <v>10191.959999999999</v>
      </c>
      <c r="Q1352" t="s">
        <v>53</v>
      </c>
      <c r="R1352">
        <v>0.3074707355614591</v>
      </c>
      <c r="S1352">
        <v>2025</v>
      </c>
      <c r="T1352" t="s">
        <v>32</v>
      </c>
      <c r="U1352">
        <v>1</v>
      </c>
      <c r="V1352" t="s">
        <v>33</v>
      </c>
    </row>
    <row r="1353" spans="1:22" x14ac:dyDescent="0.3">
      <c r="A1353" t="s">
        <v>2315</v>
      </c>
      <c r="B1353" s="1">
        <v>45686</v>
      </c>
      <c r="C1353" t="s">
        <v>922</v>
      </c>
      <c r="D1353" t="s">
        <v>731</v>
      </c>
      <c r="E1353" t="s">
        <v>61</v>
      </c>
      <c r="F1353" t="s">
        <v>62</v>
      </c>
      <c r="G1353" t="s">
        <v>134</v>
      </c>
      <c r="H1353" t="s">
        <v>84</v>
      </c>
      <c r="I1353" t="s">
        <v>138</v>
      </c>
      <c r="J1353" t="s">
        <v>220</v>
      </c>
      <c r="K1353">
        <v>1</v>
      </c>
      <c r="L1353">
        <v>7187.29</v>
      </c>
      <c r="M1353">
        <v>0.05</v>
      </c>
      <c r="N1353">
        <v>6827.93</v>
      </c>
      <c r="O1353">
        <v>4528.03</v>
      </c>
      <c r="P1353">
        <v>2299.9</v>
      </c>
      <c r="Q1353" t="s">
        <v>31</v>
      </c>
      <c r="R1353">
        <v>0.33683707946625108</v>
      </c>
      <c r="S1353">
        <v>2025</v>
      </c>
      <c r="T1353" t="s">
        <v>32</v>
      </c>
      <c r="U1353">
        <v>1</v>
      </c>
      <c r="V1353" t="s">
        <v>33</v>
      </c>
    </row>
    <row r="1354" spans="1:22" x14ac:dyDescent="0.3">
      <c r="A1354" t="s">
        <v>2316</v>
      </c>
      <c r="B1354" s="1">
        <v>45686</v>
      </c>
      <c r="C1354" t="s">
        <v>1608</v>
      </c>
      <c r="D1354" t="s">
        <v>170</v>
      </c>
      <c r="E1354" t="s">
        <v>61</v>
      </c>
      <c r="F1354" t="s">
        <v>62</v>
      </c>
      <c r="G1354" t="s">
        <v>63</v>
      </c>
      <c r="H1354" t="s">
        <v>43</v>
      </c>
      <c r="I1354" t="s">
        <v>51</v>
      </c>
      <c r="J1354" t="s">
        <v>52</v>
      </c>
      <c r="K1354">
        <v>2</v>
      </c>
      <c r="L1354">
        <v>720.42</v>
      </c>
      <c r="M1354">
        <v>0.05</v>
      </c>
      <c r="N1354">
        <v>1368.8</v>
      </c>
      <c r="O1354">
        <v>677.71</v>
      </c>
      <c r="P1354">
        <v>691.09</v>
      </c>
      <c r="Q1354" t="s">
        <v>67</v>
      </c>
      <c r="R1354">
        <v>0.50488749269433086</v>
      </c>
      <c r="S1354">
        <v>2025</v>
      </c>
      <c r="T1354" t="s">
        <v>32</v>
      </c>
      <c r="U1354">
        <v>1</v>
      </c>
      <c r="V1354" t="s">
        <v>33</v>
      </c>
    </row>
    <row r="1355" spans="1:22" x14ac:dyDescent="0.3">
      <c r="A1355" t="s">
        <v>2317</v>
      </c>
      <c r="B1355" s="1">
        <v>45686</v>
      </c>
      <c r="C1355" t="s">
        <v>1532</v>
      </c>
      <c r="D1355" t="s">
        <v>471</v>
      </c>
      <c r="E1355" t="s">
        <v>61</v>
      </c>
      <c r="F1355" t="s">
        <v>71</v>
      </c>
      <c r="G1355" t="s">
        <v>72</v>
      </c>
      <c r="H1355" t="s">
        <v>28</v>
      </c>
      <c r="I1355" t="s">
        <v>29</v>
      </c>
      <c r="J1355" t="s">
        <v>57</v>
      </c>
      <c r="K1355">
        <v>3</v>
      </c>
      <c r="L1355">
        <v>15749.18</v>
      </c>
      <c r="M1355">
        <v>0.05</v>
      </c>
      <c r="N1355">
        <v>44885.16</v>
      </c>
      <c r="O1355">
        <v>36812.29</v>
      </c>
      <c r="P1355">
        <v>8072.87</v>
      </c>
      <c r="Q1355" t="s">
        <v>31</v>
      </c>
      <c r="R1355">
        <v>0.17985610388823389</v>
      </c>
      <c r="S1355">
        <v>2025</v>
      </c>
      <c r="T1355" t="s">
        <v>32</v>
      </c>
      <c r="U1355">
        <v>1</v>
      </c>
      <c r="V1355" t="s">
        <v>33</v>
      </c>
    </row>
    <row r="1356" spans="1:22" x14ac:dyDescent="0.3">
      <c r="A1356" t="s">
        <v>2318</v>
      </c>
      <c r="B1356" s="1">
        <v>45687</v>
      </c>
      <c r="C1356" t="s">
        <v>1115</v>
      </c>
      <c r="D1356" t="s">
        <v>1289</v>
      </c>
      <c r="E1356" t="s">
        <v>120</v>
      </c>
      <c r="F1356" t="s">
        <v>121</v>
      </c>
      <c r="G1356" t="s">
        <v>130</v>
      </c>
      <c r="H1356" t="s">
        <v>43</v>
      </c>
      <c r="I1356" t="s">
        <v>51</v>
      </c>
      <c r="J1356" t="s">
        <v>96</v>
      </c>
      <c r="K1356">
        <v>3</v>
      </c>
      <c r="L1356">
        <v>484.96</v>
      </c>
      <c r="M1356">
        <v>0</v>
      </c>
      <c r="N1356">
        <v>1454.88</v>
      </c>
      <c r="O1356">
        <v>639.34</v>
      </c>
      <c r="P1356">
        <v>815.54</v>
      </c>
      <c r="Q1356" t="s">
        <v>113</v>
      </c>
      <c r="R1356">
        <v>0.56055482239085008</v>
      </c>
      <c r="S1356">
        <v>2025</v>
      </c>
      <c r="T1356" t="s">
        <v>32</v>
      </c>
      <c r="U1356">
        <v>1</v>
      </c>
      <c r="V1356" t="s">
        <v>33</v>
      </c>
    </row>
    <row r="1357" spans="1:22" x14ac:dyDescent="0.3">
      <c r="A1357" t="s">
        <v>2319</v>
      </c>
      <c r="B1357" s="1">
        <v>45688</v>
      </c>
      <c r="C1357" t="s">
        <v>448</v>
      </c>
      <c r="D1357" t="s">
        <v>524</v>
      </c>
      <c r="E1357" t="s">
        <v>25</v>
      </c>
      <c r="F1357" t="s">
        <v>26</v>
      </c>
      <c r="G1357" t="s">
        <v>27</v>
      </c>
      <c r="H1357" t="s">
        <v>43</v>
      </c>
      <c r="I1357" t="s">
        <v>51</v>
      </c>
      <c r="J1357" t="s">
        <v>96</v>
      </c>
      <c r="K1357">
        <v>1</v>
      </c>
      <c r="L1357">
        <v>469.97</v>
      </c>
      <c r="M1357">
        <v>0</v>
      </c>
      <c r="N1357">
        <v>469.97</v>
      </c>
      <c r="O1357">
        <v>205.7</v>
      </c>
      <c r="P1357">
        <v>264.27</v>
      </c>
      <c r="Q1357" t="s">
        <v>53</v>
      </c>
      <c r="R1357">
        <v>0.56231248803115086</v>
      </c>
      <c r="S1357">
        <v>2025</v>
      </c>
      <c r="T1357" t="s">
        <v>32</v>
      </c>
      <c r="U1357">
        <v>1</v>
      </c>
      <c r="V1357" t="s">
        <v>33</v>
      </c>
    </row>
    <row r="1358" spans="1:22" x14ac:dyDescent="0.3">
      <c r="A1358" t="s">
        <v>2320</v>
      </c>
      <c r="B1358" s="1">
        <v>45688</v>
      </c>
      <c r="C1358" t="s">
        <v>338</v>
      </c>
      <c r="D1358" t="s">
        <v>1897</v>
      </c>
      <c r="E1358" t="s">
        <v>61</v>
      </c>
      <c r="F1358" t="s">
        <v>78</v>
      </c>
      <c r="G1358" t="s">
        <v>216</v>
      </c>
      <c r="H1358" t="s">
        <v>43</v>
      </c>
      <c r="I1358" t="s">
        <v>51</v>
      </c>
      <c r="J1358" t="s">
        <v>52</v>
      </c>
      <c r="K1358">
        <v>3</v>
      </c>
      <c r="L1358">
        <v>730.52</v>
      </c>
      <c r="M1358">
        <v>0</v>
      </c>
      <c r="N1358">
        <v>2191.56</v>
      </c>
      <c r="O1358">
        <v>1037.94</v>
      </c>
      <c r="P1358">
        <v>1153.6199999999999</v>
      </c>
      <c r="Q1358" t="s">
        <v>31</v>
      </c>
      <c r="R1358">
        <v>0.52639215901002023</v>
      </c>
      <c r="S1358">
        <v>2025</v>
      </c>
      <c r="T1358" t="s">
        <v>32</v>
      </c>
      <c r="U1358">
        <v>1</v>
      </c>
      <c r="V1358" t="s">
        <v>33</v>
      </c>
    </row>
    <row r="1359" spans="1:22" x14ac:dyDescent="0.3">
      <c r="A1359" t="s">
        <v>2321</v>
      </c>
      <c r="B1359" s="1">
        <v>45689</v>
      </c>
      <c r="C1359" t="s">
        <v>1670</v>
      </c>
      <c r="D1359" t="s">
        <v>268</v>
      </c>
      <c r="E1359" t="s">
        <v>61</v>
      </c>
      <c r="F1359" t="s">
        <v>62</v>
      </c>
      <c r="G1359" t="s">
        <v>134</v>
      </c>
      <c r="H1359" t="s">
        <v>84</v>
      </c>
      <c r="I1359" t="s">
        <v>85</v>
      </c>
      <c r="J1359" t="s">
        <v>145</v>
      </c>
      <c r="K1359">
        <v>2</v>
      </c>
      <c r="L1359">
        <v>3161.78</v>
      </c>
      <c r="M1359">
        <v>0</v>
      </c>
      <c r="N1359">
        <v>6323.56</v>
      </c>
      <c r="O1359">
        <v>3584.81</v>
      </c>
      <c r="P1359">
        <v>2738.75</v>
      </c>
      <c r="Q1359" t="s">
        <v>53</v>
      </c>
      <c r="R1359">
        <v>0.4331025561550772</v>
      </c>
      <c r="S1359">
        <v>2025</v>
      </c>
      <c r="T1359" t="s">
        <v>412</v>
      </c>
      <c r="U1359">
        <v>2</v>
      </c>
      <c r="V1359" t="s">
        <v>33</v>
      </c>
    </row>
    <row r="1360" spans="1:22" x14ac:dyDescent="0.3">
      <c r="A1360" t="s">
        <v>2322</v>
      </c>
      <c r="B1360" s="1">
        <v>45689</v>
      </c>
      <c r="C1360" t="s">
        <v>1774</v>
      </c>
      <c r="D1360" t="s">
        <v>40</v>
      </c>
      <c r="E1360" t="s">
        <v>61</v>
      </c>
      <c r="F1360" t="s">
        <v>71</v>
      </c>
      <c r="G1360" t="s">
        <v>100</v>
      </c>
      <c r="H1360" t="s">
        <v>64</v>
      </c>
      <c r="I1360" t="s">
        <v>108</v>
      </c>
      <c r="J1360" t="s">
        <v>109</v>
      </c>
      <c r="K1360">
        <v>2</v>
      </c>
      <c r="L1360">
        <v>7158.51</v>
      </c>
      <c r="M1360">
        <v>0.05</v>
      </c>
      <c r="N1360">
        <v>13601.17</v>
      </c>
      <c r="O1360">
        <v>9271.18</v>
      </c>
      <c r="P1360">
        <v>4329.99</v>
      </c>
      <c r="Q1360" t="s">
        <v>67</v>
      </c>
      <c r="R1360">
        <v>0.31835422981993461</v>
      </c>
      <c r="S1360">
        <v>2025</v>
      </c>
      <c r="T1360" t="s">
        <v>412</v>
      </c>
      <c r="U1360">
        <v>2</v>
      </c>
      <c r="V1360" t="s">
        <v>33</v>
      </c>
    </row>
    <row r="1361" spans="1:22" x14ac:dyDescent="0.3">
      <c r="A1361" t="s">
        <v>2323</v>
      </c>
      <c r="B1361" s="1">
        <v>45689</v>
      </c>
      <c r="C1361" t="s">
        <v>2324</v>
      </c>
      <c r="D1361" t="s">
        <v>1148</v>
      </c>
      <c r="E1361" t="s">
        <v>41</v>
      </c>
      <c r="F1361" t="s">
        <v>42</v>
      </c>
      <c r="G1361" t="s">
        <v>50</v>
      </c>
      <c r="H1361" t="s">
        <v>43</v>
      </c>
      <c r="I1361" t="s">
        <v>51</v>
      </c>
      <c r="J1361" t="s">
        <v>52</v>
      </c>
      <c r="K1361">
        <v>1</v>
      </c>
      <c r="L1361">
        <v>661.62</v>
      </c>
      <c r="M1361">
        <v>0.2</v>
      </c>
      <c r="N1361">
        <v>529.29999999999995</v>
      </c>
      <c r="O1361">
        <v>319.06</v>
      </c>
      <c r="P1361">
        <v>210.24</v>
      </c>
      <c r="Q1361" t="s">
        <v>53</v>
      </c>
      <c r="R1361">
        <v>0.39720385414698661</v>
      </c>
      <c r="S1361">
        <v>2025</v>
      </c>
      <c r="T1361" t="s">
        <v>412</v>
      </c>
      <c r="U1361">
        <v>2</v>
      </c>
      <c r="V1361" t="s">
        <v>33</v>
      </c>
    </row>
    <row r="1362" spans="1:22" x14ac:dyDescent="0.3">
      <c r="A1362" t="s">
        <v>2325</v>
      </c>
      <c r="B1362" s="1">
        <v>45689</v>
      </c>
      <c r="C1362" t="s">
        <v>218</v>
      </c>
      <c r="D1362" t="s">
        <v>1148</v>
      </c>
      <c r="E1362" t="s">
        <v>25</v>
      </c>
      <c r="F1362" t="s">
        <v>26</v>
      </c>
      <c r="G1362" t="s">
        <v>27</v>
      </c>
      <c r="H1362" t="s">
        <v>64</v>
      </c>
      <c r="I1362" t="s">
        <v>65</v>
      </c>
      <c r="J1362" t="s">
        <v>232</v>
      </c>
      <c r="K1362">
        <v>3</v>
      </c>
      <c r="L1362">
        <v>3813.53</v>
      </c>
      <c r="M1362">
        <v>0.15</v>
      </c>
      <c r="N1362">
        <v>9724.5</v>
      </c>
      <c r="O1362">
        <v>7295.86</v>
      </c>
      <c r="P1362">
        <v>2428.64</v>
      </c>
      <c r="Q1362" t="s">
        <v>31</v>
      </c>
      <c r="R1362">
        <v>0.249744459869402</v>
      </c>
      <c r="S1362">
        <v>2025</v>
      </c>
      <c r="T1362" t="s">
        <v>412</v>
      </c>
      <c r="U1362">
        <v>2</v>
      </c>
      <c r="V1362" t="s">
        <v>33</v>
      </c>
    </row>
    <row r="1363" spans="1:22" x14ac:dyDescent="0.3">
      <c r="A1363" t="s">
        <v>2326</v>
      </c>
      <c r="B1363" s="1">
        <v>45690</v>
      </c>
      <c r="C1363" t="s">
        <v>2327</v>
      </c>
      <c r="D1363" t="s">
        <v>1106</v>
      </c>
      <c r="E1363" t="s">
        <v>25</v>
      </c>
      <c r="F1363" t="s">
        <v>26</v>
      </c>
      <c r="G1363" t="s">
        <v>27</v>
      </c>
      <c r="H1363" t="s">
        <v>43</v>
      </c>
      <c r="I1363" t="s">
        <v>44</v>
      </c>
      <c r="J1363" t="s">
        <v>45</v>
      </c>
      <c r="K1363">
        <v>2</v>
      </c>
      <c r="L1363">
        <v>246</v>
      </c>
      <c r="M1363">
        <v>0.2</v>
      </c>
      <c r="N1363">
        <v>393.6</v>
      </c>
      <c r="O1363">
        <v>189.73</v>
      </c>
      <c r="P1363">
        <v>203.87</v>
      </c>
      <c r="Q1363" t="s">
        <v>113</v>
      </c>
      <c r="R1363">
        <v>0.51796239837398372</v>
      </c>
      <c r="S1363">
        <v>2025</v>
      </c>
      <c r="T1363" t="s">
        <v>412</v>
      </c>
      <c r="U1363">
        <v>2</v>
      </c>
      <c r="V1363" t="s">
        <v>33</v>
      </c>
    </row>
    <row r="1364" spans="1:22" x14ac:dyDescent="0.3">
      <c r="A1364" t="s">
        <v>2328</v>
      </c>
      <c r="B1364" s="1">
        <v>45690</v>
      </c>
      <c r="C1364" t="s">
        <v>426</v>
      </c>
      <c r="D1364" t="s">
        <v>944</v>
      </c>
      <c r="E1364" t="s">
        <v>41</v>
      </c>
      <c r="F1364" t="s">
        <v>42</v>
      </c>
      <c r="G1364" t="s">
        <v>42</v>
      </c>
      <c r="H1364" t="s">
        <v>64</v>
      </c>
      <c r="I1364" t="s">
        <v>65</v>
      </c>
      <c r="J1364" t="s">
        <v>66</v>
      </c>
      <c r="K1364">
        <v>2</v>
      </c>
      <c r="L1364">
        <v>5085.3</v>
      </c>
      <c r="M1364">
        <v>0.15</v>
      </c>
      <c r="N1364">
        <v>8645.01</v>
      </c>
      <c r="O1364">
        <v>6364.26</v>
      </c>
      <c r="P1364">
        <v>2280.75</v>
      </c>
      <c r="Q1364" t="s">
        <v>53</v>
      </c>
      <c r="R1364">
        <v>0.26382271391241879</v>
      </c>
      <c r="S1364">
        <v>2025</v>
      </c>
      <c r="T1364" t="s">
        <v>412</v>
      </c>
      <c r="U1364">
        <v>2</v>
      </c>
      <c r="V1364" t="s">
        <v>33</v>
      </c>
    </row>
    <row r="1365" spans="1:22" x14ac:dyDescent="0.3">
      <c r="A1365" t="s">
        <v>2329</v>
      </c>
      <c r="B1365" s="1">
        <v>45691</v>
      </c>
      <c r="C1365" t="s">
        <v>280</v>
      </c>
      <c r="D1365" t="s">
        <v>451</v>
      </c>
      <c r="E1365" t="s">
        <v>25</v>
      </c>
      <c r="F1365" t="s">
        <v>26</v>
      </c>
      <c r="G1365" t="s">
        <v>171</v>
      </c>
      <c r="H1365" t="s">
        <v>64</v>
      </c>
      <c r="I1365" t="s">
        <v>65</v>
      </c>
      <c r="J1365" t="s">
        <v>66</v>
      </c>
      <c r="K1365">
        <v>2</v>
      </c>
      <c r="L1365">
        <v>4762.0600000000004</v>
      </c>
      <c r="M1365">
        <v>0.15</v>
      </c>
      <c r="N1365">
        <v>8095.5</v>
      </c>
      <c r="O1365">
        <v>5602.44</v>
      </c>
      <c r="P1365">
        <v>2493.06</v>
      </c>
      <c r="Q1365" t="s">
        <v>67</v>
      </c>
      <c r="R1365">
        <v>0.3079562720029646</v>
      </c>
      <c r="S1365">
        <v>2025</v>
      </c>
      <c r="T1365" t="s">
        <v>412</v>
      </c>
      <c r="U1365">
        <v>2</v>
      </c>
      <c r="V1365" t="s">
        <v>33</v>
      </c>
    </row>
    <row r="1366" spans="1:22" x14ac:dyDescent="0.3">
      <c r="A1366" t="s">
        <v>2330</v>
      </c>
      <c r="B1366" s="1">
        <v>45691</v>
      </c>
      <c r="C1366" t="s">
        <v>306</v>
      </c>
      <c r="D1366" t="s">
        <v>1433</v>
      </c>
      <c r="E1366" t="s">
        <v>120</v>
      </c>
      <c r="F1366" t="s">
        <v>121</v>
      </c>
      <c r="G1366" t="s">
        <v>224</v>
      </c>
      <c r="H1366" t="s">
        <v>43</v>
      </c>
      <c r="I1366" t="s">
        <v>51</v>
      </c>
      <c r="J1366" t="s">
        <v>52</v>
      </c>
      <c r="K1366">
        <v>6</v>
      </c>
      <c r="L1366">
        <v>734.55</v>
      </c>
      <c r="M1366">
        <v>0.2</v>
      </c>
      <c r="N1366">
        <v>3525.84</v>
      </c>
      <c r="O1366">
        <v>2132.87</v>
      </c>
      <c r="P1366">
        <v>1392.97</v>
      </c>
      <c r="Q1366" t="s">
        <v>67</v>
      </c>
      <c r="R1366">
        <v>0.39507464887799792</v>
      </c>
      <c r="S1366">
        <v>2025</v>
      </c>
      <c r="T1366" t="s">
        <v>412</v>
      </c>
      <c r="U1366">
        <v>2</v>
      </c>
      <c r="V1366" t="s">
        <v>33</v>
      </c>
    </row>
    <row r="1367" spans="1:22" x14ac:dyDescent="0.3">
      <c r="A1367" t="s">
        <v>2331</v>
      </c>
      <c r="B1367" s="1">
        <v>45691</v>
      </c>
      <c r="C1367" t="s">
        <v>1699</v>
      </c>
      <c r="D1367" t="s">
        <v>206</v>
      </c>
      <c r="E1367" t="s">
        <v>61</v>
      </c>
      <c r="F1367" t="s">
        <v>62</v>
      </c>
      <c r="G1367" t="s">
        <v>90</v>
      </c>
      <c r="H1367" t="s">
        <v>64</v>
      </c>
      <c r="I1367" t="s">
        <v>108</v>
      </c>
      <c r="J1367" t="s">
        <v>109</v>
      </c>
      <c r="K1367">
        <v>1</v>
      </c>
      <c r="L1367">
        <v>6622.38</v>
      </c>
      <c r="M1367">
        <v>0</v>
      </c>
      <c r="N1367">
        <v>6622.38</v>
      </c>
      <c r="O1367">
        <v>4304.4399999999996</v>
      </c>
      <c r="P1367">
        <v>2317.94</v>
      </c>
      <c r="Q1367" t="s">
        <v>31</v>
      </c>
      <c r="R1367">
        <v>0.35001615733316421</v>
      </c>
      <c r="S1367">
        <v>2025</v>
      </c>
      <c r="T1367" t="s">
        <v>412</v>
      </c>
      <c r="U1367">
        <v>2</v>
      </c>
      <c r="V1367" t="s">
        <v>33</v>
      </c>
    </row>
    <row r="1368" spans="1:22" x14ac:dyDescent="0.3">
      <c r="A1368" t="s">
        <v>2332</v>
      </c>
      <c r="B1368" s="1">
        <v>45691</v>
      </c>
      <c r="C1368" t="s">
        <v>1006</v>
      </c>
      <c r="D1368" t="s">
        <v>103</v>
      </c>
      <c r="E1368" t="s">
        <v>120</v>
      </c>
      <c r="F1368" t="s">
        <v>121</v>
      </c>
      <c r="G1368" t="s">
        <v>122</v>
      </c>
      <c r="H1368" t="s">
        <v>84</v>
      </c>
      <c r="I1368" t="s">
        <v>85</v>
      </c>
      <c r="J1368" t="s">
        <v>86</v>
      </c>
      <c r="K1368">
        <v>2</v>
      </c>
      <c r="L1368">
        <v>1865.98</v>
      </c>
      <c r="M1368">
        <v>0.1</v>
      </c>
      <c r="N1368">
        <v>3358.76</v>
      </c>
      <c r="O1368">
        <v>2001.2</v>
      </c>
      <c r="P1368">
        <v>1357.56</v>
      </c>
      <c r="Q1368" t="s">
        <v>53</v>
      </c>
      <c r="R1368">
        <v>0.40418487775250378</v>
      </c>
      <c r="S1368">
        <v>2025</v>
      </c>
      <c r="T1368" t="s">
        <v>412</v>
      </c>
      <c r="U1368">
        <v>2</v>
      </c>
      <c r="V1368" t="s">
        <v>33</v>
      </c>
    </row>
    <row r="1369" spans="1:22" x14ac:dyDescent="0.3">
      <c r="A1369" t="s">
        <v>2333</v>
      </c>
      <c r="B1369" s="1">
        <v>45692</v>
      </c>
      <c r="C1369" t="s">
        <v>262</v>
      </c>
      <c r="D1369" t="s">
        <v>1218</v>
      </c>
      <c r="E1369" t="s">
        <v>120</v>
      </c>
      <c r="F1369" t="s">
        <v>121</v>
      </c>
      <c r="G1369" t="s">
        <v>130</v>
      </c>
      <c r="H1369" t="s">
        <v>84</v>
      </c>
      <c r="I1369" t="s">
        <v>85</v>
      </c>
      <c r="J1369" t="s">
        <v>86</v>
      </c>
      <c r="K1369">
        <v>1</v>
      </c>
      <c r="L1369">
        <v>1789.72</v>
      </c>
      <c r="M1369">
        <v>0.1</v>
      </c>
      <c r="N1369">
        <v>1610.75</v>
      </c>
      <c r="O1369">
        <v>970.43</v>
      </c>
      <c r="P1369">
        <v>640.32000000000005</v>
      </c>
      <c r="Q1369" t="s">
        <v>46</v>
      </c>
      <c r="R1369">
        <v>0.39752910135030273</v>
      </c>
      <c r="S1369">
        <v>2025</v>
      </c>
      <c r="T1369" t="s">
        <v>412</v>
      </c>
      <c r="U1369">
        <v>2</v>
      </c>
      <c r="V1369" t="s">
        <v>33</v>
      </c>
    </row>
    <row r="1370" spans="1:22" x14ac:dyDescent="0.3">
      <c r="A1370" t="s">
        <v>2334</v>
      </c>
      <c r="B1370" s="1">
        <v>45692</v>
      </c>
      <c r="C1370" t="s">
        <v>834</v>
      </c>
      <c r="D1370" t="s">
        <v>789</v>
      </c>
      <c r="E1370" t="s">
        <v>25</v>
      </c>
      <c r="F1370" t="s">
        <v>26</v>
      </c>
      <c r="G1370" t="s">
        <v>27</v>
      </c>
      <c r="H1370" t="s">
        <v>28</v>
      </c>
      <c r="I1370" t="s">
        <v>91</v>
      </c>
      <c r="J1370" t="s">
        <v>92</v>
      </c>
      <c r="K1370">
        <v>3</v>
      </c>
      <c r="L1370">
        <v>2875.78</v>
      </c>
      <c r="M1370">
        <v>0.05</v>
      </c>
      <c r="N1370">
        <v>8195.9699999999993</v>
      </c>
      <c r="O1370">
        <v>4597.05</v>
      </c>
      <c r="P1370">
        <v>3598.92</v>
      </c>
      <c r="Q1370" t="s">
        <v>31</v>
      </c>
      <c r="R1370">
        <v>0.43910848868407282</v>
      </c>
      <c r="S1370">
        <v>2025</v>
      </c>
      <c r="T1370" t="s">
        <v>412</v>
      </c>
      <c r="U1370">
        <v>2</v>
      </c>
      <c r="V1370" t="s">
        <v>33</v>
      </c>
    </row>
    <row r="1371" spans="1:22" x14ac:dyDescent="0.3">
      <c r="A1371" t="s">
        <v>2335</v>
      </c>
      <c r="B1371" s="1">
        <v>45692</v>
      </c>
      <c r="C1371" t="s">
        <v>749</v>
      </c>
      <c r="D1371" t="s">
        <v>474</v>
      </c>
      <c r="E1371" t="s">
        <v>41</v>
      </c>
      <c r="F1371" t="s">
        <v>42</v>
      </c>
      <c r="G1371" t="s">
        <v>50</v>
      </c>
      <c r="H1371" t="s">
        <v>28</v>
      </c>
      <c r="I1371" t="s">
        <v>73</v>
      </c>
      <c r="J1371" t="s">
        <v>80</v>
      </c>
      <c r="K1371">
        <v>1</v>
      </c>
      <c r="L1371">
        <v>799.43</v>
      </c>
      <c r="M1371">
        <v>0</v>
      </c>
      <c r="N1371">
        <v>799.43</v>
      </c>
      <c r="O1371">
        <v>505.37</v>
      </c>
      <c r="P1371">
        <v>294.06</v>
      </c>
      <c r="Q1371" t="s">
        <v>31</v>
      </c>
      <c r="R1371">
        <v>0.36783708392229458</v>
      </c>
      <c r="S1371">
        <v>2025</v>
      </c>
      <c r="T1371" t="s">
        <v>412</v>
      </c>
      <c r="U1371">
        <v>2</v>
      </c>
      <c r="V1371" t="s">
        <v>33</v>
      </c>
    </row>
    <row r="1372" spans="1:22" x14ac:dyDescent="0.3">
      <c r="A1372" t="s">
        <v>2336</v>
      </c>
      <c r="B1372" s="1">
        <v>45693</v>
      </c>
      <c r="C1372" t="s">
        <v>1395</v>
      </c>
      <c r="D1372" t="s">
        <v>273</v>
      </c>
      <c r="E1372" t="s">
        <v>61</v>
      </c>
      <c r="F1372" t="s">
        <v>78</v>
      </c>
      <c r="G1372" t="s">
        <v>83</v>
      </c>
      <c r="H1372" t="s">
        <v>84</v>
      </c>
      <c r="I1372" t="s">
        <v>138</v>
      </c>
      <c r="J1372" t="s">
        <v>220</v>
      </c>
      <c r="K1372">
        <v>3</v>
      </c>
      <c r="L1372">
        <v>7638.58</v>
      </c>
      <c r="M1372">
        <v>0.1</v>
      </c>
      <c r="N1372">
        <v>20624.169999999998</v>
      </c>
      <c r="O1372">
        <v>14549.77</v>
      </c>
      <c r="P1372">
        <v>6074.4</v>
      </c>
      <c r="Q1372" t="s">
        <v>113</v>
      </c>
      <c r="R1372">
        <v>0.29452821616578989</v>
      </c>
      <c r="S1372">
        <v>2025</v>
      </c>
      <c r="T1372" t="s">
        <v>412</v>
      </c>
      <c r="U1372">
        <v>2</v>
      </c>
      <c r="V1372" t="s">
        <v>33</v>
      </c>
    </row>
    <row r="1373" spans="1:22" x14ac:dyDescent="0.3">
      <c r="A1373" t="s">
        <v>2337</v>
      </c>
      <c r="B1373" s="1">
        <v>45693</v>
      </c>
      <c r="C1373" t="s">
        <v>333</v>
      </c>
      <c r="D1373" t="s">
        <v>116</v>
      </c>
      <c r="E1373" t="s">
        <v>120</v>
      </c>
      <c r="F1373" t="s">
        <v>121</v>
      </c>
      <c r="G1373" t="s">
        <v>122</v>
      </c>
      <c r="H1373" t="s">
        <v>84</v>
      </c>
      <c r="I1373" t="s">
        <v>85</v>
      </c>
      <c r="J1373" t="s">
        <v>145</v>
      </c>
      <c r="K1373">
        <v>1</v>
      </c>
      <c r="L1373">
        <v>3166.87</v>
      </c>
      <c r="M1373">
        <v>0.05</v>
      </c>
      <c r="N1373">
        <v>3008.53</v>
      </c>
      <c r="O1373">
        <v>1779.13</v>
      </c>
      <c r="P1373">
        <v>1229.4000000000001</v>
      </c>
      <c r="Q1373" t="s">
        <v>46</v>
      </c>
      <c r="R1373">
        <v>0.40863810565292691</v>
      </c>
      <c r="S1373">
        <v>2025</v>
      </c>
      <c r="T1373" t="s">
        <v>412</v>
      </c>
      <c r="U1373">
        <v>2</v>
      </c>
      <c r="V1373" t="s">
        <v>33</v>
      </c>
    </row>
    <row r="1374" spans="1:22" x14ac:dyDescent="0.3">
      <c r="A1374" t="s">
        <v>2338</v>
      </c>
      <c r="B1374" s="1">
        <v>45693</v>
      </c>
      <c r="C1374" t="s">
        <v>150</v>
      </c>
      <c r="D1374" t="s">
        <v>382</v>
      </c>
      <c r="E1374" t="s">
        <v>61</v>
      </c>
      <c r="F1374" t="s">
        <v>71</v>
      </c>
      <c r="G1374" t="s">
        <v>201</v>
      </c>
      <c r="H1374" t="s">
        <v>84</v>
      </c>
      <c r="I1374" t="s">
        <v>138</v>
      </c>
      <c r="J1374" t="s">
        <v>220</v>
      </c>
      <c r="K1374">
        <v>4</v>
      </c>
      <c r="L1374">
        <v>7506.1</v>
      </c>
      <c r="M1374">
        <v>0.1</v>
      </c>
      <c r="N1374">
        <v>27021.96</v>
      </c>
      <c r="O1374">
        <v>18927.29</v>
      </c>
      <c r="P1374">
        <v>8094.67</v>
      </c>
      <c r="Q1374" t="s">
        <v>31</v>
      </c>
      <c r="R1374">
        <v>0.29955895131219201</v>
      </c>
      <c r="S1374">
        <v>2025</v>
      </c>
      <c r="T1374" t="s">
        <v>412</v>
      </c>
      <c r="U1374">
        <v>2</v>
      </c>
      <c r="V1374" t="s">
        <v>33</v>
      </c>
    </row>
    <row r="1375" spans="1:22" x14ac:dyDescent="0.3">
      <c r="A1375" t="s">
        <v>2339</v>
      </c>
      <c r="B1375" s="1">
        <v>45694</v>
      </c>
      <c r="C1375" t="s">
        <v>300</v>
      </c>
      <c r="D1375" t="s">
        <v>510</v>
      </c>
      <c r="E1375" t="s">
        <v>61</v>
      </c>
      <c r="F1375" t="s">
        <v>62</v>
      </c>
      <c r="G1375" t="s">
        <v>90</v>
      </c>
      <c r="H1375" t="s">
        <v>84</v>
      </c>
      <c r="I1375" t="s">
        <v>138</v>
      </c>
      <c r="J1375" t="s">
        <v>139</v>
      </c>
      <c r="K1375">
        <v>1</v>
      </c>
      <c r="L1375">
        <v>12789.48</v>
      </c>
      <c r="M1375">
        <v>0.1</v>
      </c>
      <c r="N1375">
        <v>11510.53</v>
      </c>
      <c r="O1375">
        <v>9552.92</v>
      </c>
      <c r="P1375">
        <v>1957.61</v>
      </c>
      <c r="Q1375" t="s">
        <v>113</v>
      </c>
      <c r="R1375">
        <v>0.1700712304298759</v>
      </c>
      <c r="S1375">
        <v>2025</v>
      </c>
      <c r="T1375" t="s">
        <v>412</v>
      </c>
      <c r="U1375">
        <v>2</v>
      </c>
      <c r="V1375" t="s">
        <v>33</v>
      </c>
    </row>
    <row r="1376" spans="1:22" x14ac:dyDescent="0.3">
      <c r="A1376" t="s">
        <v>2340</v>
      </c>
      <c r="B1376" s="1">
        <v>45694</v>
      </c>
      <c r="C1376" t="s">
        <v>721</v>
      </c>
      <c r="D1376" t="s">
        <v>1415</v>
      </c>
      <c r="E1376" t="s">
        <v>61</v>
      </c>
      <c r="F1376" t="s">
        <v>62</v>
      </c>
      <c r="G1376" t="s">
        <v>134</v>
      </c>
      <c r="H1376" t="s">
        <v>28</v>
      </c>
      <c r="I1376" t="s">
        <v>91</v>
      </c>
      <c r="J1376" t="s">
        <v>92</v>
      </c>
      <c r="K1376">
        <v>1</v>
      </c>
      <c r="L1376">
        <v>3039.96</v>
      </c>
      <c r="M1376">
        <v>0.15</v>
      </c>
      <c r="N1376">
        <v>2583.9699999999998</v>
      </c>
      <c r="O1376">
        <v>1595.29</v>
      </c>
      <c r="P1376">
        <v>988.68</v>
      </c>
      <c r="Q1376" t="s">
        <v>31</v>
      </c>
      <c r="R1376">
        <v>0.38262054126015388</v>
      </c>
      <c r="S1376">
        <v>2025</v>
      </c>
      <c r="T1376" t="s">
        <v>412</v>
      </c>
      <c r="U1376">
        <v>2</v>
      </c>
      <c r="V1376" t="s">
        <v>33</v>
      </c>
    </row>
    <row r="1377" spans="1:22" x14ac:dyDescent="0.3">
      <c r="A1377" t="s">
        <v>2341</v>
      </c>
      <c r="B1377" s="1">
        <v>45694</v>
      </c>
      <c r="C1377" t="s">
        <v>118</v>
      </c>
      <c r="D1377" t="s">
        <v>1647</v>
      </c>
      <c r="E1377" t="s">
        <v>120</v>
      </c>
      <c r="F1377" t="s">
        <v>121</v>
      </c>
      <c r="G1377" t="s">
        <v>130</v>
      </c>
      <c r="H1377" t="s">
        <v>28</v>
      </c>
      <c r="I1377" t="s">
        <v>29</v>
      </c>
      <c r="J1377" t="s">
        <v>57</v>
      </c>
      <c r="K1377">
        <v>2</v>
      </c>
      <c r="L1377">
        <v>15838.04</v>
      </c>
      <c r="M1377">
        <v>0.1</v>
      </c>
      <c r="N1377">
        <v>28508.47</v>
      </c>
      <c r="O1377">
        <v>23167.97</v>
      </c>
      <c r="P1377">
        <v>5340.5</v>
      </c>
      <c r="Q1377" t="s">
        <v>46</v>
      </c>
      <c r="R1377">
        <v>0.1873302916641966</v>
      </c>
      <c r="S1377">
        <v>2025</v>
      </c>
      <c r="T1377" t="s">
        <v>412</v>
      </c>
      <c r="U1377">
        <v>2</v>
      </c>
      <c r="V1377" t="s">
        <v>33</v>
      </c>
    </row>
    <row r="1378" spans="1:22" x14ac:dyDescent="0.3">
      <c r="A1378" t="s">
        <v>2342</v>
      </c>
      <c r="B1378" s="1">
        <v>45695</v>
      </c>
      <c r="C1378" t="s">
        <v>306</v>
      </c>
      <c r="D1378" t="s">
        <v>49</v>
      </c>
      <c r="E1378" t="s">
        <v>41</v>
      </c>
      <c r="F1378" t="s">
        <v>42</v>
      </c>
      <c r="G1378" t="s">
        <v>42</v>
      </c>
      <c r="H1378" t="s">
        <v>28</v>
      </c>
      <c r="I1378" t="s">
        <v>73</v>
      </c>
      <c r="J1378" t="s">
        <v>74</v>
      </c>
      <c r="K1378">
        <v>5</v>
      </c>
      <c r="L1378">
        <v>2538.06</v>
      </c>
      <c r="M1378">
        <v>0.1</v>
      </c>
      <c r="N1378">
        <v>11421.27</v>
      </c>
      <c r="O1378">
        <v>6713.47</v>
      </c>
      <c r="P1378">
        <v>4707.8</v>
      </c>
      <c r="Q1378" t="s">
        <v>113</v>
      </c>
      <c r="R1378">
        <v>0.41219584161831391</v>
      </c>
      <c r="S1378">
        <v>2025</v>
      </c>
      <c r="T1378" t="s">
        <v>412</v>
      </c>
      <c r="U1378">
        <v>2</v>
      </c>
      <c r="V1378" t="s">
        <v>33</v>
      </c>
    </row>
    <row r="1379" spans="1:22" x14ac:dyDescent="0.3">
      <c r="A1379" t="s">
        <v>2343</v>
      </c>
      <c r="B1379" s="1">
        <v>45695</v>
      </c>
      <c r="C1379" t="s">
        <v>1336</v>
      </c>
      <c r="D1379" t="s">
        <v>56</v>
      </c>
      <c r="E1379" t="s">
        <v>61</v>
      </c>
      <c r="F1379" t="s">
        <v>78</v>
      </c>
      <c r="G1379" t="s">
        <v>79</v>
      </c>
      <c r="H1379" t="s">
        <v>84</v>
      </c>
      <c r="I1379" t="s">
        <v>138</v>
      </c>
      <c r="J1379" t="s">
        <v>220</v>
      </c>
      <c r="K1379">
        <v>1</v>
      </c>
      <c r="L1379">
        <v>7548.53</v>
      </c>
      <c r="M1379">
        <v>0.05</v>
      </c>
      <c r="N1379">
        <v>7171.1</v>
      </c>
      <c r="O1379">
        <v>4841.42</v>
      </c>
      <c r="P1379">
        <v>2329.6799999999998</v>
      </c>
      <c r="Q1379" t="s">
        <v>31</v>
      </c>
      <c r="R1379">
        <v>0.32487066140480542</v>
      </c>
      <c r="S1379">
        <v>2025</v>
      </c>
      <c r="T1379" t="s">
        <v>412</v>
      </c>
      <c r="U1379">
        <v>2</v>
      </c>
      <c r="V1379" t="s">
        <v>33</v>
      </c>
    </row>
    <row r="1380" spans="1:22" x14ac:dyDescent="0.3">
      <c r="A1380" t="s">
        <v>2344</v>
      </c>
      <c r="B1380" s="1">
        <v>45695</v>
      </c>
      <c r="C1380" t="s">
        <v>559</v>
      </c>
      <c r="D1380" t="s">
        <v>1088</v>
      </c>
      <c r="E1380" t="s">
        <v>61</v>
      </c>
      <c r="F1380" t="s">
        <v>78</v>
      </c>
      <c r="G1380" t="s">
        <v>83</v>
      </c>
      <c r="H1380" t="s">
        <v>43</v>
      </c>
      <c r="I1380" t="s">
        <v>51</v>
      </c>
      <c r="J1380" t="s">
        <v>52</v>
      </c>
      <c r="K1380">
        <v>1</v>
      </c>
      <c r="L1380">
        <v>713.41</v>
      </c>
      <c r="M1380">
        <v>0.1</v>
      </c>
      <c r="N1380">
        <v>642.07000000000005</v>
      </c>
      <c r="O1380">
        <v>331.41</v>
      </c>
      <c r="P1380">
        <v>310.66000000000003</v>
      </c>
      <c r="Q1380" t="s">
        <v>46</v>
      </c>
      <c r="R1380">
        <v>0.48384132571214977</v>
      </c>
      <c r="S1380">
        <v>2025</v>
      </c>
      <c r="T1380" t="s">
        <v>412</v>
      </c>
      <c r="U1380">
        <v>2</v>
      </c>
      <c r="V1380" t="s">
        <v>33</v>
      </c>
    </row>
    <row r="1381" spans="1:22" x14ac:dyDescent="0.3">
      <c r="A1381" t="s">
        <v>2345</v>
      </c>
      <c r="B1381" s="1">
        <v>45695</v>
      </c>
      <c r="C1381" t="s">
        <v>2346</v>
      </c>
      <c r="D1381" t="s">
        <v>203</v>
      </c>
      <c r="E1381" t="s">
        <v>25</v>
      </c>
      <c r="F1381" t="s">
        <v>26</v>
      </c>
      <c r="G1381" t="s">
        <v>260</v>
      </c>
      <c r="H1381" t="s">
        <v>28</v>
      </c>
      <c r="I1381" t="s">
        <v>29</v>
      </c>
      <c r="J1381" t="s">
        <v>57</v>
      </c>
      <c r="K1381">
        <v>1</v>
      </c>
      <c r="L1381">
        <v>15240.26</v>
      </c>
      <c r="M1381">
        <v>0.2</v>
      </c>
      <c r="N1381">
        <v>12192.21</v>
      </c>
      <c r="O1381">
        <v>11456.72</v>
      </c>
      <c r="P1381">
        <v>735.49</v>
      </c>
      <c r="Q1381" t="s">
        <v>53</v>
      </c>
      <c r="R1381">
        <v>6.0324584304240168E-2</v>
      </c>
      <c r="S1381">
        <v>2025</v>
      </c>
      <c r="T1381" t="s">
        <v>412</v>
      </c>
      <c r="U1381">
        <v>2</v>
      </c>
      <c r="V1381" t="s">
        <v>33</v>
      </c>
    </row>
    <row r="1382" spans="1:22" x14ac:dyDescent="0.3">
      <c r="A1382" t="s">
        <v>2347</v>
      </c>
      <c r="B1382" s="1">
        <v>45695</v>
      </c>
      <c r="C1382" t="s">
        <v>2348</v>
      </c>
      <c r="D1382" t="s">
        <v>623</v>
      </c>
      <c r="E1382" t="s">
        <v>41</v>
      </c>
      <c r="F1382" t="s">
        <v>42</v>
      </c>
      <c r="G1382" t="s">
        <v>50</v>
      </c>
      <c r="H1382" t="s">
        <v>64</v>
      </c>
      <c r="I1382" t="s">
        <v>108</v>
      </c>
      <c r="J1382" t="s">
        <v>109</v>
      </c>
      <c r="K1382">
        <v>1</v>
      </c>
      <c r="L1382">
        <v>6964.4</v>
      </c>
      <c r="M1382">
        <v>0</v>
      </c>
      <c r="N1382">
        <v>6964.4</v>
      </c>
      <c r="O1382">
        <v>4614.57</v>
      </c>
      <c r="P1382">
        <v>2349.83</v>
      </c>
      <c r="Q1382" t="s">
        <v>113</v>
      </c>
      <c r="R1382">
        <v>0.33740595026132908</v>
      </c>
      <c r="S1382">
        <v>2025</v>
      </c>
      <c r="T1382" t="s">
        <v>412</v>
      </c>
      <c r="U1382">
        <v>2</v>
      </c>
      <c r="V1382" t="s">
        <v>33</v>
      </c>
    </row>
    <row r="1383" spans="1:22" x14ac:dyDescent="0.3">
      <c r="A1383" t="s">
        <v>2349</v>
      </c>
      <c r="B1383" s="1">
        <v>45695</v>
      </c>
      <c r="C1383" t="s">
        <v>2127</v>
      </c>
      <c r="D1383" t="s">
        <v>737</v>
      </c>
      <c r="E1383" t="s">
        <v>61</v>
      </c>
      <c r="F1383" t="s">
        <v>78</v>
      </c>
      <c r="G1383" t="s">
        <v>79</v>
      </c>
      <c r="H1383" t="s">
        <v>84</v>
      </c>
      <c r="I1383" t="s">
        <v>138</v>
      </c>
      <c r="J1383" t="s">
        <v>139</v>
      </c>
      <c r="K1383">
        <v>3</v>
      </c>
      <c r="L1383">
        <v>13013.78</v>
      </c>
      <c r="M1383">
        <v>0.05</v>
      </c>
      <c r="N1383">
        <v>37089.269999999997</v>
      </c>
      <c r="O1383">
        <v>27392.3</v>
      </c>
      <c r="P1383">
        <v>9696.9699999999993</v>
      </c>
      <c r="Q1383" t="s">
        <v>46</v>
      </c>
      <c r="R1383">
        <v>0.26144947042635241</v>
      </c>
      <c r="S1383">
        <v>2025</v>
      </c>
      <c r="T1383" t="s">
        <v>412</v>
      </c>
      <c r="U1383">
        <v>2</v>
      </c>
      <c r="V1383" t="s">
        <v>33</v>
      </c>
    </row>
    <row r="1384" spans="1:22" x14ac:dyDescent="0.3">
      <c r="A1384" t="s">
        <v>2350</v>
      </c>
      <c r="B1384" s="1">
        <v>45696</v>
      </c>
      <c r="C1384" t="s">
        <v>836</v>
      </c>
      <c r="D1384" t="s">
        <v>1647</v>
      </c>
      <c r="E1384" t="s">
        <v>61</v>
      </c>
      <c r="F1384" t="s">
        <v>71</v>
      </c>
      <c r="G1384" t="s">
        <v>317</v>
      </c>
      <c r="H1384" t="s">
        <v>43</v>
      </c>
      <c r="I1384" t="s">
        <v>51</v>
      </c>
      <c r="J1384" t="s">
        <v>96</v>
      </c>
      <c r="K1384">
        <v>2</v>
      </c>
      <c r="L1384">
        <v>526.29999999999995</v>
      </c>
      <c r="M1384">
        <v>0.15</v>
      </c>
      <c r="N1384">
        <v>894.71</v>
      </c>
      <c r="O1384">
        <v>459.67</v>
      </c>
      <c r="P1384">
        <v>435.04</v>
      </c>
      <c r="Q1384" t="s">
        <v>46</v>
      </c>
      <c r="R1384">
        <v>0.48623576354349463</v>
      </c>
      <c r="S1384">
        <v>2025</v>
      </c>
      <c r="T1384" t="s">
        <v>412</v>
      </c>
      <c r="U1384">
        <v>2</v>
      </c>
      <c r="V1384" t="s">
        <v>33</v>
      </c>
    </row>
    <row r="1385" spans="1:22" x14ac:dyDescent="0.3">
      <c r="A1385" t="s">
        <v>2351</v>
      </c>
      <c r="B1385" s="1">
        <v>45696</v>
      </c>
      <c r="C1385" t="s">
        <v>1113</v>
      </c>
      <c r="D1385" t="s">
        <v>2294</v>
      </c>
      <c r="E1385" t="s">
        <v>61</v>
      </c>
      <c r="F1385" t="s">
        <v>78</v>
      </c>
      <c r="G1385" t="s">
        <v>79</v>
      </c>
      <c r="H1385" t="s">
        <v>84</v>
      </c>
      <c r="I1385" t="s">
        <v>85</v>
      </c>
      <c r="J1385" t="s">
        <v>145</v>
      </c>
      <c r="K1385">
        <v>2</v>
      </c>
      <c r="L1385">
        <v>3245.16</v>
      </c>
      <c r="M1385">
        <v>0.1</v>
      </c>
      <c r="N1385">
        <v>5841.29</v>
      </c>
      <c r="O1385">
        <v>3823.81</v>
      </c>
      <c r="P1385">
        <v>2017.48</v>
      </c>
      <c r="Q1385" t="s">
        <v>53</v>
      </c>
      <c r="R1385">
        <v>0.34538261240239743</v>
      </c>
      <c r="S1385">
        <v>2025</v>
      </c>
      <c r="T1385" t="s">
        <v>412</v>
      </c>
      <c r="U1385">
        <v>2</v>
      </c>
      <c r="V1385" t="s">
        <v>33</v>
      </c>
    </row>
    <row r="1386" spans="1:22" x14ac:dyDescent="0.3">
      <c r="A1386" t="s">
        <v>2352</v>
      </c>
      <c r="B1386" s="1">
        <v>45696</v>
      </c>
      <c r="C1386" t="s">
        <v>160</v>
      </c>
      <c r="D1386" t="s">
        <v>253</v>
      </c>
      <c r="E1386" t="s">
        <v>120</v>
      </c>
      <c r="F1386" t="s">
        <v>121</v>
      </c>
      <c r="G1386" t="s">
        <v>122</v>
      </c>
      <c r="H1386" t="s">
        <v>28</v>
      </c>
      <c r="I1386" t="s">
        <v>29</v>
      </c>
      <c r="J1386" t="s">
        <v>30</v>
      </c>
      <c r="K1386">
        <v>1</v>
      </c>
      <c r="L1386">
        <v>59825.62</v>
      </c>
      <c r="M1386">
        <v>0.15</v>
      </c>
      <c r="N1386">
        <v>50851.78</v>
      </c>
      <c r="O1386">
        <v>52824.97</v>
      </c>
      <c r="P1386">
        <v>-1973.19</v>
      </c>
      <c r="Q1386" t="s">
        <v>31</v>
      </c>
      <c r="R1386">
        <v>-3.8802771505736869E-2</v>
      </c>
      <c r="S1386">
        <v>2025</v>
      </c>
      <c r="T1386" t="s">
        <v>412</v>
      </c>
      <c r="U1386">
        <v>2</v>
      </c>
      <c r="V1386" t="s">
        <v>33</v>
      </c>
    </row>
    <row r="1387" spans="1:22" x14ac:dyDescent="0.3">
      <c r="A1387" t="s">
        <v>2353</v>
      </c>
      <c r="B1387" s="1">
        <v>45696</v>
      </c>
      <c r="C1387" t="s">
        <v>1673</v>
      </c>
      <c r="D1387" t="s">
        <v>95</v>
      </c>
      <c r="E1387" t="s">
        <v>41</v>
      </c>
      <c r="F1387" t="s">
        <v>42</v>
      </c>
      <c r="G1387" t="s">
        <v>50</v>
      </c>
      <c r="H1387" t="s">
        <v>43</v>
      </c>
      <c r="I1387" t="s">
        <v>44</v>
      </c>
      <c r="J1387" t="s">
        <v>248</v>
      </c>
      <c r="K1387">
        <v>1</v>
      </c>
      <c r="L1387">
        <v>294.74</v>
      </c>
      <c r="M1387">
        <v>0.05</v>
      </c>
      <c r="N1387">
        <v>280</v>
      </c>
      <c r="O1387">
        <v>125.49</v>
      </c>
      <c r="P1387">
        <v>154.51</v>
      </c>
      <c r="Q1387" t="s">
        <v>31</v>
      </c>
      <c r="R1387">
        <v>0.55182142857142857</v>
      </c>
      <c r="S1387">
        <v>2025</v>
      </c>
      <c r="T1387" t="s">
        <v>412</v>
      </c>
      <c r="U1387">
        <v>2</v>
      </c>
      <c r="V1387" t="s">
        <v>33</v>
      </c>
    </row>
    <row r="1388" spans="1:22" x14ac:dyDescent="0.3">
      <c r="A1388" t="s">
        <v>2354</v>
      </c>
      <c r="B1388" s="1">
        <v>45697</v>
      </c>
      <c r="C1388" t="s">
        <v>1470</v>
      </c>
      <c r="D1388" t="s">
        <v>167</v>
      </c>
      <c r="E1388" t="s">
        <v>61</v>
      </c>
      <c r="F1388" t="s">
        <v>71</v>
      </c>
      <c r="G1388" t="s">
        <v>100</v>
      </c>
      <c r="H1388" t="s">
        <v>28</v>
      </c>
      <c r="I1388" t="s">
        <v>29</v>
      </c>
      <c r="J1388" t="s">
        <v>30</v>
      </c>
      <c r="K1388">
        <v>4</v>
      </c>
      <c r="L1388">
        <v>60477.72</v>
      </c>
      <c r="M1388">
        <v>0</v>
      </c>
      <c r="N1388">
        <v>241910.88</v>
      </c>
      <c r="O1388">
        <v>221386.45</v>
      </c>
      <c r="P1388">
        <v>20524.43</v>
      </c>
      <c r="Q1388" t="s">
        <v>46</v>
      </c>
      <c r="R1388">
        <v>8.4842938854176375E-2</v>
      </c>
      <c r="S1388">
        <v>2025</v>
      </c>
      <c r="T1388" t="s">
        <v>412</v>
      </c>
      <c r="U1388">
        <v>2</v>
      </c>
      <c r="V1388" t="s">
        <v>33</v>
      </c>
    </row>
    <row r="1389" spans="1:22" x14ac:dyDescent="0.3">
      <c r="A1389" t="s">
        <v>2355</v>
      </c>
      <c r="B1389" s="1">
        <v>45697</v>
      </c>
      <c r="C1389" t="s">
        <v>1174</v>
      </c>
      <c r="D1389" t="s">
        <v>393</v>
      </c>
      <c r="E1389" t="s">
        <v>61</v>
      </c>
      <c r="F1389" t="s">
        <v>78</v>
      </c>
      <c r="G1389" t="s">
        <v>83</v>
      </c>
      <c r="H1389" t="s">
        <v>28</v>
      </c>
      <c r="I1389" t="s">
        <v>29</v>
      </c>
      <c r="J1389" t="s">
        <v>30</v>
      </c>
      <c r="K1389">
        <v>6</v>
      </c>
      <c r="L1389">
        <v>58570</v>
      </c>
      <c r="M1389">
        <v>0.05</v>
      </c>
      <c r="N1389">
        <v>333849</v>
      </c>
      <c r="O1389">
        <v>318868.83</v>
      </c>
      <c r="P1389">
        <v>14980.17</v>
      </c>
      <c r="Q1389" t="s">
        <v>31</v>
      </c>
      <c r="R1389">
        <v>4.4871094416936999E-2</v>
      </c>
      <c r="S1389">
        <v>2025</v>
      </c>
      <c r="T1389" t="s">
        <v>412</v>
      </c>
      <c r="U1389">
        <v>2</v>
      </c>
      <c r="V1389" t="s">
        <v>33</v>
      </c>
    </row>
    <row r="1390" spans="1:22" x14ac:dyDescent="0.3">
      <c r="A1390" t="s">
        <v>2356</v>
      </c>
      <c r="B1390" s="1">
        <v>45697</v>
      </c>
      <c r="C1390" t="s">
        <v>464</v>
      </c>
      <c r="D1390" t="s">
        <v>212</v>
      </c>
      <c r="E1390" t="s">
        <v>120</v>
      </c>
      <c r="F1390" t="s">
        <v>121</v>
      </c>
      <c r="G1390" t="s">
        <v>224</v>
      </c>
      <c r="H1390" t="s">
        <v>84</v>
      </c>
      <c r="I1390" t="s">
        <v>85</v>
      </c>
      <c r="J1390" t="s">
        <v>86</v>
      </c>
      <c r="K1390">
        <v>3</v>
      </c>
      <c r="L1390">
        <v>1799.04</v>
      </c>
      <c r="M1390">
        <v>0.1</v>
      </c>
      <c r="N1390">
        <v>4857.41</v>
      </c>
      <c r="O1390">
        <v>3028.12</v>
      </c>
      <c r="P1390">
        <v>1829.29</v>
      </c>
      <c r="Q1390" t="s">
        <v>46</v>
      </c>
      <c r="R1390">
        <v>0.37659781653185548</v>
      </c>
      <c r="S1390">
        <v>2025</v>
      </c>
      <c r="T1390" t="s">
        <v>412</v>
      </c>
      <c r="U1390">
        <v>2</v>
      </c>
      <c r="V1390" t="s">
        <v>33</v>
      </c>
    </row>
    <row r="1391" spans="1:22" x14ac:dyDescent="0.3">
      <c r="A1391" t="s">
        <v>2357</v>
      </c>
      <c r="B1391" s="1">
        <v>45698</v>
      </c>
      <c r="C1391" t="s">
        <v>948</v>
      </c>
      <c r="D1391" t="s">
        <v>507</v>
      </c>
      <c r="E1391" t="s">
        <v>61</v>
      </c>
      <c r="F1391" t="s">
        <v>71</v>
      </c>
      <c r="G1391" t="s">
        <v>201</v>
      </c>
      <c r="H1391" t="s">
        <v>43</v>
      </c>
      <c r="I1391" t="s">
        <v>44</v>
      </c>
      <c r="J1391" t="s">
        <v>248</v>
      </c>
      <c r="K1391">
        <v>1</v>
      </c>
      <c r="L1391">
        <v>316.19</v>
      </c>
      <c r="M1391">
        <v>0.1</v>
      </c>
      <c r="N1391">
        <v>284.57</v>
      </c>
      <c r="O1391">
        <v>128.79</v>
      </c>
      <c r="P1391">
        <v>155.78</v>
      </c>
      <c r="Q1391" t="s">
        <v>31</v>
      </c>
      <c r="R1391">
        <v>0.54742242681941178</v>
      </c>
      <c r="S1391">
        <v>2025</v>
      </c>
      <c r="T1391" t="s">
        <v>412</v>
      </c>
      <c r="U1391">
        <v>2</v>
      </c>
      <c r="V1391" t="s">
        <v>33</v>
      </c>
    </row>
    <row r="1392" spans="1:22" x14ac:dyDescent="0.3">
      <c r="A1392" t="s">
        <v>2358</v>
      </c>
      <c r="B1392" s="1">
        <v>45698</v>
      </c>
      <c r="C1392" t="s">
        <v>725</v>
      </c>
      <c r="D1392" t="s">
        <v>256</v>
      </c>
      <c r="E1392" t="s">
        <v>61</v>
      </c>
      <c r="F1392" t="s">
        <v>62</v>
      </c>
      <c r="G1392" t="s">
        <v>90</v>
      </c>
      <c r="H1392" t="s">
        <v>84</v>
      </c>
      <c r="I1392" t="s">
        <v>85</v>
      </c>
      <c r="J1392" t="s">
        <v>145</v>
      </c>
      <c r="K1392">
        <v>1</v>
      </c>
      <c r="L1392">
        <v>3115.94</v>
      </c>
      <c r="M1392">
        <v>0.15</v>
      </c>
      <c r="N1392">
        <v>2648.55</v>
      </c>
      <c r="O1392">
        <v>1832.75</v>
      </c>
      <c r="P1392">
        <v>815.8</v>
      </c>
      <c r="Q1392" t="s">
        <v>67</v>
      </c>
      <c r="R1392">
        <v>0.30801759453285749</v>
      </c>
      <c r="S1392">
        <v>2025</v>
      </c>
      <c r="T1392" t="s">
        <v>412</v>
      </c>
      <c r="U1392">
        <v>2</v>
      </c>
      <c r="V1392" t="s">
        <v>33</v>
      </c>
    </row>
    <row r="1393" spans="1:22" x14ac:dyDescent="0.3">
      <c r="A1393" t="s">
        <v>2359</v>
      </c>
      <c r="B1393" s="1">
        <v>45698</v>
      </c>
      <c r="C1393" t="s">
        <v>1351</v>
      </c>
      <c r="D1393" t="s">
        <v>731</v>
      </c>
      <c r="E1393" t="s">
        <v>61</v>
      </c>
      <c r="F1393" t="s">
        <v>71</v>
      </c>
      <c r="G1393" t="s">
        <v>100</v>
      </c>
      <c r="H1393" t="s">
        <v>28</v>
      </c>
      <c r="I1393" t="s">
        <v>29</v>
      </c>
      <c r="J1393" t="s">
        <v>30</v>
      </c>
      <c r="K1393">
        <v>1</v>
      </c>
      <c r="L1393">
        <v>59570.76</v>
      </c>
      <c r="M1393">
        <v>0.05</v>
      </c>
      <c r="N1393">
        <v>56592.22</v>
      </c>
      <c r="O1393">
        <v>54333.42</v>
      </c>
      <c r="P1393">
        <v>2258.8000000000002</v>
      </c>
      <c r="Q1393" t="s">
        <v>31</v>
      </c>
      <c r="R1393">
        <v>3.9913613567377278E-2</v>
      </c>
      <c r="S1393">
        <v>2025</v>
      </c>
      <c r="T1393" t="s">
        <v>412</v>
      </c>
      <c r="U1393">
        <v>2</v>
      </c>
      <c r="V1393" t="s">
        <v>33</v>
      </c>
    </row>
    <row r="1394" spans="1:22" x14ac:dyDescent="0.3">
      <c r="A1394" t="s">
        <v>2360</v>
      </c>
      <c r="B1394" s="1">
        <v>45698</v>
      </c>
      <c r="C1394" t="s">
        <v>2224</v>
      </c>
      <c r="D1394" t="s">
        <v>565</v>
      </c>
      <c r="E1394" t="s">
        <v>61</v>
      </c>
      <c r="F1394" t="s">
        <v>62</v>
      </c>
      <c r="G1394" t="s">
        <v>134</v>
      </c>
      <c r="H1394" t="s">
        <v>84</v>
      </c>
      <c r="I1394" t="s">
        <v>85</v>
      </c>
      <c r="J1394" t="s">
        <v>145</v>
      </c>
      <c r="K1394">
        <v>4</v>
      </c>
      <c r="L1394">
        <v>3457.49</v>
      </c>
      <c r="M1394">
        <v>0</v>
      </c>
      <c r="N1394">
        <v>13829.96</v>
      </c>
      <c r="O1394">
        <v>8198.1200000000008</v>
      </c>
      <c r="P1394">
        <v>5631.84</v>
      </c>
      <c r="Q1394" t="s">
        <v>31</v>
      </c>
      <c r="R1394">
        <v>0.40722026672528339</v>
      </c>
      <c r="S1394">
        <v>2025</v>
      </c>
      <c r="T1394" t="s">
        <v>412</v>
      </c>
      <c r="U1394">
        <v>2</v>
      </c>
      <c r="V1394" t="s">
        <v>33</v>
      </c>
    </row>
    <row r="1395" spans="1:22" x14ac:dyDescent="0.3">
      <c r="A1395" t="s">
        <v>2361</v>
      </c>
      <c r="B1395" s="1">
        <v>45698</v>
      </c>
      <c r="C1395" t="s">
        <v>421</v>
      </c>
      <c r="D1395" t="s">
        <v>678</v>
      </c>
      <c r="E1395" t="s">
        <v>41</v>
      </c>
      <c r="F1395" t="s">
        <v>42</v>
      </c>
      <c r="G1395" t="s">
        <v>50</v>
      </c>
      <c r="H1395" t="s">
        <v>28</v>
      </c>
      <c r="I1395" t="s">
        <v>29</v>
      </c>
      <c r="J1395" t="s">
        <v>30</v>
      </c>
      <c r="K1395">
        <v>1</v>
      </c>
      <c r="L1395">
        <v>56040.959999999999</v>
      </c>
      <c r="M1395">
        <v>0.05</v>
      </c>
      <c r="N1395">
        <v>53238.91</v>
      </c>
      <c r="O1395">
        <v>50426.14</v>
      </c>
      <c r="P1395">
        <v>2812.77</v>
      </c>
      <c r="Q1395" t="s">
        <v>31</v>
      </c>
      <c r="R1395">
        <v>5.2832974980141403E-2</v>
      </c>
      <c r="S1395">
        <v>2025</v>
      </c>
      <c r="T1395" t="s">
        <v>412</v>
      </c>
      <c r="U1395">
        <v>2</v>
      </c>
      <c r="V1395" t="s">
        <v>33</v>
      </c>
    </row>
    <row r="1396" spans="1:22" x14ac:dyDescent="0.3">
      <c r="A1396" t="s">
        <v>2362</v>
      </c>
      <c r="B1396" s="1">
        <v>45699</v>
      </c>
      <c r="C1396" t="s">
        <v>951</v>
      </c>
      <c r="D1396" t="s">
        <v>972</v>
      </c>
      <c r="E1396" t="s">
        <v>41</v>
      </c>
      <c r="F1396" t="s">
        <v>42</v>
      </c>
      <c r="G1396" t="s">
        <v>50</v>
      </c>
      <c r="H1396" t="s">
        <v>64</v>
      </c>
      <c r="I1396" t="s">
        <v>65</v>
      </c>
      <c r="J1396" t="s">
        <v>232</v>
      </c>
      <c r="K1396">
        <v>5</v>
      </c>
      <c r="L1396">
        <v>4065.17</v>
      </c>
      <c r="M1396">
        <v>0</v>
      </c>
      <c r="N1396">
        <v>20325.849999999999</v>
      </c>
      <c r="O1396">
        <v>13031.96</v>
      </c>
      <c r="P1396">
        <v>7293.89</v>
      </c>
      <c r="Q1396" t="s">
        <v>67</v>
      </c>
      <c r="R1396">
        <v>0.35884796945761188</v>
      </c>
      <c r="S1396">
        <v>2025</v>
      </c>
      <c r="T1396" t="s">
        <v>412</v>
      </c>
      <c r="U1396">
        <v>2</v>
      </c>
      <c r="V1396" t="s">
        <v>33</v>
      </c>
    </row>
    <row r="1397" spans="1:22" x14ac:dyDescent="0.3">
      <c r="A1397" t="s">
        <v>2363</v>
      </c>
      <c r="B1397" s="1">
        <v>45699</v>
      </c>
      <c r="C1397" t="s">
        <v>246</v>
      </c>
      <c r="D1397" t="s">
        <v>497</v>
      </c>
      <c r="E1397" t="s">
        <v>61</v>
      </c>
      <c r="F1397" t="s">
        <v>71</v>
      </c>
      <c r="G1397" t="s">
        <v>72</v>
      </c>
      <c r="H1397" t="s">
        <v>84</v>
      </c>
      <c r="I1397" t="s">
        <v>85</v>
      </c>
      <c r="J1397" t="s">
        <v>145</v>
      </c>
      <c r="K1397">
        <v>2</v>
      </c>
      <c r="L1397">
        <v>3286.71</v>
      </c>
      <c r="M1397">
        <v>0.1</v>
      </c>
      <c r="N1397">
        <v>5916.08</v>
      </c>
      <c r="O1397">
        <v>3676.51</v>
      </c>
      <c r="P1397">
        <v>2239.5700000000002</v>
      </c>
      <c r="Q1397" t="s">
        <v>46</v>
      </c>
      <c r="R1397">
        <v>0.37855640897350951</v>
      </c>
      <c r="S1397">
        <v>2025</v>
      </c>
      <c r="T1397" t="s">
        <v>412</v>
      </c>
      <c r="U1397">
        <v>2</v>
      </c>
      <c r="V1397" t="s">
        <v>33</v>
      </c>
    </row>
    <row r="1398" spans="1:22" x14ac:dyDescent="0.3">
      <c r="A1398" t="s">
        <v>2364</v>
      </c>
      <c r="B1398" s="1">
        <v>45699</v>
      </c>
      <c r="C1398" t="s">
        <v>1899</v>
      </c>
      <c r="D1398" t="s">
        <v>1375</v>
      </c>
      <c r="E1398" t="s">
        <v>61</v>
      </c>
      <c r="F1398" t="s">
        <v>62</v>
      </c>
      <c r="G1398" t="s">
        <v>90</v>
      </c>
      <c r="H1398" t="s">
        <v>28</v>
      </c>
      <c r="I1398" t="s">
        <v>73</v>
      </c>
      <c r="J1398" t="s">
        <v>80</v>
      </c>
      <c r="K1398">
        <v>2</v>
      </c>
      <c r="L1398">
        <v>774.5</v>
      </c>
      <c r="M1398">
        <v>0.05</v>
      </c>
      <c r="N1398">
        <v>1471.55</v>
      </c>
      <c r="O1398">
        <v>943.08</v>
      </c>
      <c r="P1398">
        <v>528.47</v>
      </c>
      <c r="Q1398" t="s">
        <v>53</v>
      </c>
      <c r="R1398">
        <v>0.3591247324249941</v>
      </c>
      <c r="S1398">
        <v>2025</v>
      </c>
      <c r="T1398" t="s">
        <v>412</v>
      </c>
      <c r="U1398">
        <v>2</v>
      </c>
      <c r="V1398" t="s">
        <v>33</v>
      </c>
    </row>
    <row r="1399" spans="1:22" x14ac:dyDescent="0.3">
      <c r="A1399" t="s">
        <v>2365</v>
      </c>
      <c r="B1399" s="1">
        <v>45700</v>
      </c>
      <c r="C1399" t="s">
        <v>2224</v>
      </c>
      <c r="D1399" t="s">
        <v>1433</v>
      </c>
      <c r="E1399" t="s">
        <v>61</v>
      </c>
      <c r="F1399" t="s">
        <v>62</v>
      </c>
      <c r="G1399" t="s">
        <v>90</v>
      </c>
      <c r="H1399" t="s">
        <v>28</v>
      </c>
      <c r="I1399" t="s">
        <v>29</v>
      </c>
      <c r="J1399" t="s">
        <v>30</v>
      </c>
      <c r="K1399">
        <v>1</v>
      </c>
      <c r="L1399">
        <v>57161.7</v>
      </c>
      <c r="M1399">
        <v>0.15</v>
      </c>
      <c r="N1399">
        <v>48587.44</v>
      </c>
      <c r="O1399">
        <v>49427.79</v>
      </c>
      <c r="P1399">
        <v>-840.35</v>
      </c>
      <c r="Q1399" t="s">
        <v>46</v>
      </c>
      <c r="R1399">
        <v>-1.729562207846308E-2</v>
      </c>
      <c r="S1399">
        <v>2025</v>
      </c>
      <c r="T1399" t="s">
        <v>412</v>
      </c>
      <c r="U1399">
        <v>2</v>
      </c>
      <c r="V1399" t="s">
        <v>33</v>
      </c>
    </row>
    <row r="1400" spans="1:22" x14ac:dyDescent="0.3">
      <c r="A1400" t="s">
        <v>2366</v>
      </c>
      <c r="B1400" s="1">
        <v>45701</v>
      </c>
      <c r="C1400" t="s">
        <v>1288</v>
      </c>
      <c r="D1400" t="s">
        <v>468</v>
      </c>
      <c r="E1400" t="s">
        <v>61</v>
      </c>
      <c r="F1400" t="s">
        <v>71</v>
      </c>
      <c r="G1400" t="s">
        <v>100</v>
      </c>
      <c r="H1400" t="s">
        <v>28</v>
      </c>
      <c r="I1400" t="s">
        <v>29</v>
      </c>
      <c r="J1400" t="s">
        <v>57</v>
      </c>
      <c r="K1400">
        <v>5</v>
      </c>
      <c r="L1400">
        <v>16097.98</v>
      </c>
      <c r="M1400">
        <v>0.15</v>
      </c>
      <c r="N1400">
        <v>68416.41</v>
      </c>
      <c r="O1400">
        <v>60170.44</v>
      </c>
      <c r="P1400">
        <v>8245.9699999999993</v>
      </c>
      <c r="Q1400" t="s">
        <v>31</v>
      </c>
      <c r="R1400">
        <v>0.12052620124323971</v>
      </c>
      <c r="S1400">
        <v>2025</v>
      </c>
      <c r="T1400" t="s">
        <v>412</v>
      </c>
      <c r="U1400">
        <v>2</v>
      </c>
      <c r="V1400" t="s">
        <v>33</v>
      </c>
    </row>
    <row r="1401" spans="1:22" x14ac:dyDescent="0.3">
      <c r="A1401" t="s">
        <v>2367</v>
      </c>
      <c r="B1401" s="1">
        <v>45701</v>
      </c>
      <c r="C1401" t="s">
        <v>881</v>
      </c>
      <c r="D1401" t="s">
        <v>295</v>
      </c>
      <c r="E1401" t="s">
        <v>41</v>
      </c>
      <c r="F1401" t="s">
        <v>42</v>
      </c>
      <c r="G1401" t="s">
        <v>50</v>
      </c>
      <c r="H1401" t="s">
        <v>64</v>
      </c>
      <c r="I1401" t="s">
        <v>108</v>
      </c>
      <c r="J1401" t="s">
        <v>155</v>
      </c>
      <c r="K1401">
        <v>6</v>
      </c>
      <c r="L1401">
        <v>8518.14</v>
      </c>
      <c r="M1401">
        <v>0</v>
      </c>
      <c r="N1401">
        <v>51108.84</v>
      </c>
      <c r="O1401">
        <v>34696.379999999997</v>
      </c>
      <c r="P1401">
        <v>16412.46</v>
      </c>
      <c r="Q1401" t="s">
        <v>46</v>
      </c>
      <c r="R1401">
        <v>0.32112761706194082</v>
      </c>
      <c r="S1401">
        <v>2025</v>
      </c>
      <c r="T1401" t="s">
        <v>412</v>
      </c>
      <c r="U1401">
        <v>2</v>
      </c>
      <c r="V1401" t="s">
        <v>33</v>
      </c>
    </row>
    <row r="1402" spans="1:22" x14ac:dyDescent="0.3">
      <c r="A1402" t="s">
        <v>2368</v>
      </c>
      <c r="B1402" s="1">
        <v>45701</v>
      </c>
      <c r="C1402" t="s">
        <v>629</v>
      </c>
      <c r="D1402" t="s">
        <v>116</v>
      </c>
      <c r="E1402" t="s">
        <v>25</v>
      </c>
      <c r="F1402" t="s">
        <v>26</v>
      </c>
      <c r="G1402" t="s">
        <v>171</v>
      </c>
      <c r="H1402" t="s">
        <v>43</v>
      </c>
      <c r="I1402" t="s">
        <v>44</v>
      </c>
      <c r="J1402" t="s">
        <v>248</v>
      </c>
      <c r="K1402">
        <v>2</v>
      </c>
      <c r="L1402">
        <v>295.85000000000002</v>
      </c>
      <c r="M1402">
        <v>0.2</v>
      </c>
      <c r="N1402">
        <v>473.36</v>
      </c>
      <c r="O1402">
        <v>254.12</v>
      </c>
      <c r="P1402">
        <v>219.24</v>
      </c>
      <c r="Q1402" t="s">
        <v>67</v>
      </c>
      <c r="R1402">
        <v>0.46315700523914138</v>
      </c>
      <c r="S1402">
        <v>2025</v>
      </c>
      <c r="T1402" t="s">
        <v>412</v>
      </c>
      <c r="U1402">
        <v>2</v>
      </c>
      <c r="V1402" t="s">
        <v>33</v>
      </c>
    </row>
    <row r="1403" spans="1:22" x14ac:dyDescent="0.3">
      <c r="A1403" t="s">
        <v>2369</v>
      </c>
      <c r="B1403" s="1">
        <v>45702</v>
      </c>
      <c r="C1403" t="s">
        <v>297</v>
      </c>
      <c r="D1403" t="s">
        <v>1098</v>
      </c>
      <c r="E1403" t="s">
        <v>41</v>
      </c>
      <c r="F1403" t="s">
        <v>42</v>
      </c>
      <c r="G1403" t="s">
        <v>50</v>
      </c>
      <c r="H1403" t="s">
        <v>28</v>
      </c>
      <c r="I1403" t="s">
        <v>91</v>
      </c>
      <c r="J1403" t="s">
        <v>126</v>
      </c>
      <c r="K1403">
        <v>2</v>
      </c>
      <c r="L1403">
        <v>1880.76</v>
      </c>
      <c r="M1403">
        <v>0.05</v>
      </c>
      <c r="N1403">
        <v>3573.44</v>
      </c>
      <c r="O1403">
        <v>2198.48</v>
      </c>
      <c r="P1403">
        <v>1374.96</v>
      </c>
      <c r="Q1403" t="s">
        <v>31</v>
      </c>
      <c r="R1403">
        <v>0.38477209635533272</v>
      </c>
      <c r="S1403">
        <v>2025</v>
      </c>
      <c r="T1403" t="s">
        <v>412</v>
      </c>
      <c r="U1403">
        <v>2</v>
      </c>
      <c r="V1403" t="s">
        <v>33</v>
      </c>
    </row>
    <row r="1404" spans="1:22" x14ac:dyDescent="0.3">
      <c r="A1404" t="s">
        <v>2370</v>
      </c>
      <c r="B1404" s="1">
        <v>45702</v>
      </c>
      <c r="C1404" t="s">
        <v>1813</v>
      </c>
      <c r="D1404" t="s">
        <v>357</v>
      </c>
      <c r="E1404" t="s">
        <v>61</v>
      </c>
      <c r="F1404" t="s">
        <v>62</v>
      </c>
      <c r="G1404" t="s">
        <v>134</v>
      </c>
      <c r="H1404" t="s">
        <v>28</v>
      </c>
      <c r="I1404" t="s">
        <v>91</v>
      </c>
      <c r="J1404" t="s">
        <v>92</v>
      </c>
      <c r="K1404">
        <v>2</v>
      </c>
      <c r="L1404">
        <v>2985.94</v>
      </c>
      <c r="M1404">
        <v>0.2</v>
      </c>
      <c r="N1404">
        <v>4777.5</v>
      </c>
      <c r="O1404">
        <v>3088.92</v>
      </c>
      <c r="P1404">
        <v>1688.58</v>
      </c>
      <c r="Q1404" t="s">
        <v>31</v>
      </c>
      <c r="R1404">
        <v>0.35344427001569861</v>
      </c>
      <c r="S1404">
        <v>2025</v>
      </c>
      <c r="T1404" t="s">
        <v>412</v>
      </c>
      <c r="U1404">
        <v>2</v>
      </c>
      <c r="V1404" t="s">
        <v>33</v>
      </c>
    </row>
    <row r="1405" spans="1:22" x14ac:dyDescent="0.3">
      <c r="A1405" t="s">
        <v>2371</v>
      </c>
      <c r="B1405" s="1">
        <v>45703</v>
      </c>
      <c r="C1405" t="s">
        <v>742</v>
      </c>
      <c r="D1405" t="s">
        <v>1136</v>
      </c>
      <c r="E1405" t="s">
        <v>61</v>
      </c>
      <c r="F1405" t="s">
        <v>78</v>
      </c>
      <c r="G1405" t="s">
        <v>104</v>
      </c>
      <c r="H1405" t="s">
        <v>84</v>
      </c>
      <c r="I1405" t="s">
        <v>85</v>
      </c>
      <c r="J1405" t="s">
        <v>145</v>
      </c>
      <c r="K1405">
        <v>3</v>
      </c>
      <c r="L1405">
        <v>3425.91</v>
      </c>
      <c r="M1405">
        <v>0.1</v>
      </c>
      <c r="N1405">
        <v>9249.9599999999991</v>
      </c>
      <c r="O1405">
        <v>6022.98</v>
      </c>
      <c r="P1405">
        <v>3226.98</v>
      </c>
      <c r="Q1405" t="s">
        <v>31</v>
      </c>
      <c r="R1405">
        <v>0.34886421130469758</v>
      </c>
      <c r="S1405">
        <v>2025</v>
      </c>
      <c r="T1405" t="s">
        <v>412</v>
      </c>
      <c r="U1405">
        <v>2</v>
      </c>
      <c r="V1405" t="s">
        <v>33</v>
      </c>
    </row>
    <row r="1406" spans="1:22" x14ac:dyDescent="0.3">
      <c r="A1406" t="s">
        <v>2372</v>
      </c>
      <c r="B1406" s="1">
        <v>45703</v>
      </c>
      <c r="C1406" t="s">
        <v>1234</v>
      </c>
      <c r="D1406" t="s">
        <v>542</v>
      </c>
      <c r="E1406" t="s">
        <v>61</v>
      </c>
      <c r="F1406" t="s">
        <v>71</v>
      </c>
      <c r="G1406" t="s">
        <v>201</v>
      </c>
      <c r="H1406" t="s">
        <v>43</v>
      </c>
      <c r="I1406" t="s">
        <v>51</v>
      </c>
      <c r="J1406" t="s">
        <v>96</v>
      </c>
      <c r="K1406">
        <v>3</v>
      </c>
      <c r="L1406">
        <v>495.28</v>
      </c>
      <c r="M1406">
        <v>0.1</v>
      </c>
      <c r="N1406">
        <v>1337.26</v>
      </c>
      <c r="O1406">
        <v>660.61</v>
      </c>
      <c r="P1406">
        <v>676.65</v>
      </c>
      <c r="Q1406" t="s">
        <v>31</v>
      </c>
      <c r="R1406">
        <v>0.50599733784006096</v>
      </c>
      <c r="S1406">
        <v>2025</v>
      </c>
      <c r="T1406" t="s">
        <v>412</v>
      </c>
      <c r="U1406">
        <v>2</v>
      </c>
      <c r="V1406" t="s">
        <v>33</v>
      </c>
    </row>
    <row r="1407" spans="1:22" x14ac:dyDescent="0.3">
      <c r="A1407" t="s">
        <v>2373</v>
      </c>
      <c r="B1407" s="1">
        <v>45703</v>
      </c>
      <c r="C1407" t="s">
        <v>2207</v>
      </c>
      <c r="D1407" t="s">
        <v>601</v>
      </c>
      <c r="E1407" t="s">
        <v>61</v>
      </c>
      <c r="F1407" t="s">
        <v>78</v>
      </c>
      <c r="G1407" t="s">
        <v>104</v>
      </c>
      <c r="H1407" t="s">
        <v>84</v>
      </c>
      <c r="I1407" t="s">
        <v>85</v>
      </c>
      <c r="J1407" t="s">
        <v>86</v>
      </c>
      <c r="K1407">
        <v>1</v>
      </c>
      <c r="L1407">
        <v>1843.95</v>
      </c>
      <c r="M1407">
        <v>0.05</v>
      </c>
      <c r="N1407">
        <v>1751.75</v>
      </c>
      <c r="O1407">
        <v>995.26</v>
      </c>
      <c r="P1407">
        <v>756.49</v>
      </c>
      <c r="Q1407" t="s">
        <v>53</v>
      </c>
      <c r="R1407">
        <v>0.43184815184815178</v>
      </c>
      <c r="S1407">
        <v>2025</v>
      </c>
      <c r="T1407" t="s">
        <v>412</v>
      </c>
      <c r="U1407">
        <v>2</v>
      </c>
      <c r="V1407" t="s">
        <v>33</v>
      </c>
    </row>
    <row r="1408" spans="1:22" x14ac:dyDescent="0.3">
      <c r="A1408" t="s">
        <v>2374</v>
      </c>
      <c r="B1408" s="1">
        <v>45704</v>
      </c>
      <c r="C1408" t="s">
        <v>1465</v>
      </c>
      <c r="D1408" t="s">
        <v>949</v>
      </c>
      <c r="E1408" t="s">
        <v>61</v>
      </c>
      <c r="F1408" t="s">
        <v>71</v>
      </c>
      <c r="G1408" t="s">
        <v>317</v>
      </c>
      <c r="H1408" t="s">
        <v>43</v>
      </c>
      <c r="I1408" t="s">
        <v>44</v>
      </c>
      <c r="J1408" t="s">
        <v>45</v>
      </c>
      <c r="K1408">
        <v>1</v>
      </c>
      <c r="L1408">
        <v>261.02</v>
      </c>
      <c r="M1408">
        <v>0.1</v>
      </c>
      <c r="N1408">
        <v>234.92</v>
      </c>
      <c r="O1408">
        <v>95.25</v>
      </c>
      <c r="P1408">
        <v>139.66999999999999</v>
      </c>
      <c r="Q1408" t="s">
        <v>31</v>
      </c>
      <c r="R1408">
        <v>0.59454282308871098</v>
      </c>
      <c r="S1408">
        <v>2025</v>
      </c>
      <c r="T1408" t="s">
        <v>412</v>
      </c>
      <c r="U1408">
        <v>2</v>
      </c>
      <c r="V1408" t="s">
        <v>33</v>
      </c>
    </row>
    <row r="1409" spans="1:22" x14ac:dyDescent="0.3">
      <c r="A1409" t="s">
        <v>2375</v>
      </c>
      <c r="B1409" s="1">
        <v>45704</v>
      </c>
      <c r="C1409" t="s">
        <v>531</v>
      </c>
      <c r="D1409" t="s">
        <v>652</v>
      </c>
      <c r="E1409" t="s">
        <v>41</v>
      </c>
      <c r="F1409" t="s">
        <v>42</v>
      </c>
      <c r="G1409" t="s">
        <v>50</v>
      </c>
      <c r="H1409" t="s">
        <v>64</v>
      </c>
      <c r="I1409" t="s">
        <v>108</v>
      </c>
      <c r="J1409" t="s">
        <v>109</v>
      </c>
      <c r="K1409">
        <v>3</v>
      </c>
      <c r="L1409">
        <v>6737.66</v>
      </c>
      <c r="M1409">
        <v>0.05</v>
      </c>
      <c r="N1409">
        <v>19202.330000000002</v>
      </c>
      <c r="O1409">
        <v>12621.17</v>
      </c>
      <c r="P1409">
        <v>6581.16</v>
      </c>
      <c r="Q1409" t="s">
        <v>113</v>
      </c>
      <c r="R1409">
        <v>0.34272715863127018</v>
      </c>
      <c r="S1409">
        <v>2025</v>
      </c>
      <c r="T1409" t="s">
        <v>412</v>
      </c>
      <c r="U1409">
        <v>2</v>
      </c>
      <c r="V1409" t="s">
        <v>33</v>
      </c>
    </row>
    <row r="1410" spans="1:22" x14ac:dyDescent="0.3">
      <c r="A1410" t="s">
        <v>2376</v>
      </c>
      <c r="B1410" s="1">
        <v>45705</v>
      </c>
      <c r="C1410" t="s">
        <v>956</v>
      </c>
      <c r="D1410" t="s">
        <v>1033</v>
      </c>
      <c r="E1410" t="s">
        <v>120</v>
      </c>
      <c r="F1410" t="s">
        <v>121</v>
      </c>
      <c r="G1410" t="s">
        <v>130</v>
      </c>
      <c r="H1410" t="s">
        <v>84</v>
      </c>
      <c r="I1410" t="s">
        <v>85</v>
      </c>
      <c r="J1410" t="s">
        <v>86</v>
      </c>
      <c r="K1410">
        <v>1</v>
      </c>
      <c r="L1410">
        <v>1858.35</v>
      </c>
      <c r="M1410">
        <v>0</v>
      </c>
      <c r="N1410">
        <v>1858.35</v>
      </c>
      <c r="O1410">
        <v>1003.24</v>
      </c>
      <c r="P1410">
        <v>855.11</v>
      </c>
      <c r="Q1410" t="s">
        <v>67</v>
      </c>
      <c r="R1410">
        <v>0.46014475206500388</v>
      </c>
      <c r="S1410">
        <v>2025</v>
      </c>
      <c r="T1410" t="s">
        <v>412</v>
      </c>
      <c r="U1410">
        <v>2</v>
      </c>
      <c r="V1410" t="s">
        <v>33</v>
      </c>
    </row>
    <row r="1411" spans="1:22" x14ac:dyDescent="0.3">
      <c r="A1411" t="s">
        <v>2377</v>
      </c>
      <c r="B1411" s="1">
        <v>45705</v>
      </c>
      <c r="C1411" t="s">
        <v>163</v>
      </c>
      <c r="D1411" t="s">
        <v>606</v>
      </c>
      <c r="E1411" t="s">
        <v>41</v>
      </c>
      <c r="F1411" t="s">
        <v>42</v>
      </c>
      <c r="G1411" t="s">
        <v>50</v>
      </c>
      <c r="H1411" t="s">
        <v>28</v>
      </c>
      <c r="I1411" t="s">
        <v>91</v>
      </c>
      <c r="J1411" t="s">
        <v>92</v>
      </c>
      <c r="K1411">
        <v>2</v>
      </c>
      <c r="L1411">
        <v>2928.65</v>
      </c>
      <c r="M1411">
        <v>0.1</v>
      </c>
      <c r="N1411">
        <v>5271.57</v>
      </c>
      <c r="O1411">
        <v>3153.36</v>
      </c>
      <c r="P1411">
        <v>2118.21</v>
      </c>
      <c r="Q1411" t="s">
        <v>31</v>
      </c>
      <c r="R1411">
        <v>0.40181767481035058</v>
      </c>
      <c r="S1411">
        <v>2025</v>
      </c>
      <c r="T1411" t="s">
        <v>412</v>
      </c>
      <c r="U1411">
        <v>2</v>
      </c>
      <c r="V1411" t="s">
        <v>33</v>
      </c>
    </row>
    <row r="1412" spans="1:22" x14ac:dyDescent="0.3">
      <c r="A1412" t="s">
        <v>2378</v>
      </c>
      <c r="B1412" s="1">
        <v>45705</v>
      </c>
      <c r="C1412" t="s">
        <v>2292</v>
      </c>
      <c r="D1412" t="s">
        <v>349</v>
      </c>
      <c r="E1412" t="s">
        <v>61</v>
      </c>
      <c r="F1412" t="s">
        <v>78</v>
      </c>
      <c r="G1412" t="s">
        <v>83</v>
      </c>
      <c r="H1412" t="s">
        <v>43</v>
      </c>
      <c r="I1412" t="s">
        <v>51</v>
      </c>
      <c r="J1412" t="s">
        <v>96</v>
      </c>
      <c r="K1412">
        <v>2</v>
      </c>
      <c r="L1412">
        <v>514.87</v>
      </c>
      <c r="M1412">
        <v>0.1</v>
      </c>
      <c r="N1412">
        <v>926.77</v>
      </c>
      <c r="O1412">
        <v>468.38</v>
      </c>
      <c r="P1412">
        <v>458.39</v>
      </c>
      <c r="Q1412" t="s">
        <v>31</v>
      </c>
      <c r="R1412">
        <v>0.49461031323845178</v>
      </c>
      <c r="S1412">
        <v>2025</v>
      </c>
      <c r="T1412" t="s">
        <v>412</v>
      </c>
      <c r="U1412">
        <v>2</v>
      </c>
      <c r="V1412" t="s">
        <v>33</v>
      </c>
    </row>
    <row r="1413" spans="1:22" x14ac:dyDescent="0.3">
      <c r="A1413" t="s">
        <v>2379</v>
      </c>
      <c r="B1413" s="1">
        <v>45705</v>
      </c>
      <c r="C1413" t="s">
        <v>593</v>
      </c>
      <c r="D1413" t="s">
        <v>972</v>
      </c>
      <c r="E1413" t="s">
        <v>41</v>
      </c>
      <c r="F1413" t="s">
        <v>42</v>
      </c>
      <c r="G1413" t="s">
        <v>50</v>
      </c>
      <c r="H1413" t="s">
        <v>28</v>
      </c>
      <c r="I1413" t="s">
        <v>91</v>
      </c>
      <c r="J1413" t="s">
        <v>92</v>
      </c>
      <c r="K1413">
        <v>1</v>
      </c>
      <c r="L1413">
        <v>3157.78</v>
      </c>
      <c r="M1413">
        <v>0.05</v>
      </c>
      <c r="N1413">
        <v>2999.89</v>
      </c>
      <c r="O1413">
        <v>1640.29</v>
      </c>
      <c r="P1413">
        <v>1359.6</v>
      </c>
      <c r="Q1413" t="s">
        <v>31</v>
      </c>
      <c r="R1413">
        <v>0.45321661794265788</v>
      </c>
      <c r="S1413">
        <v>2025</v>
      </c>
      <c r="T1413" t="s">
        <v>412</v>
      </c>
      <c r="U1413">
        <v>2</v>
      </c>
      <c r="V1413" t="s">
        <v>33</v>
      </c>
    </row>
    <row r="1414" spans="1:22" x14ac:dyDescent="0.3">
      <c r="A1414" t="s">
        <v>2380</v>
      </c>
      <c r="B1414" s="1">
        <v>45705</v>
      </c>
      <c r="C1414" t="s">
        <v>2260</v>
      </c>
      <c r="D1414" t="s">
        <v>981</v>
      </c>
      <c r="E1414" t="s">
        <v>120</v>
      </c>
      <c r="F1414" t="s">
        <v>121</v>
      </c>
      <c r="G1414" t="s">
        <v>224</v>
      </c>
      <c r="H1414" t="s">
        <v>43</v>
      </c>
      <c r="I1414" t="s">
        <v>51</v>
      </c>
      <c r="J1414" t="s">
        <v>96</v>
      </c>
      <c r="K1414">
        <v>3</v>
      </c>
      <c r="L1414">
        <v>519.78</v>
      </c>
      <c r="M1414">
        <v>0</v>
      </c>
      <c r="N1414">
        <v>1559.34</v>
      </c>
      <c r="O1414">
        <v>720.11</v>
      </c>
      <c r="P1414">
        <v>839.23</v>
      </c>
      <c r="Q1414" t="s">
        <v>53</v>
      </c>
      <c r="R1414">
        <v>0.53819564687624255</v>
      </c>
      <c r="S1414">
        <v>2025</v>
      </c>
      <c r="T1414" t="s">
        <v>412</v>
      </c>
      <c r="U1414">
        <v>2</v>
      </c>
      <c r="V1414" t="s">
        <v>33</v>
      </c>
    </row>
    <row r="1415" spans="1:22" x14ac:dyDescent="0.3">
      <c r="A1415" t="s">
        <v>2381</v>
      </c>
      <c r="B1415" s="1">
        <v>45706</v>
      </c>
      <c r="C1415" t="s">
        <v>432</v>
      </c>
      <c r="D1415" t="s">
        <v>241</v>
      </c>
      <c r="E1415" t="s">
        <v>25</v>
      </c>
      <c r="F1415" t="s">
        <v>26</v>
      </c>
      <c r="G1415" t="s">
        <v>171</v>
      </c>
      <c r="H1415" t="s">
        <v>84</v>
      </c>
      <c r="I1415" t="s">
        <v>85</v>
      </c>
      <c r="J1415" t="s">
        <v>145</v>
      </c>
      <c r="K1415">
        <v>3</v>
      </c>
      <c r="L1415">
        <v>3152.94</v>
      </c>
      <c r="M1415">
        <v>0.1</v>
      </c>
      <c r="N1415">
        <v>8512.94</v>
      </c>
      <c r="O1415">
        <v>5229.24</v>
      </c>
      <c r="P1415">
        <v>3283.7</v>
      </c>
      <c r="Q1415" t="s">
        <v>31</v>
      </c>
      <c r="R1415">
        <v>0.38573042920542128</v>
      </c>
      <c r="S1415">
        <v>2025</v>
      </c>
      <c r="T1415" t="s">
        <v>412</v>
      </c>
      <c r="U1415">
        <v>2</v>
      </c>
      <c r="V1415" t="s">
        <v>33</v>
      </c>
    </row>
    <row r="1416" spans="1:22" x14ac:dyDescent="0.3">
      <c r="A1416" t="s">
        <v>2382</v>
      </c>
      <c r="B1416" s="1">
        <v>45706</v>
      </c>
      <c r="C1416" t="s">
        <v>1017</v>
      </c>
      <c r="D1416" t="s">
        <v>547</v>
      </c>
      <c r="E1416" t="s">
        <v>41</v>
      </c>
      <c r="F1416" t="s">
        <v>42</v>
      </c>
      <c r="G1416" t="s">
        <v>42</v>
      </c>
      <c r="H1416" t="s">
        <v>28</v>
      </c>
      <c r="I1416" t="s">
        <v>91</v>
      </c>
      <c r="J1416" t="s">
        <v>92</v>
      </c>
      <c r="K1416">
        <v>2</v>
      </c>
      <c r="L1416">
        <v>3062.65</v>
      </c>
      <c r="M1416">
        <v>0.1</v>
      </c>
      <c r="N1416">
        <v>5512.77</v>
      </c>
      <c r="O1416">
        <v>3246.65</v>
      </c>
      <c r="P1416">
        <v>2266.12</v>
      </c>
      <c r="Q1416" t="s">
        <v>46</v>
      </c>
      <c r="R1416">
        <v>0.4110673944314745</v>
      </c>
      <c r="S1416">
        <v>2025</v>
      </c>
      <c r="T1416" t="s">
        <v>412</v>
      </c>
      <c r="U1416">
        <v>2</v>
      </c>
      <c r="V1416" t="s">
        <v>33</v>
      </c>
    </row>
    <row r="1417" spans="1:22" x14ac:dyDescent="0.3">
      <c r="A1417" t="s">
        <v>2383</v>
      </c>
      <c r="B1417" s="1">
        <v>45707</v>
      </c>
      <c r="C1417" t="s">
        <v>400</v>
      </c>
      <c r="D1417" t="s">
        <v>295</v>
      </c>
      <c r="E1417" t="s">
        <v>61</v>
      </c>
      <c r="F1417" t="s">
        <v>62</v>
      </c>
      <c r="G1417" t="s">
        <v>134</v>
      </c>
      <c r="H1417" t="s">
        <v>28</v>
      </c>
      <c r="I1417" t="s">
        <v>91</v>
      </c>
      <c r="J1417" t="s">
        <v>92</v>
      </c>
      <c r="K1417">
        <v>2</v>
      </c>
      <c r="L1417">
        <v>3000.3</v>
      </c>
      <c r="M1417">
        <v>0.05</v>
      </c>
      <c r="N1417">
        <v>5700.57</v>
      </c>
      <c r="O1417">
        <v>3137.77</v>
      </c>
      <c r="P1417">
        <v>2562.8000000000002</v>
      </c>
      <c r="Q1417" t="s">
        <v>46</v>
      </c>
      <c r="R1417">
        <v>0.44956907817990138</v>
      </c>
      <c r="S1417">
        <v>2025</v>
      </c>
      <c r="T1417" t="s">
        <v>412</v>
      </c>
      <c r="U1417">
        <v>2</v>
      </c>
      <c r="V1417" t="s">
        <v>33</v>
      </c>
    </row>
    <row r="1418" spans="1:22" x14ac:dyDescent="0.3">
      <c r="A1418" t="s">
        <v>2384</v>
      </c>
      <c r="B1418" s="1">
        <v>45707</v>
      </c>
      <c r="C1418" t="s">
        <v>951</v>
      </c>
      <c r="D1418" t="s">
        <v>688</v>
      </c>
      <c r="E1418" t="s">
        <v>120</v>
      </c>
      <c r="F1418" t="s">
        <v>121</v>
      </c>
      <c r="G1418" t="s">
        <v>130</v>
      </c>
      <c r="H1418" t="s">
        <v>84</v>
      </c>
      <c r="I1418" t="s">
        <v>138</v>
      </c>
      <c r="J1418" t="s">
        <v>139</v>
      </c>
      <c r="K1418">
        <v>2</v>
      </c>
      <c r="L1418">
        <v>13713.3</v>
      </c>
      <c r="M1418">
        <v>0</v>
      </c>
      <c r="N1418">
        <v>27426.6</v>
      </c>
      <c r="O1418">
        <v>19880.47</v>
      </c>
      <c r="P1418">
        <v>7546.13</v>
      </c>
      <c r="Q1418" t="s">
        <v>46</v>
      </c>
      <c r="R1418">
        <v>0.27513909853937418</v>
      </c>
      <c r="S1418">
        <v>2025</v>
      </c>
      <c r="T1418" t="s">
        <v>412</v>
      </c>
      <c r="U1418">
        <v>2</v>
      </c>
      <c r="V1418" t="s">
        <v>33</v>
      </c>
    </row>
    <row r="1419" spans="1:22" x14ac:dyDescent="0.3">
      <c r="A1419" t="s">
        <v>2385</v>
      </c>
      <c r="B1419" s="1">
        <v>45707</v>
      </c>
      <c r="C1419" t="s">
        <v>2386</v>
      </c>
      <c r="D1419" t="s">
        <v>2171</v>
      </c>
      <c r="E1419" t="s">
        <v>25</v>
      </c>
      <c r="F1419" t="s">
        <v>26</v>
      </c>
      <c r="G1419" t="s">
        <v>27</v>
      </c>
      <c r="H1419" t="s">
        <v>43</v>
      </c>
      <c r="I1419" t="s">
        <v>51</v>
      </c>
      <c r="J1419" t="s">
        <v>52</v>
      </c>
      <c r="K1419">
        <v>4</v>
      </c>
      <c r="L1419">
        <v>696.13</v>
      </c>
      <c r="M1419">
        <v>0.1</v>
      </c>
      <c r="N1419">
        <v>2506.0700000000002</v>
      </c>
      <c r="O1419">
        <v>1256.95</v>
      </c>
      <c r="P1419">
        <v>1249.1199999999999</v>
      </c>
      <c r="Q1419" t="s">
        <v>113</v>
      </c>
      <c r="R1419">
        <v>0.49843779303850239</v>
      </c>
      <c r="S1419">
        <v>2025</v>
      </c>
      <c r="T1419" t="s">
        <v>412</v>
      </c>
      <c r="U1419">
        <v>2</v>
      </c>
      <c r="V1419" t="s">
        <v>33</v>
      </c>
    </row>
    <row r="1420" spans="1:22" x14ac:dyDescent="0.3">
      <c r="A1420" t="s">
        <v>2387</v>
      </c>
      <c r="B1420" s="1">
        <v>45708</v>
      </c>
      <c r="C1420" t="s">
        <v>1104</v>
      </c>
      <c r="D1420" t="s">
        <v>292</v>
      </c>
      <c r="E1420" t="s">
        <v>25</v>
      </c>
      <c r="F1420" t="s">
        <v>26</v>
      </c>
      <c r="G1420" t="s">
        <v>37</v>
      </c>
      <c r="H1420" t="s">
        <v>84</v>
      </c>
      <c r="I1420" t="s">
        <v>138</v>
      </c>
      <c r="J1420" t="s">
        <v>220</v>
      </c>
      <c r="K1420">
        <v>3</v>
      </c>
      <c r="L1420">
        <v>7421.36</v>
      </c>
      <c r="M1420">
        <v>0.15</v>
      </c>
      <c r="N1420">
        <v>18924.47</v>
      </c>
      <c r="O1420">
        <v>14557.87</v>
      </c>
      <c r="P1420">
        <v>4366.6000000000004</v>
      </c>
      <c r="Q1420" t="s">
        <v>31</v>
      </c>
      <c r="R1420">
        <v>0.23073829808707991</v>
      </c>
      <c r="S1420">
        <v>2025</v>
      </c>
      <c r="T1420" t="s">
        <v>412</v>
      </c>
      <c r="U1420">
        <v>2</v>
      </c>
      <c r="V1420" t="s">
        <v>33</v>
      </c>
    </row>
    <row r="1421" spans="1:22" x14ac:dyDescent="0.3">
      <c r="A1421" t="s">
        <v>2388</v>
      </c>
      <c r="B1421" s="1">
        <v>45708</v>
      </c>
      <c r="C1421" t="s">
        <v>2389</v>
      </c>
      <c r="D1421" t="s">
        <v>259</v>
      </c>
      <c r="E1421" t="s">
        <v>41</v>
      </c>
      <c r="F1421" t="s">
        <v>42</v>
      </c>
      <c r="G1421" t="s">
        <v>50</v>
      </c>
      <c r="H1421" t="s">
        <v>84</v>
      </c>
      <c r="I1421" t="s">
        <v>85</v>
      </c>
      <c r="J1421" t="s">
        <v>145</v>
      </c>
      <c r="K1421">
        <v>3</v>
      </c>
      <c r="L1421">
        <v>3356.25</v>
      </c>
      <c r="M1421">
        <v>0.1</v>
      </c>
      <c r="N1421">
        <v>9061.8799999999992</v>
      </c>
      <c r="O1421">
        <v>5641.77</v>
      </c>
      <c r="P1421">
        <v>3420.11</v>
      </c>
      <c r="Q1421" t="s">
        <v>31</v>
      </c>
      <c r="R1421">
        <v>0.37741726882280502</v>
      </c>
      <c r="S1421">
        <v>2025</v>
      </c>
      <c r="T1421" t="s">
        <v>412</v>
      </c>
      <c r="U1421">
        <v>2</v>
      </c>
      <c r="V1421" t="s">
        <v>33</v>
      </c>
    </row>
    <row r="1422" spans="1:22" x14ac:dyDescent="0.3">
      <c r="A1422" t="s">
        <v>2390</v>
      </c>
      <c r="B1422" s="1">
        <v>45708</v>
      </c>
      <c r="C1422" t="s">
        <v>2391</v>
      </c>
      <c r="D1422" t="s">
        <v>406</v>
      </c>
      <c r="E1422" t="s">
        <v>61</v>
      </c>
      <c r="F1422" t="s">
        <v>78</v>
      </c>
      <c r="G1422" t="s">
        <v>216</v>
      </c>
      <c r="H1422" t="s">
        <v>43</v>
      </c>
      <c r="I1422" t="s">
        <v>44</v>
      </c>
      <c r="J1422" t="s">
        <v>248</v>
      </c>
      <c r="K1422">
        <v>1</v>
      </c>
      <c r="L1422">
        <v>298.95</v>
      </c>
      <c r="M1422">
        <v>0</v>
      </c>
      <c r="N1422">
        <v>298.95</v>
      </c>
      <c r="O1422">
        <v>127.12</v>
      </c>
      <c r="P1422">
        <v>171.83</v>
      </c>
      <c r="Q1422" t="s">
        <v>113</v>
      </c>
      <c r="R1422">
        <v>0.57477839103529027</v>
      </c>
      <c r="S1422">
        <v>2025</v>
      </c>
      <c r="T1422" t="s">
        <v>412</v>
      </c>
      <c r="U1422">
        <v>2</v>
      </c>
      <c r="V1422" t="s">
        <v>33</v>
      </c>
    </row>
    <row r="1423" spans="1:22" x14ac:dyDescent="0.3">
      <c r="A1423" t="s">
        <v>2392</v>
      </c>
      <c r="B1423" s="1">
        <v>45708</v>
      </c>
      <c r="C1423" t="s">
        <v>1243</v>
      </c>
      <c r="D1423" t="s">
        <v>1172</v>
      </c>
      <c r="E1423" t="s">
        <v>61</v>
      </c>
      <c r="F1423" t="s">
        <v>78</v>
      </c>
      <c r="G1423" t="s">
        <v>79</v>
      </c>
      <c r="H1423" t="s">
        <v>64</v>
      </c>
      <c r="I1423" t="s">
        <v>108</v>
      </c>
      <c r="J1423" t="s">
        <v>155</v>
      </c>
      <c r="K1423">
        <v>2</v>
      </c>
      <c r="L1423">
        <v>8009.72</v>
      </c>
      <c r="M1423">
        <v>0.1</v>
      </c>
      <c r="N1423">
        <v>14417.5</v>
      </c>
      <c r="O1423">
        <v>11191.47</v>
      </c>
      <c r="P1423">
        <v>3226.03</v>
      </c>
      <c r="Q1423" t="s">
        <v>46</v>
      </c>
      <c r="R1423">
        <v>0.22375793306745281</v>
      </c>
      <c r="S1423">
        <v>2025</v>
      </c>
      <c r="T1423" t="s">
        <v>412</v>
      </c>
      <c r="U1423">
        <v>2</v>
      </c>
      <c r="V1423" t="s">
        <v>33</v>
      </c>
    </row>
    <row r="1424" spans="1:22" x14ac:dyDescent="0.3">
      <c r="A1424" t="s">
        <v>2393</v>
      </c>
      <c r="B1424" s="1">
        <v>45709</v>
      </c>
      <c r="C1424" t="s">
        <v>2215</v>
      </c>
      <c r="D1424" t="s">
        <v>1647</v>
      </c>
      <c r="E1424" t="s">
        <v>61</v>
      </c>
      <c r="F1424" t="s">
        <v>78</v>
      </c>
      <c r="G1424" t="s">
        <v>79</v>
      </c>
      <c r="H1424" t="s">
        <v>64</v>
      </c>
      <c r="I1424" t="s">
        <v>108</v>
      </c>
      <c r="J1424" t="s">
        <v>109</v>
      </c>
      <c r="K1424">
        <v>2</v>
      </c>
      <c r="L1424">
        <v>6766.85</v>
      </c>
      <c r="M1424">
        <v>0.05</v>
      </c>
      <c r="N1424">
        <v>12857.01</v>
      </c>
      <c r="O1424">
        <v>8442.2099999999991</v>
      </c>
      <c r="P1424">
        <v>4414.8</v>
      </c>
      <c r="Q1424" t="s">
        <v>46</v>
      </c>
      <c r="R1424">
        <v>0.34337688156110951</v>
      </c>
      <c r="S1424">
        <v>2025</v>
      </c>
      <c r="T1424" t="s">
        <v>412</v>
      </c>
      <c r="U1424">
        <v>2</v>
      </c>
      <c r="V1424" t="s">
        <v>33</v>
      </c>
    </row>
    <row r="1425" spans="1:22" x14ac:dyDescent="0.3">
      <c r="A1425" t="s">
        <v>2394</v>
      </c>
      <c r="B1425" s="1">
        <v>45709</v>
      </c>
      <c r="C1425" t="s">
        <v>1418</v>
      </c>
      <c r="D1425" t="s">
        <v>1232</v>
      </c>
      <c r="E1425" t="s">
        <v>25</v>
      </c>
      <c r="F1425" t="s">
        <v>26</v>
      </c>
      <c r="G1425" t="s">
        <v>260</v>
      </c>
      <c r="H1425" t="s">
        <v>43</v>
      </c>
      <c r="I1425" t="s">
        <v>44</v>
      </c>
      <c r="J1425" t="s">
        <v>248</v>
      </c>
      <c r="K1425">
        <v>1</v>
      </c>
      <c r="L1425">
        <v>299.52</v>
      </c>
      <c r="M1425">
        <v>0.1</v>
      </c>
      <c r="N1425">
        <v>269.57</v>
      </c>
      <c r="O1425">
        <v>129.06</v>
      </c>
      <c r="P1425">
        <v>140.51</v>
      </c>
      <c r="Q1425" t="s">
        <v>67</v>
      </c>
      <c r="R1425">
        <v>0.52123752643098265</v>
      </c>
      <c r="S1425">
        <v>2025</v>
      </c>
      <c r="T1425" t="s">
        <v>412</v>
      </c>
      <c r="U1425">
        <v>2</v>
      </c>
      <c r="V1425" t="s">
        <v>33</v>
      </c>
    </row>
    <row r="1426" spans="1:22" x14ac:dyDescent="0.3">
      <c r="A1426" t="s">
        <v>2395</v>
      </c>
      <c r="B1426" s="1">
        <v>45709</v>
      </c>
      <c r="C1426" t="s">
        <v>896</v>
      </c>
      <c r="D1426" t="s">
        <v>1148</v>
      </c>
      <c r="E1426" t="s">
        <v>41</v>
      </c>
      <c r="F1426" t="s">
        <v>42</v>
      </c>
      <c r="G1426" t="s">
        <v>42</v>
      </c>
      <c r="H1426" t="s">
        <v>43</v>
      </c>
      <c r="I1426" t="s">
        <v>44</v>
      </c>
      <c r="J1426" t="s">
        <v>45</v>
      </c>
      <c r="K1426">
        <v>2</v>
      </c>
      <c r="L1426">
        <v>253.48</v>
      </c>
      <c r="M1426">
        <v>0.15</v>
      </c>
      <c r="N1426">
        <v>430.92</v>
      </c>
      <c r="O1426">
        <v>193.79</v>
      </c>
      <c r="P1426">
        <v>237.13</v>
      </c>
      <c r="Q1426" t="s">
        <v>31</v>
      </c>
      <c r="R1426">
        <v>0.55028775642810723</v>
      </c>
      <c r="S1426">
        <v>2025</v>
      </c>
      <c r="T1426" t="s">
        <v>412</v>
      </c>
      <c r="U1426">
        <v>2</v>
      </c>
      <c r="V1426" t="s">
        <v>33</v>
      </c>
    </row>
    <row r="1427" spans="1:22" x14ac:dyDescent="0.3">
      <c r="A1427" t="s">
        <v>2396</v>
      </c>
      <c r="B1427" s="1">
        <v>45710</v>
      </c>
      <c r="C1427" t="s">
        <v>1591</v>
      </c>
      <c r="D1427" t="s">
        <v>170</v>
      </c>
      <c r="E1427" t="s">
        <v>61</v>
      </c>
      <c r="F1427" t="s">
        <v>62</v>
      </c>
      <c r="G1427" t="s">
        <v>63</v>
      </c>
      <c r="H1427" t="s">
        <v>84</v>
      </c>
      <c r="I1427" t="s">
        <v>85</v>
      </c>
      <c r="J1427" t="s">
        <v>86</v>
      </c>
      <c r="K1427">
        <v>2</v>
      </c>
      <c r="L1427">
        <v>1799.14</v>
      </c>
      <c r="M1427">
        <v>0.1</v>
      </c>
      <c r="N1427">
        <v>3238.45</v>
      </c>
      <c r="O1427">
        <v>2014.58</v>
      </c>
      <c r="P1427">
        <v>1223.8699999999999</v>
      </c>
      <c r="Q1427" t="s">
        <v>67</v>
      </c>
      <c r="R1427">
        <v>0.37791844864055341</v>
      </c>
      <c r="S1427">
        <v>2025</v>
      </c>
      <c r="T1427" t="s">
        <v>412</v>
      </c>
      <c r="U1427">
        <v>2</v>
      </c>
      <c r="V1427" t="s">
        <v>33</v>
      </c>
    </row>
    <row r="1428" spans="1:22" x14ac:dyDescent="0.3">
      <c r="A1428" t="s">
        <v>2397</v>
      </c>
      <c r="B1428" s="1">
        <v>45710</v>
      </c>
      <c r="C1428" t="s">
        <v>428</v>
      </c>
      <c r="D1428" t="s">
        <v>276</v>
      </c>
      <c r="E1428" t="s">
        <v>61</v>
      </c>
      <c r="F1428" t="s">
        <v>62</v>
      </c>
      <c r="G1428" t="s">
        <v>63</v>
      </c>
      <c r="H1428" t="s">
        <v>84</v>
      </c>
      <c r="I1428" t="s">
        <v>85</v>
      </c>
      <c r="J1428" t="s">
        <v>86</v>
      </c>
      <c r="K1428">
        <v>1</v>
      </c>
      <c r="L1428">
        <v>1756.11</v>
      </c>
      <c r="M1428">
        <v>0.2</v>
      </c>
      <c r="N1428">
        <v>1404.89</v>
      </c>
      <c r="O1428">
        <v>954.22</v>
      </c>
      <c r="P1428">
        <v>450.67</v>
      </c>
      <c r="Q1428" t="s">
        <v>67</v>
      </c>
      <c r="R1428">
        <v>0.32078668080775008</v>
      </c>
      <c r="S1428">
        <v>2025</v>
      </c>
      <c r="T1428" t="s">
        <v>412</v>
      </c>
      <c r="U1428">
        <v>2</v>
      </c>
      <c r="V1428" t="s">
        <v>33</v>
      </c>
    </row>
    <row r="1429" spans="1:22" x14ac:dyDescent="0.3">
      <c r="A1429" t="s">
        <v>2398</v>
      </c>
      <c r="B1429" s="1">
        <v>45710</v>
      </c>
      <c r="C1429" t="s">
        <v>2399</v>
      </c>
      <c r="D1429" t="s">
        <v>334</v>
      </c>
      <c r="E1429" t="s">
        <v>61</v>
      </c>
      <c r="F1429" t="s">
        <v>78</v>
      </c>
      <c r="G1429" t="s">
        <v>83</v>
      </c>
      <c r="H1429" t="s">
        <v>84</v>
      </c>
      <c r="I1429" t="s">
        <v>138</v>
      </c>
      <c r="J1429" t="s">
        <v>139</v>
      </c>
      <c r="K1429">
        <v>2</v>
      </c>
      <c r="L1429">
        <v>12352.86</v>
      </c>
      <c r="M1429">
        <v>0.15</v>
      </c>
      <c r="N1429">
        <v>20999.86</v>
      </c>
      <c r="O1429">
        <v>17730.79</v>
      </c>
      <c r="P1429">
        <v>3269.07</v>
      </c>
      <c r="Q1429" t="s">
        <v>31</v>
      </c>
      <c r="R1429">
        <v>0.15567103780691871</v>
      </c>
      <c r="S1429">
        <v>2025</v>
      </c>
      <c r="T1429" t="s">
        <v>412</v>
      </c>
      <c r="U1429">
        <v>2</v>
      </c>
      <c r="V1429" t="s">
        <v>33</v>
      </c>
    </row>
    <row r="1430" spans="1:22" x14ac:dyDescent="0.3">
      <c r="A1430" t="s">
        <v>2400</v>
      </c>
      <c r="B1430" s="1">
        <v>45710</v>
      </c>
      <c r="C1430" t="s">
        <v>2401</v>
      </c>
      <c r="D1430" t="s">
        <v>40</v>
      </c>
      <c r="E1430" t="s">
        <v>25</v>
      </c>
      <c r="F1430" t="s">
        <v>26</v>
      </c>
      <c r="G1430" t="s">
        <v>27</v>
      </c>
      <c r="H1430" t="s">
        <v>84</v>
      </c>
      <c r="I1430" t="s">
        <v>85</v>
      </c>
      <c r="J1430" t="s">
        <v>145</v>
      </c>
      <c r="K1430">
        <v>2</v>
      </c>
      <c r="L1430">
        <v>3492.62</v>
      </c>
      <c r="M1430">
        <v>0.1</v>
      </c>
      <c r="N1430">
        <v>6286.72</v>
      </c>
      <c r="O1430">
        <v>3870.14</v>
      </c>
      <c r="P1430">
        <v>2416.58</v>
      </c>
      <c r="Q1430" t="s">
        <v>53</v>
      </c>
      <c r="R1430">
        <v>0.38439440598595132</v>
      </c>
      <c r="S1430">
        <v>2025</v>
      </c>
      <c r="T1430" t="s">
        <v>412</v>
      </c>
      <c r="U1430">
        <v>2</v>
      </c>
      <c r="V1430" t="s">
        <v>33</v>
      </c>
    </row>
    <row r="1431" spans="1:22" x14ac:dyDescent="0.3">
      <c r="A1431" t="s">
        <v>2402</v>
      </c>
      <c r="B1431" s="1">
        <v>45710</v>
      </c>
      <c r="C1431" t="s">
        <v>648</v>
      </c>
      <c r="D1431" t="s">
        <v>737</v>
      </c>
      <c r="E1431" t="s">
        <v>61</v>
      </c>
      <c r="F1431" t="s">
        <v>78</v>
      </c>
      <c r="G1431" t="s">
        <v>104</v>
      </c>
      <c r="H1431" t="s">
        <v>28</v>
      </c>
      <c r="I1431" t="s">
        <v>73</v>
      </c>
      <c r="J1431" t="s">
        <v>74</v>
      </c>
      <c r="K1431">
        <v>1</v>
      </c>
      <c r="L1431">
        <v>2451.81</v>
      </c>
      <c r="M1431">
        <v>0.15</v>
      </c>
      <c r="N1431">
        <v>2084.04</v>
      </c>
      <c r="O1431">
        <v>1298.76</v>
      </c>
      <c r="P1431">
        <v>785.28</v>
      </c>
      <c r="Q1431" t="s">
        <v>31</v>
      </c>
      <c r="R1431">
        <v>0.37680658720561983</v>
      </c>
      <c r="S1431">
        <v>2025</v>
      </c>
      <c r="T1431" t="s">
        <v>412</v>
      </c>
      <c r="U1431">
        <v>2</v>
      </c>
      <c r="V1431" t="s">
        <v>33</v>
      </c>
    </row>
    <row r="1432" spans="1:22" x14ac:dyDescent="0.3">
      <c r="A1432" t="s">
        <v>2403</v>
      </c>
      <c r="B1432" s="1">
        <v>45711</v>
      </c>
      <c r="C1432" t="s">
        <v>473</v>
      </c>
      <c r="D1432" t="s">
        <v>740</v>
      </c>
      <c r="E1432" t="s">
        <v>41</v>
      </c>
      <c r="F1432" t="s">
        <v>42</v>
      </c>
      <c r="G1432" t="s">
        <v>50</v>
      </c>
      <c r="H1432" t="s">
        <v>28</v>
      </c>
      <c r="I1432" t="s">
        <v>73</v>
      </c>
      <c r="J1432" t="s">
        <v>74</v>
      </c>
      <c r="K1432">
        <v>2</v>
      </c>
      <c r="L1432">
        <v>2646.61</v>
      </c>
      <c r="M1432">
        <v>0.15</v>
      </c>
      <c r="N1432">
        <v>4499.24</v>
      </c>
      <c r="O1432">
        <v>2797.53</v>
      </c>
      <c r="P1432">
        <v>1701.71</v>
      </c>
      <c r="Q1432" t="s">
        <v>31</v>
      </c>
      <c r="R1432">
        <v>0.37822165521288043</v>
      </c>
      <c r="S1432">
        <v>2025</v>
      </c>
      <c r="T1432" t="s">
        <v>412</v>
      </c>
      <c r="U1432">
        <v>2</v>
      </c>
      <c r="V1432" t="s">
        <v>33</v>
      </c>
    </row>
    <row r="1433" spans="1:22" x14ac:dyDescent="0.3">
      <c r="A1433" t="s">
        <v>2404</v>
      </c>
      <c r="B1433" s="1">
        <v>45712</v>
      </c>
      <c r="C1433" t="s">
        <v>1022</v>
      </c>
      <c r="D1433" t="s">
        <v>334</v>
      </c>
      <c r="E1433" t="s">
        <v>120</v>
      </c>
      <c r="F1433" t="s">
        <v>121</v>
      </c>
      <c r="G1433" t="s">
        <v>224</v>
      </c>
      <c r="H1433" t="s">
        <v>84</v>
      </c>
      <c r="I1433" t="s">
        <v>138</v>
      </c>
      <c r="J1433" t="s">
        <v>220</v>
      </c>
      <c r="K1433">
        <v>4</v>
      </c>
      <c r="L1433">
        <v>7215.52</v>
      </c>
      <c r="M1433">
        <v>0</v>
      </c>
      <c r="N1433">
        <v>28862.080000000002</v>
      </c>
      <c r="O1433">
        <v>18670.87</v>
      </c>
      <c r="P1433">
        <v>10191.209999999999</v>
      </c>
      <c r="Q1433" t="s">
        <v>31</v>
      </c>
      <c r="R1433">
        <v>0.35310033095327842</v>
      </c>
      <c r="S1433">
        <v>2025</v>
      </c>
      <c r="T1433" t="s">
        <v>412</v>
      </c>
      <c r="U1433">
        <v>2</v>
      </c>
      <c r="V1433" t="s">
        <v>33</v>
      </c>
    </row>
    <row r="1434" spans="1:22" x14ac:dyDescent="0.3">
      <c r="A1434" t="s">
        <v>2405</v>
      </c>
      <c r="B1434" s="1">
        <v>45712</v>
      </c>
      <c r="C1434" t="s">
        <v>908</v>
      </c>
      <c r="D1434" t="s">
        <v>1676</v>
      </c>
      <c r="E1434" t="s">
        <v>41</v>
      </c>
      <c r="F1434" t="s">
        <v>42</v>
      </c>
      <c r="G1434" t="s">
        <v>42</v>
      </c>
      <c r="H1434" t="s">
        <v>84</v>
      </c>
      <c r="I1434" t="s">
        <v>85</v>
      </c>
      <c r="J1434" t="s">
        <v>86</v>
      </c>
      <c r="K1434">
        <v>2</v>
      </c>
      <c r="L1434">
        <v>1905.16</v>
      </c>
      <c r="M1434">
        <v>0.1</v>
      </c>
      <c r="N1434">
        <v>3429.29</v>
      </c>
      <c r="O1434">
        <v>2068.84</v>
      </c>
      <c r="P1434">
        <v>1360.45</v>
      </c>
      <c r="Q1434" t="s">
        <v>46</v>
      </c>
      <c r="R1434">
        <v>0.39671477186239718</v>
      </c>
      <c r="S1434">
        <v>2025</v>
      </c>
      <c r="T1434" t="s">
        <v>412</v>
      </c>
      <c r="U1434">
        <v>2</v>
      </c>
      <c r="V1434" t="s">
        <v>33</v>
      </c>
    </row>
    <row r="1435" spans="1:22" x14ac:dyDescent="0.3">
      <c r="A1435" t="s">
        <v>2406</v>
      </c>
      <c r="B1435" s="1">
        <v>45713</v>
      </c>
      <c r="C1435" t="s">
        <v>1159</v>
      </c>
      <c r="D1435" t="s">
        <v>1413</v>
      </c>
      <c r="E1435" t="s">
        <v>61</v>
      </c>
      <c r="F1435" t="s">
        <v>62</v>
      </c>
      <c r="G1435" t="s">
        <v>90</v>
      </c>
      <c r="H1435" t="s">
        <v>84</v>
      </c>
      <c r="I1435" t="s">
        <v>85</v>
      </c>
      <c r="J1435" t="s">
        <v>145</v>
      </c>
      <c r="K1435">
        <v>1</v>
      </c>
      <c r="L1435">
        <v>3206.88</v>
      </c>
      <c r="M1435">
        <v>0.15</v>
      </c>
      <c r="N1435">
        <v>2725.85</v>
      </c>
      <c r="O1435">
        <v>1882.18</v>
      </c>
      <c r="P1435">
        <v>843.67</v>
      </c>
      <c r="Q1435" t="s">
        <v>53</v>
      </c>
      <c r="R1435">
        <v>0.30950712621751009</v>
      </c>
      <c r="S1435">
        <v>2025</v>
      </c>
      <c r="T1435" t="s">
        <v>412</v>
      </c>
      <c r="U1435">
        <v>2</v>
      </c>
      <c r="V1435" t="s">
        <v>33</v>
      </c>
    </row>
    <row r="1436" spans="1:22" x14ac:dyDescent="0.3">
      <c r="A1436" t="s">
        <v>2407</v>
      </c>
      <c r="B1436" s="1">
        <v>45713</v>
      </c>
      <c r="C1436" t="s">
        <v>989</v>
      </c>
      <c r="D1436" t="s">
        <v>740</v>
      </c>
      <c r="E1436" t="s">
        <v>61</v>
      </c>
      <c r="F1436" t="s">
        <v>71</v>
      </c>
      <c r="G1436" t="s">
        <v>317</v>
      </c>
      <c r="H1436" t="s">
        <v>28</v>
      </c>
      <c r="I1436" t="s">
        <v>91</v>
      </c>
      <c r="J1436" t="s">
        <v>126</v>
      </c>
      <c r="K1436">
        <v>3</v>
      </c>
      <c r="L1436">
        <v>2069.23</v>
      </c>
      <c r="M1436">
        <v>0.15</v>
      </c>
      <c r="N1436">
        <v>5276.54</v>
      </c>
      <c r="O1436">
        <v>3647.93</v>
      </c>
      <c r="P1436">
        <v>1628.61</v>
      </c>
      <c r="Q1436" t="s">
        <v>31</v>
      </c>
      <c r="R1436">
        <v>0.30865112365299979</v>
      </c>
      <c r="S1436">
        <v>2025</v>
      </c>
      <c r="T1436" t="s">
        <v>412</v>
      </c>
      <c r="U1436">
        <v>2</v>
      </c>
      <c r="V1436" t="s">
        <v>33</v>
      </c>
    </row>
    <row r="1437" spans="1:22" x14ac:dyDescent="0.3">
      <c r="A1437" t="s">
        <v>2408</v>
      </c>
      <c r="B1437" s="1">
        <v>45714</v>
      </c>
      <c r="C1437" t="s">
        <v>243</v>
      </c>
      <c r="D1437" t="s">
        <v>371</v>
      </c>
      <c r="E1437" t="s">
        <v>41</v>
      </c>
      <c r="F1437" t="s">
        <v>42</v>
      </c>
      <c r="G1437" t="s">
        <v>42</v>
      </c>
      <c r="H1437" t="s">
        <v>43</v>
      </c>
      <c r="I1437" t="s">
        <v>44</v>
      </c>
      <c r="J1437" t="s">
        <v>45</v>
      </c>
      <c r="K1437">
        <v>2</v>
      </c>
      <c r="L1437">
        <v>263.58</v>
      </c>
      <c r="M1437">
        <v>0.05</v>
      </c>
      <c r="N1437">
        <v>500.8</v>
      </c>
      <c r="O1437">
        <v>195.62</v>
      </c>
      <c r="P1437">
        <v>305.18</v>
      </c>
      <c r="Q1437" t="s">
        <v>46</v>
      </c>
      <c r="R1437">
        <v>0.60938498402555907</v>
      </c>
      <c r="S1437">
        <v>2025</v>
      </c>
      <c r="T1437" t="s">
        <v>412</v>
      </c>
      <c r="U1437">
        <v>2</v>
      </c>
      <c r="V1437" t="s">
        <v>33</v>
      </c>
    </row>
    <row r="1438" spans="1:22" x14ac:dyDescent="0.3">
      <c r="A1438" t="s">
        <v>2409</v>
      </c>
      <c r="B1438" s="1">
        <v>45714</v>
      </c>
      <c r="C1438" t="s">
        <v>492</v>
      </c>
      <c r="D1438" t="s">
        <v>657</v>
      </c>
      <c r="E1438" t="s">
        <v>61</v>
      </c>
      <c r="F1438" t="s">
        <v>71</v>
      </c>
      <c r="G1438" t="s">
        <v>72</v>
      </c>
      <c r="H1438" t="s">
        <v>28</v>
      </c>
      <c r="I1438" t="s">
        <v>91</v>
      </c>
      <c r="J1438" t="s">
        <v>92</v>
      </c>
      <c r="K1438">
        <v>3</v>
      </c>
      <c r="L1438">
        <v>3107.33</v>
      </c>
      <c r="M1438">
        <v>0</v>
      </c>
      <c r="N1438">
        <v>9321.99</v>
      </c>
      <c r="O1438">
        <v>4895.93</v>
      </c>
      <c r="P1438">
        <v>4426.0600000000004</v>
      </c>
      <c r="Q1438" t="s">
        <v>31</v>
      </c>
      <c r="R1438">
        <v>0.47479776313855743</v>
      </c>
      <c r="S1438">
        <v>2025</v>
      </c>
      <c r="T1438" t="s">
        <v>412</v>
      </c>
      <c r="U1438">
        <v>2</v>
      </c>
      <c r="V1438" t="s">
        <v>33</v>
      </c>
    </row>
    <row r="1439" spans="1:22" x14ac:dyDescent="0.3">
      <c r="A1439" t="s">
        <v>2410</v>
      </c>
      <c r="B1439" s="1">
        <v>45714</v>
      </c>
      <c r="C1439" t="s">
        <v>2411</v>
      </c>
      <c r="D1439" t="s">
        <v>841</v>
      </c>
      <c r="E1439" t="s">
        <v>41</v>
      </c>
      <c r="F1439" t="s">
        <v>42</v>
      </c>
      <c r="G1439" t="s">
        <v>42</v>
      </c>
      <c r="H1439" t="s">
        <v>64</v>
      </c>
      <c r="I1439" t="s">
        <v>65</v>
      </c>
      <c r="J1439" t="s">
        <v>232</v>
      </c>
      <c r="K1439">
        <v>6</v>
      </c>
      <c r="L1439">
        <v>3767.02</v>
      </c>
      <c r="M1439">
        <v>0</v>
      </c>
      <c r="N1439">
        <v>22602.12</v>
      </c>
      <c r="O1439">
        <v>14801.03</v>
      </c>
      <c r="P1439">
        <v>7801.09</v>
      </c>
      <c r="Q1439" t="s">
        <v>113</v>
      </c>
      <c r="R1439">
        <v>0.34514859668031139</v>
      </c>
      <c r="S1439">
        <v>2025</v>
      </c>
      <c r="T1439" t="s">
        <v>412</v>
      </c>
      <c r="U1439">
        <v>2</v>
      </c>
      <c r="V1439" t="s">
        <v>33</v>
      </c>
    </row>
    <row r="1440" spans="1:22" x14ac:dyDescent="0.3">
      <c r="A1440" t="s">
        <v>2412</v>
      </c>
      <c r="B1440" s="1">
        <v>45714</v>
      </c>
      <c r="C1440" t="s">
        <v>512</v>
      </c>
      <c r="D1440" t="s">
        <v>60</v>
      </c>
      <c r="E1440" t="s">
        <v>61</v>
      </c>
      <c r="F1440" t="s">
        <v>78</v>
      </c>
      <c r="G1440" t="s">
        <v>79</v>
      </c>
      <c r="H1440" t="s">
        <v>84</v>
      </c>
      <c r="I1440" t="s">
        <v>138</v>
      </c>
      <c r="J1440" t="s">
        <v>139</v>
      </c>
      <c r="K1440">
        <v>3</v>
      </c>
      <c r="L1440">
        <v>12231.76</v>
      </c>
      <c r="M1440">
        <v>0.1</v>
      </c>
      <c r="N1440">
        <v>33025.75</v>
      </c>
      <c r="O1440">
        <v>26699.3</v>
      </c>
      <c r="P1440">
        <v>6326.45</v>
      </c>
      <c r="Q1440" t="s">
        <v>31</v>
      </c>
      <c r="R1440">
        <v>0.1915611303301212</v>
      </c>
      <c r="S1440">
        <v>2025</v>
      </c>
      <c r="T1440" t="s">
        <v>412</v>
      </c>
      <c r="U1440">
        <v>2</v>
      </c>
      <c r="V1440" t="s">
        <v>33</v>
      </c>
    </row>
    <row r="1441" spans="1:22" x14ac:dyDescent="0.3">
      <c r="A1441" t="s">
        <v>2413</v>
      </c>
      <c r="B1441" s="1">
        <v>45715</v>
      </c>
      <c r="C1441" t="s">
        <v>1262</v>
      </c>
      <c r="D1441" t="s">
        <v>644</v>
      </c>
      <c r="E1441" t="s">
        <v>41</v>
      </c>
      <c r="F1441" t="s">
        <v>42</v>
      </c>
      <c r="G1441" t="s">
        <v>50</v>
      </c>
      <c r="H1441" t="s">
        <v>28</v>
      </c>
      <c r="I1441" t="s">
        <v>91</v>
      </c>
      <c r="J1441" t="s">
        <v>92</v>
      </c>
      <c r="K1441">
        <v>4</v>
      </c>
      <c r="L1441">
        <v>2936.52</v>
      </c>
      <c r="M1441">
        <v>0</v>
      </c>
      <c r="N1441">
        <v>11746.08</v>
      </c>
      <c r="O1441">
        <v>5953.5</v>
      </c>
      <c r="P1441">
        <v>5792.58</v>
      </c>
      <c r="Q1441" t="s">
        <v>31</v>
      </c>
      <c r="R1441">
        <v>0.49315005516734101</v>
      </c>
      <c r="S1441">
        <v>2025</v>
      </c>
      <c r="T1441" t="s">
        <v>412</v>
      </c>
      <c r="U1441">
        <v>2</v>
      </c>
      <c r="V1441" t="s">
        <v>33</v>
      </c>
    </row>
    <row r="1442" spans="1:22" x14ac:dyDescent="0.3">
      <c r="A1442" t="s">
        <v>2414</v>
      </c>
      <c r="B1442" s="1">
        <v>45715</v>
      </c>
      <c r="C1442" t="s">
        <v>840</v>
      </c>
      <c r="D1442" t="s">
        <v>966</v>
      </c>
      <c r="E1442" t="s">
        <v>61</v>
      </c>
      <c r="F1442" t="s">
        <v>78</v>
      </c>
      <c r="G1442" t="s">
        <v>104</v>
      </c>
      <c r="H1442" t="s">
        <v>64</v>
      </c>
      <c r="I1442" t="s">
        <v>108</v>
      </c>
      <c r="J1442" t="s">
        <v>155</v>
      </c>
      <c r="K1442">
        <v>4</v>
      </c>
      <c r="L1442">
        <v>8741.92</v>
      </c>
      <c r="M1442">
        <v>0.05</v>
      </c>
      <c r="N1442">
        <v>33219.300000000003</v>
      </c>
      <c r="O1442">
        <v>23152.31</v>
      </c>
      <c r="P1442">
        <v>10066.99</v>
      </c>
      <c r="Q1442" t="s">
        <v>113</v>
      </c>
      <c r="R1442">
        <v>0.30304642180900859</v>
      </c>
      <c r="S1442">
        <v>2025</v>
      </c>
      <c r="T1442" t="s">
        <v>412</v>
      </c>
      <c r="U1442">
        <v>2</v>
      </c>
      <c r="V1442" t="s">
        <v>33</v>
      </c>
    </row>
    <row r="1443" spans="1:22" x14ac:dyDescent="0.3">
      <c r="A1443" t="s">
        <v>2415</v>
      </c>
      <c r="B1443" s="1">
        <v>45715</v>
      </c>
      <c r="C1443" t="s">
        <v>1772</v>
      </c>
      <c r="D1443" t="s">
        <v>1108</v>
      </c>
      <c r="E1443" t="s">
        <v>41</v>
      </c>
      <c r="F1443" t="s">
        <v>42</v>
      </c>
      <c r="G1443" t="s">
        <v>42</v>
      </c>
      <c r="H1443" t="s">
        <v>43</v>
      </c>
      <c r="I1443" t="s">
        <v>44</v>
      </c>
      <c r="J1443" t="s">
        <v>248</v>
      </c>
      <c r="K1443">
        <v>4</v>
      </c>
      <c r="L1443">
        <v>311.51</v>
      </c>
      <c r="M1443">
        <v>0.05</v>
      </c>
      <c r="N1443">
        <v>1183.74</v>
      </c>
      <c r="O1443">
        <v>523.61</v>
      </c>
      <c r="P1443">
        <v>660.13</v>
      </c>
      <c r="Q1443" t="s">
        <v>31</v>
      </c>
      <c r="R1443">
        <v>0.55766468988122386</v>
      </c>
      <c r="S1443">
        <v>2025</v>
      </c>
      <c r="T1443" t="s">
        <v>412</v>
      </c>
      <c r="U1443">
        <v>2</v>
      </c>
      <c r="V1443" t="s">
        <v>33</v>
      </c>
    </row>
    <row r="1444" spans="1:22" x14ac:dyDescent="0.3">
      <c r="A1444" t="s">
        <v>2416</v>
      </c>
      <c r="B1444" s="1">
        <v>45715</v>
      </c>
      <c r="C1444" t="s">
        <v>1055</v>
      </c>
      <c r="D1444" t="s">
        <v>133</v>
      </c>
      <c r="E1444" t="s">
        <v>25</v>
      </c>
      <c r="F1444" t="s">
        <v>26</v>
      </c>
      <c r="G1444" t="s">
        <v>37</v>
      </c>
      <c r="H1444" t="s">
        <v>64</v>
      </c>
      <c r="I1444" t="s">
        <v>108</v>
      </c>
      <c r="J1444" t="s">
        <v>155</v>
      </c>
      <c r="K1444">
        <v>2</v>
      </c>
      <c r="L1444">
        <v>8227.7000000000007</v>
      </c>
      <c r="M1444">
        <v>0.15</v>
      </c>
      <c r="N1444">
        <v>13987.09</v>
      </c>
      <c r="O1444">
        <v>11605.11</v>
      </c>
      <c r="P1444">
        <v>2381.98</v>
      </c>
      <c r="Q1444" t="s">
        <v>31</v>
      </c>
      <c r="R1444">
        <v>0.17029846808735771</v>
      </c>
      <c r="S1444">
        <v>2025</v>
      </c>
      <c r="T1444" t="s">
        <v>412</v>
      </c>
      <c r="U1444">
        <v>2</v>
      </c>
      <c r="V1444" t="s">
        <v>33</v>
      </c>
    </row>
    <row r="1445" spans="1:22" x14ac:dyDescent="0.3">
      <c r="A1445" t="s">
        <v>2417</v>
      </c>
      <c r="B1445" s="1">
        <v>45715</v>
      </c>
      <c r="C1445" t="s">
        <v>1929</v>
      </c>
      <c r="D1445" t="s">
        <v>424</v>
      </c>
      <c r="E1445" t="s">
        <v>61</v>
      </c>
      <c r="F1445" t="s">
        <v>62</v>
      </c>
      <c r="G1445" t="s">
        <v>90</v>
      </c>
      <c r="H1445" t="s">
        <v>84</v>
      </c>
      <c r="I1445" t="s">
        <v>138</v>
      </c>
      <c r="J1445" t="s">
        <v>220</v>
      </c>
      <c r="K1445">
        <v>3</v>
      </c>
      <c r="L1445">
        <v>7216.58</v>
      </c>
      <c r="M1445">
        <v>0.1</v>
      </c>
      <c r="N1445">
        <v>19484.77</v>
      </c>
      <c r="O1445">
        <v>14323.45</v>
      </c>
      <c r="P1445">
        <v>5161.32</v>
      </c>
      <c r="Q1445" t="s">
        <v>53</v>
      </c>
      <c r="R1445">
        <v>0.26488996277605531</v>
      </c>
      <c r="S1445">
        <v>2025</v>
      </c>
      <c r="T1445" t="s">
        <v>412</v>
      </c>
      <c r="U1445">
        <v>2</v>
      </c>
      <c r="V1445" t="s">
        <v>33</v>
      </c>
    </row>
    <row r="1446" spans="1:22" x14ac:dyDescent="0.3">
      <c r="A1446" t="s">
        <v>2418</v>
      </c>
      <c r="B1446" s="1">
        <v>45715</v>
      </c>
      <c r="C1446" t="s">
        <v>1032</v>
      </c>
      <c r="D1446" t="s">
        <v>1396</v>
      </c>
      <c r="E1446" t="s">
        <v>61</v>
      </c>
      <c r="F1446" t="s">
        <v>78</v>
      </c>
      <c r="G1446" t="s">
        <v>79</v>
      </c>
      <c r="H1446" t="s">
        <v>43</v>
      </c>
      <c r="I1446" t="s">
        <v>51</v>
      </c>
      <c r="J1446" t="s">
        <v>52</v>
      </c>
      <c r="K1446">
        <v>3</v>
      </c>
      <c r="L1446">
        <v>709.53</v>
      </c>
      <c r="M1446">
        <v>0.05</v>
      </c>
      <c r="N1446">
        <v>2022.16</v>
      </c>
      <c r="O1446">
        <v>976.05</v>
      </c>
      <c r="P1446">
        <v>1046.1099999999999</v>
      </c>
      <c r="Q1446" t="s">
        <v>53</v>
      </c>
      <c r="R1446">
        <v>0.51732306048977328</v>
      </c>
      <c r="S1446">
        <v>2025</v>
      </c>
      <c r="T1446" t="s">
        <v>412</v>
      </c>
      <c r="U1446">
        <v>2</v>
      </c>
      <c r="V1446" t="s">
        <v>33</v>
      </c>
    </row>
    <row r="1447" spans="1:22" x14ac:dyDescent="0.3">
      <c r="A1447" t="s">
        <v>2419</v>
      </c>
      <c r="B1447" s="1">
        <v>45715</v>
      </c>
      <c r="C1447" t="s">
        <v>2243</v>
      </c>
      <c r="D1447" t="s">
        <v>70</v>
      </c>
      <c r="E1447" t="s">
        <v>61</v>
      </c>
      <c r="F1447" t="s">
        <v>62</v>
      </c>
      <c r="G1447" t="s">
        <v>63</v>
      </c>
      <c r="H1447" t="s">
        <v>28</v>
      </c>
      <c r="I1447" t="s">
        <v>91</v>
      </c>
      <c r="J1447" t="s">
        <v>126</v>
      </c>
      <c r="K1447">
        <v>2</v>
      </c>
      <c r="L1447">
        <v>2059.7199999999998</v>
      </c>
      <c r="M1447">
        <v>0.1</v>
      </c>
      <c r="N1447">
        <v>3707.5</v>
      </c>
      <c r="O1447">
        <v>2349.0500000000002</v>
      </c>
      <c r="P1447">
        <v>1358.45</v>
      </c>
      <c r="Q1447" t="s">
        <v>46</v>
      </c>
      <c r="R1447">
        <v>0.36640593391773429</v>
      </c>
      <c r="S1447">
        <v>2025</v>
      </c>
      <c r="T1447" t="s">
        <v>412</v>
      </c>
      <c r="U1447">
        <v>2</v>
      </c>
      <c r="V1447" t="s">
        <v>33</v>
      </c>
    </row>
    <row r="1448" spans="1:22" x14ac:dyDescent="0.3">
      <c r="A1448" t="s">
        <v>2420</v>
      </c>
      <c r="B1448" s="1">
        <v>45716</v>
      </c>
      <c r="C1448" t="s">
        <v>1295</v>
      </c>
      <c r="D1448" t="s">
        <v>707</v>
      </c>
      <c r="E1448" t="s">
        <v>120</v>
      </c>
      <c r="F1448" t="s">
        <v>121</v>
      </c>
      <c r="G1448" t="s">
        <v>122</v>
      </c>
      <c r="H1448" t="s">
        <v>64</v>
      </c>
      <c r="I1448" t="s">
        <v>108</v>
      </c>
      <c r="J1448" t="s">
        <v>155</v>
      </c>
      <c r="K1448">
        <v>3</v>
      </c>
      <c r="L1448">
        <v>8215.15</v>
      </c>
      <c r="M1448">
        <v>0</v>
      </c>
      <c r="N1448">
        <v>24645.45</v>
      </c>
      <c r="O1448">
        <v>16648.349999999999</v>
      </c>
      <c r="P1448">
        <v>7997.1</v>
      </c>
      <c r="Q1448" t="s">
        <v>67</v>
      </c>
      <c r="R1448">
        <v>0.32448585844445932</v>
      </c>
      <c r="S1448">
        <v>2025</v>
      </c>
      <c r="T1448" t="s">
        <v>412</v>
      </c>
      <c r="U1448">
        <v>2</v>
      </c>
      <c r="V1448" t="s">
        <v>33</v>
      </c>
    </row>
    <row r="1449" spans="1:22" x14ac:dyDescent="0.3">
      <c r="A1449" t="s">
        <v>2421</v>
      </c>
      <c r="B1449" s="1">
        <v>45716</v>
      </c>
      <c r="C1449" t="s">
        <v>323</v>
      </c>
      <c r="D1449" t="s">
        <v>276</v>
      </c>
      <c r="E1449" t="s">
        <v>61</v>
      </c>
      <c r="F1449" t="s">
        <v>71</v>
      </c>
      <c r="G1449" t="s">
        <v>317</v>
      </c>
      <c r="H1449" t="s">
        <v>84</v>
      </c>
      <c r="I1449" t="s">
        <v>85</v>
      </c>
      <c r="J1449" t="s">
        <v>145</v>
      </c>
      <c r="K1449">
        <v>2</v>
      </c>
      <c r="L1449">
        <v>3155.92</v>
      </c>
      <c r="M1449">
        <v>0.15</v>
      </c>
      <c r="N1449">
        <v>5365.06</v>
      </c>
      <c r="O1449">
        <v>3577.14</v>
      </c>
      <c r="P1449">
        <v>1787.92</v>
      </c>
      <c r="Q1449" t="s">
        <v>31</v>
      </c>
      <c r="R1449">
        <v>0.33325256381102908</v>
      </c>
      <c r="S1449">
        <v>2025</v>
      </c>
      <c r="T1449" t="s">
        <v>412</v>
      </c>
      <c r="U1449">
        <v>2</v>
      </c>
      <c r="V1449" t="s">
        <v>33</v>
      </c>
    </row>
    <row r="1450" spans="1:22" x14ac:dyDescent="0.3">
      <c r="A1450" t="s">
        <v>2422</v>
      </c>
      <c r="B1450" s="1">
        <v>45717</v>
      </c>
      <c r="C1450" t="s">
        <v>1511</v>
      </c>
      <c r="D1450" t="s">
        <v>1148</v>
      </c>
      <c r="E1450" t="s">
        <v>41</v>
      </c>
      <c r="F1450" t="s">
        <v>42</v>
      </c>
      <c r="G1450" t="s">
        <v>42</v>
      </c>
      <c r="H1450" t="s">
        <v>28</v>
      </c>
      <c r="I1450" t="s">
        <v>73</v>
      </c>
      <c r="J1450" t="s">
        <v>80</v>
      </c>
      <c r="K1450">
        <v>3</v>
      </c>
      <c r="L1450">
        <v>831.47</v>
      </c>
      <c r="M1450">
        <v>0.05</v>
      </c>
      <c r="N1450">
        <v>2369.69</v>
      </c>
      <c r="O1450">
        <v>1494.04</v>
      </c>
      <c r="P1450">
        <v>875.65</v>
      </c>
      <c r="Q1450" t="s">
        <v>31</v>
      </c>
      <c r="R1450">
        <v>0.3695209077980664</v>
      </c>
      <c r="S1450">
        <v>2025</v>
      </c>
      <c r="T1450" t="s">
        <v>636</v>
      </c>
      <c r="U1450">
        <v>3</v>
      </c>
      <c r="V1450" t="s">
        <v>33</v>
      </c>
    </row>
    <row r="1451" spans="1:22" x14ac:dyDescent="0.3">
      <c r="A1451" t="s">
        <v>2423</v>
      </c>
      <c r="B1451" s="1">
        <v>45717</v>
      </c>
      <c r="C1451" t="s">
        <v>1813</v>
      </c>
      <c r="D1451" t="s">
        <v>440</v>
      </c>
      <c r="E1451" t="s">
        <v>25</v>
      </c>
      <c r="F1451" t="s">
        <v>26</v>
      </c>
      <c r="G1451" t="s">
        <v>260</v>
      </c>
      <c r="H1451" t="s">
        <v>28</v>
      </c>
      <c r="I1451" t="s">
        <v>73</v>
      </c>
      <c r="J1451" t="s">
        <v>80</v>
      </c>
      <c r="K1451">
        <v>4</v>
      </c>
      <c r="L1451">
        <v>822.46</v>
      </c>
      <c r="M1451">
        <v>0.1</v>
      </c>
      <c r="N1451">
        <v>2960.86</v>
      </c>
      <c r="O1451">
        <v>2038.71</v>
      </c>
      <c r="P1451">
        <v>922.15</v>
      </c>
      <c r="Q1451" t="s">
        <v>67</v>
      </c>
      <c r="R1451">
        <v>0.31144667427706813</v>
      </c>
      <c r="S1451">
        <v>2025</v>
      </c>
      <c r="T1451" t="s">
        <v>636</v>
      </c>
      <c r="U1451">
        <v>3</v>
      </c>
      <c r="V1451" t="s">
        <v>33</v>
      </c>
    </row>
    <row r="1452" spans="1:22" x14ac:dyDescent="0.3">
      <c r="A1452" t="s">
        <v>2424</v>
      </c>
      <c r="B1452" s="1">
        <v>45717</v>
      </c>
      <c r="C1452" t="s">
        <v>1176</v>
      </c>
      <c r="D1452" t="s">
        <v>307</v>
      </c>
      <c r="E1452" t="s">
        <v>25</v>
      </c>
      <c r="F1452" t="s">
        <v>26</v>
      </c>
      <c r="G1452" t="s">
        <v>37</v>
      </c>
      <c r="H1452" t="s">
        <v>64</v>
      </c>
      <c r="I1452" t="s">
        <v>108</v>
      </c>
      <c r="J1452" t="s">
        <v>109</v>
      </c>
      <c r="K1452">
        <v>2</v>
      </c>
      <c r="L1452">
        <v>6969.46</v>
      </c>
      <c r="M1452">
        <v>0</v>
      </c>
      <c r="N1452">
        <v>13938.92</v>
      </c>
      <c r="O1452">
        <v>8968.9599999999991</v>
      </c>
      <c r="P1452">
        <v>4969.96</v>
      </c>
      <c r="Q1452" t="s">
        <v>31</v>
      </c>
      <c r="R1452">
        <v>0.35655273148852279</v>
      </c>
      <c r="S1452">
        <v>2025</v>
      </c>
      <c r="T1452" t="s">
        <v>636</v>
      </c>
      <c r="U1452">
        <v>3</v>
      </c>
      <c r="V1452" t="s">
        <v>33</v>
      </c>
    </row>
    <row r="1453" spans="1:22" x14ac:dyDescent="0.3">
      <c r="A1453" t="s">
        <v>2425</v>
      </c>
      <c r="B1453" s="1">
        <v>45718</v>
      </c>
      <c r="C1453" t="s">
        <v>669</v>
      </c>
      <c r="D1453" t="s">
        <v>972</v>
      </c>
      <c r="E1453" t="s">
        <v>61</v>
      </c>
      <c r="F1453" t="s">
        <v>62</v>
      </c>
      <c r="G1453" t="s">
        <v>63</v>
      </c>
      <c r="H1453" t="s">
        <v>28</v>
      </c>
      <c r="I1453" t="s">
        <v>91</v>
      </c>
      <c r="J1453" t="s">
        <v>126</v>
      </c>
      <c r="K1453">
        <v>3</v>
      </c>
      <c r="L1453">
        <v>1978.8</v>
      </c>
      <c r="M1453">
        <v>0</v>
      </c>
      <c r="N1453">
        <v>5936.4</v>
      </c>
      <c r="O1453">
        <v>3316.85</v>
      </c>
      <c r="P1453">
        <v>2619.5500000000002</v>
      </c>
      <c r="Q1453" t="s">
        <v>31</v>
      </c>
      <c r="R1453">
        <v>0.44126911933158153</v>
      </c>
      <c r="S1453">
        <v>2025</v>
      </c>
      <c r="T1453" t="s">
        <v>636</v>
      </c>
      <c r="U1453">
        <v>3</v>
      </c>
      <c r="V1453" t="s">
        <v>33</v>
      </c>
    </row>
    <row r="1454" spans="1:22" x14ac:dyDescent="0.3">
      <c r="A1454" t="s">
        <v>2426</v>
      </c>
      <c r="B1454" s="1">
        <v>45718</v>
      </c>
      <c r="C1454" t="s">
        <v>1653</v>
      </c>
      <c r="D1454" t="s">
        <v>133</v>
      </c>
      <c r="E1454" t="s">
        <v>25</v>
      </c>
      <c r="F1454" t="s">
        <v>26</v>
      </c>
      <c r="G1454" t="s">
        <v>37</v>
      </c>
      <c r="H1454" t="s">
        <v>43</v>
      </c>
      <c r="I1454" t="s">
        <v>51</v>
      </c>
      <c r="J1454" t="s">
        <v>52</v>
      </c>
      <c r="K1454">
        <v>1</v>
      </c>
      <c r="L1454">
        <v>680.81</v>
      </c>
      <c r="M1454">
        <v>0.15</v>
      </c>
      <c r="N1454">
        <v>578.69000000000005</v>
      </c>
      <c r="O1454">
        <v>328.28</v>
      </c>
      <c r="P1454">
        <v>250.41</v>
      </c>
      <c r="Q1454" t="s">
        <v>67</v>
      </c>
      <c r="R1454">
        <v>0.43271872677945011</v>
      </c>
      <c r="S1454">
        <v>2025</v>
      </c>
      <c r="T1454" t="s">
        <v>636</v>
      </c>
      <c r="U1454">
        <v>3</v>
      </c>
      <c r="V1454" t="s">
        <v>33</v>
      </c>
    </row>
    <row r="1455" spans="1:22" x14ac:dyDescent="0.3">
      <c r="A1455" t="s">
        <v>2427</v>
      </c>
      <c r="B1455" s="1">
        <v>45718</v>
      </c>
      <c r="C1455" t="s">
        <v>1747</v>
      </c>
      <c r="D1455" t="s">
        <v>339</v>
      </c>
      <c r="E1455" t="s">
        <v>61</v>
      </c>
      <c r="F1455" t="s">
        <v>62</v>
      </c>
      <c r="G1455" t="s">
        <v>90</v>
      </c>
      <c r="H1455" t="s">
        <v>64</v>
      </c>
      <c r="I1455" t="s">
        <v>108</v>
      </c>
      <c r="J1455" t="s">
        <v>155</v>
      </c>
      <c r="K1455">
        <v>2</v>
      </c>
      <c r="L1455">
        <v>8839.65</v>
      </c>
      <c r="M1455">
        <v>0.05</v>
      </c>
      <c r="N1455">
        <v>16795.330000000002</v>
      </c>
      <c r="O1455">
        <v>11946.84</v>
      </c>
      <c r="P1455">
        <v>4848.49</v>
      </c>
      <c r="Q1455" t="s">
        <v>53</v>
      </c>
      <c r="R1455">
        <v>0.28868084163871738</v>
      </c>
      <c r="S1455">
        <v>2025</v>
      </c>
      <c r="T1455" t="s">
        <v>636</v>
      </c>
      <c r="U1455">
        <v>3</v>
      </c>
      <c r="V1455" t="s">
        <v>33</v>
      </c>
    </row>
    <row r="1456" spans="1:22" x14ac:dyDescent="0.3">
      <c r="A1456" t="s">
        <v>2428</v>
      </c>
      <c r="B1456" s="1">
        <v>45718</v>
      </c>
      <c r="C1456" t="s">
        <v>905</v>
      </c>
      <c r="D1456" t="s">
        <v>390</v>
      </c>
      <c r="E1456" t="s">
        <v>25</v>
      </c>
      <c r="F1456" t="s">
        <v>26</v>
      </c>
      <c r="G1456" t="s">
        <v>260</v>
      </c>
      <c r="H1456" t="s">
        <v>84</v>
      </c>
      <c r="I1456" t="s">
        <v>138</v>
      </c>
      <c r="J1456" t="s">
        <v>220</v>
      </c>
      <c r="K1456">
        <v>2</v>
      </c>
      <c r="L1456">
        <v>7855.27</v>
      </c>
      <c r="M1456">
        <v>0.15</v>
      </c>
      <c r="N1456">
        <v>13353.96</v>
      </c>
      <c r="O1456">
        <v>10198.24</v>
      </c>
      <c r="P1456">
        <v>3155.72</v>
      </c>
      <c r="Q1456" t="s">
        <v>46</v>
      </c>
      <c r="R1456">
        <v>0.23631342313441109</v>
      </c>
      <c r="S1456">
        <v>2025</v>
      </c>
      <c r="T1456" t="s">
        <v>636</v>
      </c>
      <c r="U1456">
        <v>3</v>
      </c>
      <c r="V1456" t="s">
        <v>33</v>
      </c>
    </row>
    <row r="1457" spans="1:22" x14ac:dyDescent="0.3">
      <c r="A1457" t="s">
        <v>2429</v>
      </c>
      <c r="B1457" s="1">
        <v>45718</v>
      </c>
      <c r="C1457" t="s">
        <v>453</v>
      </c>
      <c r="D1457" t="s">
        <v>1106</v>
      </c>
      <c r="E1457" t="s">
        <v>61</v>
      </c>
      <c r="F1457" t="s">
        <v>71</v>
      </c>
      <c r="G1457" t="s">
        <v>317</v>
      </c>
      <c r="H1457" t="s">
        <v>28</v>
      </c>
      <c r="I1457" t="s">
        <v>29</v>
      </c>
      <c r="J1457" t="s">
        <v>30</v>
      </c>
      <c r="K1457">
        <v>1</v>
      </c>
      <c r="L1457">
        <v>56464.78</v>
      </c>
      <c r="M1457">
        <v>0.1</v>
      </c>
      <c r="N1457">
        <v>50818.3</v>
      </c>
      <c r="O1457">
        <v>49416.26</v>
      </c>
      <c r="P1457">
        <v>1402.04</v>
      </c>
      <c r="Q1457" t="s">
        <v>113</v>
      </c>
      <c r="R1457">
        <v>2.7589273942654511E-2</v>
      </c>
      <c r="S1457">
        <v>2025</v>
      </c>
      <c r="T1457" t="s">
        <v>636</v>
      </c>
      <c r="U1457">
        <v>3</v>
      </c>
      <c r="V1457" t="s">
        <v>33</v>
      </c>
    </row>
    <row r="1458" spans="1:22" x14ac:dyDescent="0.3">
      <c r="A1458" t="s">
        <v>2430</v>
      </c>
      <c r="B1458" s="1">
        <v>45719</v>
      </c>
      <c r="C1458" t="s">
        <v>402</v>
      </c>
      <c r="D1458" t="s">
        <v>1530</v>
      </c>
      <c r="E1458" t="s">
        <v>120</v>
      </c>
      <c r="F1458" t="s">
        <v>121</v>
      </c>
      <c r="G1458" t="s">
        <v>130</v>
      </c>
      <c r="H1458" t="s">
        <v>43</v>
      </c>
      <c r="I1458" t="s">
        <v>51</v>
      </c>
      <c r="J1458" t="s">
        <v>52</v>
      </c>
      <c r="K1458">
        <v>3</v>
      </c>
      <c r="L1458">
        <v>710.87</v>
      </c>
      <c r="M1458">
        <v>0.1</v>
      </c>
      <c r="N1458">
        <v>1919.35</v>
      </c>
      <c r="O1458">
        <v>1025.5999999999999</v>
      </c>
      <c r="P1458">
        <v>893.75</v>
      </c>
      <c r="Q1458" t="s">
        <v>53</v>
      </c>
      <c r="R1458">
        <v>0.46565243441790188</v>
      </c>
      <c r="S1458">
        <v>2025</v>
      </c>
      <c r="T1458" t="s">
        <v>636</v>
      </c>
      <c r="U1458">
        <v>3</v>
      </c>
      <c r="V1458" t="s">
        <v>33</v>
      </c>
    </row>
    <row r="1459" spans="1:22" x14ac:dyDescent="0.3">
      <c r="A1459" t="s">
        <v>2431</v>
      </c>
      <c r="B1459" s="1">
        <v>45719</v>
      </c>
      <c r="C1459" t="s">
        <v>2314</v>
      </c>
      <c r="D1459" t="s">
        <v>1108</v>
      </c>
      <c r="E1459" t="s">
        <v>41</v>
      </c>
      <c r="F1459" t="s">
        <v>42</v>
      </c>
      <c r="G1459" t="s">
        <v>42</v>
      </c>
      <c r="H1459" t="s">
        <v>84</v>
      </c>
      <c r="I1459" t="s">
        <v>138</v>
      </c>
      <c r="J1459" t="s">
        <v>220</v>
      </c>
      <c r="K1459">
        <v>3</v>
      </c>
      <c r="L1459">
        <v>7642.08</v>
      </c>
      <c r="M1459">
        <v>0</v>
      </c>
      <c r="N1459">
        <v>22926.240000000002</v>
      </c>
      <c r="O1459">
        <v>14736.96</v>
      </c>
      <c r="P1459">
        <v>8189.28</v>
      </c>
      <c r="Q1459" t="s">
        <v>113</v>
      </c>
      <c r="R1459">
        <v>0.3572011808303498</v>
      </c>
      <c r="S1459">
        <v>2025</v>
      </c>
      <c r="T1459" t="s">
        <v>636</v>
      </c>
      <c r="U1459">
        <v>3</v>
      </c>
      <c r="V1459" t="s">
        <v>33</v>
      </c>
    </row>
    <row r="1460" spans="1:22" x14ac:dyDescent="0.3">
      <c r="A1460" t="s">
        <v>2432</v>
      </c>
      <c r="B1460" s="1">
        <v>45719</v>
      </c>
      <c r="C1460" t="s">
        <v>754</v>
      </c>
      <c r="D1460" t="s">
        <v>789</v>
      </c>
      <c r="E1460" t="s">
        <v>120</v>
      </c>
      <c r="F1460" t="s">
        <v>121</v>
      </c>
      <c r="G1460" t="s">
        <v>130</v>
      </c>
      <c r="H1460" t="s">
        <v>64</v>
      </c>
      <c r="I1460" t="s">
        <v>65</v>
      </c>
      <c r="J1460" t="s">
        <v>66</v>
      </c>
      <c r="K1460">
        <v>2</v>
      </c>
      <c r="L1460">
        <v>4938.84</v>
      </c>
      <c r="M1460">
        <v>0.15</v>
      </c>
      <c r="N1460">
        <v>8396.0300000000007</v>
      </c>
      <c r="O1460">
        <v>6002.73</v>
      </c>
      <c r="P1460">
        <v>2393.3000000000002</v>
      </c>
      <c r="Q1460" t="s">
        <v>31</v>
      </c>
      <c r="R1460">
        <v>0.28505138738189362</v>
      </c>
      <c r="S1460">
        <v>2025</v>
      </c>
      <c r="T1460" t="s">
        <v>636</v>
      </c>
      <c r="U1460">
        <v>3</v>
      </c>
      <c r="V1460" t="s">
        <v>33</v>
      </c>
    </row>
    <row r="1461" spans="1:22" x14ac:dyDescent="0.3">
      <c r="A1461" t="s">
        <v>2433</v>
      </c>
      <c r="B1461" s="1">
        <v>45720</v>
      </c>
      <c r="C1461" t="s">
        <v>534</v>
      </c>
      <c r="D1461" t="s">
        <v>56</v>
      </c>
      <c r="E1461" t="s">
        <v>25</v>
      </c>
      <c r="F1461" t="s">
        <v>26</v>
      </c>
      <c r="G1461" t="s">
        <v>171</v>
      </c>
      <c r="H1461" t="s">
        <v>84</v>
      </c>
      <c r="I1461" t="s">
        <v>85</v>
      </c>
      <c r="J1461" t="s">
        <v>86</v>
      </c>
      <c r="K1461">
        <v>1</v>
      </c>
      <c r="L1461">
        <v>1711.15</v>
      </c>
      <c r="M1461">
        <v>0.1</v>
      </c>
      <c r="N1461">
        <v>1540.04</v>
      </c>
      <c r="O1461">
        <v>936.67</v>
      </c>
      <c r="P1461">
        <v>603.37</v>
      </c>
      <c r="Q1461" t="s">
        <v>31</v>
      </c>
      <c r="R1461">
        <v>0.39178852497337741</v>
      </c>
      <c r="S1461">
        <v>2025</v>
      </c>
      <c r="T1461" t="s">
        <v>636</v>
      </c>
      <c r="U1461">
        <v>3</v>
      </c>
      <c r="V1461" t="s">
        <v>33</v>
      </c>
    </row>
    <row r="1462" spans="1:22" x14ac:dyDescent="0.3">
      <c r="A1462" t="s">
        <v>2434</v>
      </c>
      <c r="B1462" s="1">
        <v>45720</v>
      </c>
      <c r="C1462" t="s">
        <v>2435</v>
      </c>
      <c r="D1462" t="s">
        <v>1218</v>
      </c>
      <c r="E1462" t="s">
        <v>120</v>
      </c>
      <c r="F1462" t="s">
        <v>121</v>
      </c>
      <c r="G1462" t="s">
        <v>224</v>
      </c>
      <c r="H1462" t="s">
        <v>84</v>
      </c>
      <c r="I1462" t="s">
        <v>85</v>
      </c>
      <c r="J1462" t="s">
        <v>86</v>
      </c>
      <c r="K1462">
        <v>2</v>
      </c>
      <c r="L1462">
        <v>1897.65</v>
      </c>
      <c r="M1462">
        <v>0.1</v>
      </c>
      <c r="N1462">
        <v>3415.77</v>
      </c>
      <c r="O1462">
        <v>2063.81</v>
      </c>
      <c r="P1462">
        <v>1351.96</v>
      </c>
      <c r="Q1462" t="s">
        <v>46</v>
      </c>
      <c r="R1462">
        <v>0.39579948298626672</v>
      </c>
      <c r="S1462">
        <v>2025</v>
      </c>
      <c r="T1462" t="s">
        <v>636</v>
      </c>
      <c r="U1462">
        <v>3</v>
      </c>
      <c r="V1462" t="s">
        <v>33</v>
      </c>
    </row>
    <row r="1463" spans="1:22" x14ac:dyDescent="0.3">
      <c r="A1463" t="s">
        <v>2436</v>
      </c>
      <c r="B1463" s="1">
        <v>45720</v>
      </c>
      <c r="C1463" t="s">
        <v>1241</v>
      </c>
      <c r="D1463" t="s">
        <v>477</v>
      </c>
      <c r="E1463" t="s">
        <v>61</v>
      </c>
      <c r="F1463" t="s">
        <v>78</v>
      </c>
      <c r="G1463" t="s">
        <v>79</v>
      </c>
      <c r="H1463" t="s">
        <v>43</v>
      </c>
      <c r="I1463" t="s">
        <v>51</v>
      </c>
      <c r="J1463" t="s">
        <v>52</v>
      </c>
      <c r="K1463">
        <v>1</v>
      </c>
      <c r="L1463">
        <v>738.6</v>
      </c>
      <c r="M1463">
        <v>0.05</v>
      </c>
      <c r="N1463">
        <v>701.67</v>
      </c>
      <c r="O1463">
        <v>352.92</v>
      </c>
      <c r="P1463">
        <v>348.75</v>
      </c>
      <c r="Q1463" t="s">
        <v>31</v>
      </c>
      <c r="R1463">
        <v>0.49702851767925088</v>
      </c>
      <c r="S1463">
        <v>2025</v>
      </c>
      <c r="T1463" t="s">
        <v>636</v>
      </c>
      <c r="U1463">
        <v>3</v>
      </c>
      <c r="V1463" t="s">
        <v>33</v>
      </c>
    </row>
    <row r="1464" spans="1:22" x14ac:dyDescent="0.3">
      <c r="A1464" t="s">
        <v>2437</v>
      </c>
      <c r="B1464" s="1">
        <v>45721</v>
      </c>
      <c r="C1464" t="s">
        <v>384</v>
      </c>
      <c r="D1464" t="s">
        <v>1148</v>
      </c>
      <c r="E1464" t="s">
        <v>61</v>
      </c>
      <c r="F1464" t="s">
        <v>78</v>
      </c>
      <c r="G1464" t="s">
        <v>79</v>
      </c>
      <c r="H1464" t="s">
        <v>28</v>
      </c>
      <c r="I1464" t="s">
        <v>73</v>
      </c>
      <c r="J1464" t="s">
        <v>80</v>
      </c>
      <c r="K1464">
        <v>5</v>
      </c>
      <c r="L1464">
        <v>828.92</v>
      </c>
      <c r="M1464">
        <v>0</v>
      </c>
      <c r="N1464">
        <v>4144.6000000000004</v>
      </c>
      <c r="O1464">
        <v>2470.58</v>
      </c>
      <c r="P1464">
        <v>1674.02</v>
      </c>
      <c r="Q1464" t="s">
        <v>31</v>
      </c>
      <c r="R1464">
        <v>0.40390387492158469</v>
      </c>
      <c r="S1464">
        <v>2025</v>
      </c>
      <c r="T1464" t="s">
        <v>636</v>
      </c>
      <c r="U1464">
        <v>3</v>
      </c>
      <c r="V1464" t="s">
        <v>33</v>
      </c>
    </row>
    <row r="1465" spans="1:22" x14ac:dyDescent="0.3">
      <c r="A1465" t="s">
        <v>2438</v>
      </c>
      <c r="B1465" s="1">
        <v>45721</v>
      </c>
      <c r="C1465" t="s">
        <v>2439</v>
      </c>
      <c r="D1465" t="s">
        <v>809</v>
      </c>
      <c r="E1465" t="s">
        <v>120</v>
      </c>
      <c r="F1465" t="s">
        <v>121</v>
      </c>
      <c r="G1465" t="s">
        <v>122</v>
      </c>
      <c r="H1465" t="s">
        <v>28</v>
      </c>
      <c r="I1465" t="s">
        <v>91</v>
      </c>
      <c r="J1465" t="s">
        <v>92</v>
      </c>
      <c r="K1465">
        <v>1</v>
      </c>
      <c r="L1465">
        <v>3020.99</v>
      </c>
      <c r="M1465">
        <v>0.05</v>
      </c>
      <c r="N1465">
        <v>2869.94</v>
      </c>
      <c r="O1465">
        <v>1541.88</v>
      </c>
      <c r="P1465">
        <v>1328.06</v>
      </c>
      <c r="Q1465" t="s">
        <v>31</v>
      </c>
      <c r="R1465">
        <v>0.46274835013972421</v>
      </c>
      <c r="S1465">
        <v>2025</v>
      </c>
      <c r="T1465" t="s">
        <v>636</v>
      </c>
      <c r="U1465">
        <v>3</v>
      </c>
      <c r="V1465" t="s">
        <v>33</v>
      </c>
    </row>
    <row r="1466" spans="1:22" x14ac:dyDescent="0.3">
      <c r="A1466" t="s">
        <v>2440</v>
      </c>
      <c r="B1466" s="1">
        <v>45721</v>
      </c>
      <c r="C1466" t="s">
        <v>892</v>
      </c>
      <c r="D1466" t="s">
        <v>752</v>
      </c>
      <c r="E1466" t="s">
        <v>61</v>
      </c>
      <c r="F1466" t="s">
        <v>62</v>
      </c>
      <c r="G1466" t="s">
        <v>63</v>
      </c>
      <c r="H1466" t="s">
        <v>28</v>
      </c>
      <c r="I1466" t="s">
        <v>29</v>
      </c>
      <c r="J1466" t="s">
        <v>57</v>
      </c>
      <c r="K1466">
        <v>5</v>
      </c>
      <c r="L1466">
        <v>15380.77</v>
      </c>
      <c r="M1466">
        <v>0.1</v>
      </c>
      <c r="N1466">
        <v>69213.47</v>
      </c>
      <c r="O1466">
        <v>56360.9</v>
      </c>
      <c r="P1466">
        <v>12852.57</v>
      </c>
      <c r="Q1466" t="s">
        <v>113</v>
      </c>
      <c r="R1466">
        <v>0.18569463429589639</v>
      </c>
      <c r="S1466">
        <v>2025</v>
      </c>
      <c r="T1466" t="s">
        <v>636</v>
      </c>
      <c r="U1466">
        <v>3</v>
      </c>
      <c r="V1466" t="s">
        <v>33</v>
      </c>
    </row>
    <row r="1467" spans="1:22" x14ac:dyDescent="0.3">
      <c r="A1467" t="s">
        <v>2441</v>
      </c>
      <c r="B1467" s="1">
        <v>45721</v>
      </c>
      <c r="C1467" t="s">
        <v>2284</v>
      </c>
      <c r="D1467" t="s">
        <v>698</v>
      </c>
      <c r="E1467" t="s">
        <v>61</v>
      </c>
      <c r="F1467" t="s">
        <v>78</v>
      </c>
      <c r="G1467" t="s">
        <v>79</v>
      </c>
      <c r="H1467" t="s">
        <v>64</v>
      </c>
      <c r="I1467" t="s">
        <v>108</v>
      </c>
      <c r="J1467" t="s">
        <v>109</v>
      </c>
      <c r="K1467">
        <v>2</v>
      </c>
      <c r="L1467">
        <v>7198.51</v>
      </c>
      <c r="M1467">
        <v>0.15</v>
      </c>
      <c r="N1467">
        <v>12237.47</v>
      </c>
      <c r="O1467">
        <v>9007.2900000000009</v>
      </c>
      <c r="P1467">
        <v>3230.18</v>
      </c>
      <c r="Q1467" t="s">
        <v>31</v>
      </c>
      <c r="R1467">
        <v>0.26395815474930678</v>
      </c>
      <c r="S1467">
        <v>2025</v>
      </c>
      <c r="T1467" t="s">
        <v>636</v>
      </c>
      <c r="U1467">
        <v>3</v>
      </c>
      <c r="V1467" t="s">
        <v>33</v>
      </c>
    </row>
    <row r="1468" spans="1:22" x14ac:dyDescent="0.3">
      <c r="A1468" t="s">
        <v>2442</v>
      </c>
      <c r="B1468" s="1">
        <v>45722</v>
      </c>
      <c r="C1468" t="s">
        <v>2443</v>
      </c>
      <c r="D1468" t="s">
        <v>238</v>
      </c>
      <c r="E1468" t="s">
        <v>25</v>
      </c>
      <c r="F1468" t="s">
        <v>26</v>
      </c>
      <c r="G1468" t="s">
        <v>260</v>
      </c>
      <c r="H1468" t="s">
        <v>84</v>
      </c>
      <c r="I1468" t="s">
        <v>138</v>
      </c>
      <c r="J1468" t="s">
        <v>220</v>
      </c>
      <c r="K1468">
        <v>2</v>
      </c>
      <c r="L1468">
        <v>7914.92</v>
      </c>
      <c r="M1468">
        <v>0.1</v>
      </c>
      <c r="N1468">
        <v>14246.86</v>
      </c>
      <c r="O1468">
        <v>10248.709999999999</v>
      </c>
      <c r="P1468">
        <v>3998.15</v>
      </c>
      <c r="Q1468" t="s">
        <v>31</v>
      </c>
      <c r="R1468">
        <v>0.28063376772144882</v>
      </c>
      <c r="S1468">
        <v>2025</v>
      </c>
      <c r="T1468" t="s">
        <v>636</v>
      </c>
      <c r="U1468">
        <v>3</v>
      </c>
      <c r="V1468" t="s">
        <v>33</v>
      </c>
    </row>
    <row r="1469" spans="1:22" x14ac:dyDescent="0.3">
      <c r="A1469" t="s">
        <v>2444</v>
      </c>
      <c r="B1469" s="1">
        <v>45722</v>
      </c>
      <c r="C1469" t="s">
        <v>514</v>
      </c>
      <c r="D1469" t="s">
        <v>129</v>
      </c>
      <c r="E1469" t="s">
        <v>61</v>
      </c>
      <c r="F1469" t="s">
        <v>62</v>
      </c>
      <c r="G1469" t="s">
        <v>228</v>
      </c>
      <c r="H1469" t="s">
        <v>84</v>
      </c>
      <c r="I1469" t="s">
        <v>85</v>
      </c>
      <c r="J1469" t="s">
        <v>145</v>
      </c>
      <c r="K1469">
        <v>4</v>
      </c>
      <c r="L1469">
        <v>3289.6</v>
      </c>
      <c r="M1469">
        <v>0.05</v>
      </c>
      <c r="N1469">
        <v>12500.48</v>
      </c>
      <c r="O1469">
        <v>7797.12</v>
      </c>
      <c r="P1469">
        <v>4703.3599999999997</v>
      </c>
      <c r="Q1469" t="s">
        <v>67</v>
      </c>
      <c r="R1469">
        <v>0.37625435183288958</v>
      </c>
      <c r="S1469">
        <v>2025</v>
      </c>
      <c r="T1469" t="s">
        <v>636</v>
      </c>
      <c r="U1469">
        <v>3</v>
      </c>
      <c r="V1469" t="s">
        <v>33</v>
      </c>
    </row>
    <row r="1470" spans="1:22" x14ac:dyDescent="0.3">
      <c r="A1470" t="s">
        <v>2445</v>
      </c>
      <c r="B1470" s="1">
        <v>45722</v>
      </c>
      <c r="C1470" t="s">
        <v>692</v>
      </c>
      <c r="D1470" t="s">
        <v>334</v>
      </c>
      <c r="E1470" t="s">
        <v>61</v>
      </c>
      <c r="F1470" t="s">
        <v>62</v>
      </c>
      <c r="G1470" t="s">
        <v>228</v>
      </c>
      <c r="H1470" t="s">
        <v>43</v>
      </c>
      <c r="I1470" t="s">
        <v>51</v>
      </c>
      <c r="J1470" t="s">
        <v>52</v>
      </c>
      <c r="K1470">
        <v>3</v>
      </c>
      <c r="L1470">
        <v>668.07</v>
      </c>
      <c r="M1470">
        <v>0</v>
      </c>
      <c r="N1470">
        <v>2004.21</v>
      </c>
      <c r="O1470">
        <v>952.4</v>
      </c>
      <c r="P1470">
        <v>1051.81</v>
      </c>
      <c r="Q1470" t="s">
        <v>46</v>
      </c>
      <c r="R1470">
        <v>0.52480029537822881</v>
      </c>
      <c r="S1470">
        <v>2025</v>
      </c>
      <c r="T1470" t="s">
        <v>636</v>
      </c>
      <c r="U1470">
        <v>3</v>
      </c>
      <c r="V1470" t="s">
        <v>33</v>
      </c>
    </row>
    <row r="1471" spans="1:22" x14ac:dyDescent="0.3">
      <c r="A1471" t="s">
        <v>2446</v>
      </c>
      <c r="B1471" s="1">
        <v>45722</v>
      </c>
      <c r="C1471" t="s">
        <v>2386</v>
      </c>
      <c r="D1471" t="s">
        <v>393</v>
      </c>
      <c r="E1471" t="s">
        <v>61</v>
      </c>
      <c r="F1471" t="s">
        <v>62</v>
      </c>
      <c r="G1471" t="s">
        <v>90</v>
      </c>
      <c r="H1471" t="s">
        <v>28</v>
      </c>
      <c r="I1471" t="s">
        <v>29</v>
      </c>
      <c r="J1471" t="s">
        <v>30</v>
      </c>
      <c r="K1471">
        <v>4</v>
      </c>
      <c r="L1471">
        <v>61853.22</v>
      </c>
      <c r="M1471">
        <v>0.1</v>
      </c>
      <c r="N1471">
        <v>222671.59</v>
      </c>
      <c r="O1471">
        <v>213009</v>
      </c>
      <c r="P1471">
        <v>9662.59</v>
      </c>
      <c r="Q1471" t="s">
        <v>31</v>
      </c>
      <c r="R1471">
        <v>4.3393905796424243E-2</v>
      </c>
      <c r="S1471">
        <v>2025</v>
      </c>
      <c r="T1471" t="s">
        <v>636</v>
      </c>
      <c r="U1471">
        <v>3</v>
      </c>
      <c r="V1471" t="s">
        <v>33</v>
      </c>
    </row>
    <row r="1472" spans="1:22" x14ac:dyDescent="0.3">
      <c r="A1472" t="s">
        <v>2447</v>
      </c>
      <c r="B1472" s="1">
        <v>45722</v>
      </c>
      <c r="C1472" t="s">
        <v>1985</v>
      </c>
      <c r="D1472" t="s">
        <v>1408</v>
      </c>
      <c r="E1472" t="s">
        <v>61</v>
      </c>
      <c r="F1472" t="s">
        <v>78</v>
      </c>
      <c r="G1472" t="s">
        <v>79</v>
      </c>
      <c r="H1472" t="s">
        <v>28</v>
      </c>
      <c r="I1472" t="s">
        <v>73</v>
      </c>
      <c r="J1472" t="s">
        <v>80</v>
      </c>
      <c r="K1472">
        <v>2</v>
      </c>
      <c r="L1472">
        <v>814.14</v>
      </c>
      <c r="M1472">
        <v>0.1</v>
      </c>
      <c r="N1472">
        <v>1465.45</v>
      </c>
      <c r="O1472">
        <v>1000.24</v>
      </c>
      <c r="P1472">
        <v>465.21</v>
      </c>
      <c r="Q1472" t="s">
        <v>31</v>
      </c>
      <c r="R1472">
        <v>0.31745197720836599</v>
      </c>
      <c r="S1472">
        <v>2025</v>
      </c>
      <c r="T1472" t="s">
        <v>636</v>
      </c>
      <c r="U1472">
        <v>3</v>
      </c>
      <c r="V1472" t="s">
        <v>33</v>
      </c>
    </row>
    <row r="1473" spans="1:22" x14ac:dyDescent="0.3">
      <c r="A1473" t="s">
        <v>2448</v>
      </c>
      <c r="B1473" s="1">
        <v>45722</v>
      </c>
      <c r="C1473" t="s">
        <v>834</v>
      </c>
      <c r="D1473" t="s">
        <v>1396</v>
      </c>
      <c r="E1473" t="s">
        <v>61</v>
      </c>
      <c r="F1473" t="s">
        <v>78</v>
      </c>
      <c r="G1473" t="s">
        <v>216</v>
      </c>
      <c r="H1473" t="s">
        <v>64</v>
      </c>
      <c r="I1473" t="s">
        <v>65</v>
      </c>
      <c r="J1473" t="s">
        <v>66</v>
      </c>
      <c r="K1473">
        <v>3</v>
      </c>
      <c r="L1473">
        <v>4971.6000000000004</v>
      </c>
      <c r="M1473">
        <v>0</v>
      </c>
      <c r="N1473">
        <v>14914.8</v>
      </c>
      <c r="O1473">
        <v>9334.8700000000008</v>
      </c>
      <c r="P1473">
        <v>5579.93</v>
      </c>
      <c r="Q1473" t="s">
        <v>53</v>
      </c>
      <c r="R1473">
        <v>0.37412033684662221</v>
      </c>
      <c r="S1473">
        <v>2025</v>
      </c>
      <c r="T1473" t="s">
        <v>636</v>
      </c>
      <c r="U1473">
        <v>3</v>
      </c>
      <c r="V1473" t="s">
        <v>33</v>
      </c>
    </row>
    <row r="1474" spans="1:22" x14ac:dyDescent="0.3">
      <c r="A1474" t="s">
        <v>2449</v>
      </c>
      <c r="B1474" s="1">
        <v>45723</v>
      </c>
      <c r="C1474" t="s">
        <v>453</v>
      </c>
      <c r="D1474" t="s">
        <v>247</v>
      </c>
      <c r="E1474" t="s">
        <v>120</v>
      </c>
      <c r="F1474" t="s">
        <v>121</v>
      </c>
      <c r="G1474" t="s">
        <v>122</v>
      </c>
      <c r="H1474" t="s">
        <v>84</v>
      </c>
      <c r="I1474" t="s">
        <v>138</v>
      </c>
      <c r="J1474" t="s">
        <v>220</v>
      </c>
      <c r="K1474">
        <v>6</v>
      </c>
      <c r="L1474">
        <v>7948.66</v>
      </c>
      <c r="M1474">
        <v>0.1</v>
      </c>
      <c r="N1474">
        <v>42922.76</v>
      </c>
      <c r="O1474">
        <v>31662.75</v>
      </c>
      <c r="P1474">
        <v>11260.01</v>
      </c>
      <c r="Q1474" t="s">
        <v>31</v>
      </c>
      <c r="R1474">
        <v>0.26233191900986802</v>
      </c>
      <c r="S1474">
        <v>2025</v>
      </c>
      <c r="T1474" t="s">
        <v>636</v>
      </c>
      <c r="U1474">
        <v>3</v>
      </c>
      <c r="V1474" t="s">
        <v>33</v>
      </c>
    </row>
    <row r="1475" spans="1:22" x14ac:dyDescent="0.3">
      <c r="A1475" t="s">
        <v>2450</v>
      </c>
      <c r="B1475" s="1">
        <v>45723</v>
      </c>
      <c r="C1475" t="s">
        <v>338</v>
      </c>
      <c r="D1475" t="s">
        <v>606</v>
      </c>
      <c r="E1475" t="s">
        <v>25</v>
      </c>
      <c r="F1475" t="s">
        <v>26</v>
      </c>
      <c r="G1475" t="s">
        <v>37</v>
      </c>
      <c r="H1475" t="s">
        <v>28</v>
      </c>
      <c r="I1475" t="s">
        <v>91</v>
      </c>
      <c r="J1475" t="s">
        <v>92</v>
      </c>
      <c r="K1475">
        <v>3</v>
      </c>
      <c r="L1475">
        <v>2950.48</v>
      </c>
      <c r="M1475">
        <v>0.1</v>
      </c>
      <c r="N1475">
        <v>7966.3</v>
      </c>
      <c r="O1475">
        <v>4675.3900000000003</v>
      </c>
      <c r="P1475">
        <v>3290.91</v>
      </c>
      <c r="Q1475" t="s">
        <v>53</v>
      </c>
      <c r="R1475">
        <v>0.41310395039102221</v>
      </c>
      <c r="S1475">
        <v>2025</v>
      </c>
      <c r="T1475" t="s">
        <v>636</v>
      </c>
      <c r="U1475">
        <v>3</v>
      </c>
      <c r="V1475" t="s">
        <v>33</v>
      </c>
    </row>
    <row r="1476" spans="1:22" x14ac:dyDescent="0.3">
      <c r="A1476" t="s">
        <v>2451</v>
      </c>
      <c r="B1476" s="1">
        <v>45723</v>
      </c>
      <c r="C1476" t="s">
        <v>473</v>
      </c>
      <c r="D1476" t="s">
        <v>1433</v>
      </c>
      <c r="E1476" t="s">
        <v>61</v>
      </c>
      <c r="F1476" t="s">
        <v>71</v>
      </c>
      <c r="G1476" t="s">
        <v>72</v>
      </c>
      <c r="H1476" t="s">
        <v>64</v>
      </c>
      <c r="I1476" t="s">
        <v>65</v>
      </c>
      <c r="J1476" t="s">
        <v>66</v>
      </c>
      <c r="K1476">
        <v>1</v>
      </c>
      <c r="L1476">
        <v>5073.72</v>
      </c>
      <c r="M1476">
        <v>0.05</v>
      </c>
      <c r="N1476">
        <v>4820.03</v>
      </c>
      <c r="O1476">
        <v>3164.43</v>
      </c>
      <c r="P1476">
        <v>1655.6</v>
      </c>
      <c r="Q1476" t="s">
        <v>46</v>
      </c>
      <c r="R1476">
        <v>0.34348333931531538</v>
      </c>
      <c r="S1476">
        <v>2025</v>
      </c>
      <c r="T1476" t="s">
        <v>636</v>
      </c>
      <c r="U1476">
        <v>3</v>
      </c>
      <c r="V1476" t="s">
        <v>33</v>
      </c>
    </row>
    <row r="1477" spans="1:22" x14ac:dyDescent="0.3">
      <c r="A1477" t="s">
        <v>2452</v>
      </c>
      <c r="B1477" s="1">
        <v>45723</v>
      </c>
      <c r="C1477" t="s">
        <v>861</v>
      </c>
      <c r="D1477" t="s">
        <v>148</v>
      </c>
      <c r="E1477" t="s">
        <v>61</v>
      </c>
      <c r="F1477" t="s">
        <v>62</v>
      </c>
      <c r="G1477" t="s">
        <v>228</v>
      </c>
      <c r="H1477" t="s">
        <v>64</v>
      </c>
      <c r="I1477" t="s">
        <v>108</v>
      </c>
      <c r="J1477" t="s">
        <v>109</v>
      </c>
      <c r="K1477">
        <v>2</v>
      </c>
      <c r="L1477">
        <v>7059.86</v>
      </c>
      <c r="M1477">
        <v>0.05</v>
      </c>
      <c r="N1477">
        <v>13413.73</v>
      </c>
      <c r="O1477">
        <v>9084.17</v>
      </c>
      <c r="P1477">
        <v>4329.5600000000004</v>
      </c>
      <c r="Q1477" t="s">
        <v>46</v>
      </c>
      <c r="R1477">
        <v>0.32277077293191381</v>
      </c>
      <c r="S1477">
        <v>2025</v>
      </c>
      <c r="T1477" t="s">
        <v>636</v>
      </c>
      <c r="U1477">
        <v>3</v>
      </c>
      <c r="V1477" t="s">
        <v>33</v>
      </c>
    </row>
    <row r="1478" spans="1:22" x14ac:dyDescent="0.3">
      <c r="A1478" t="s">
        <v>2453</v>
      </c>
      <c r="B1478" s="1">
        <v>45724</v>
      </c>
      <c r="C1478" t="s">
        <v>98</v>
      </c>
      <c r="D1478" t="s">
        <v>440</v>
      </c>
      <c r="E1478" t="s">
        <v>120</v>
      </c>
      <c r="F1478" t="s">
        <v>121</v>
      </c>
      <c r="G1478" t="s">
        <v>224</v>
      </c>
      <c r="H1478" t="s">
        <v>28</v>
      </c>
      <c r="I1478" t="s">
        <v>91</v>
      </c>
      <c r="J1478" t="s">
        <v>126</v>
      </c>
      <c r="K1478">
        <v>1</v>
      </c>
      <c r="L1478">
        <v>1991.34</v>
      </c>
      <c r="M1478">
        <v>0.1</v>
      </c>
      <c r="N1478">
        <v>1792.21</v>
      </c>
      <c r="O1478">
        <v>1139</v>
      </c>
      <c r="P1478">
        <v>653.21</v>
      </c>
      <c r="Q1478" t="s">
        <v>31</v>
      </c>
      <c r="R1478">
        <v>0.36447179738981478</v>
      </c>
      <c r="S1478">
        <v>2025</v>
      </c>
      <c r="T1478" t="s">
        <v>636</v>
      </c>
      <c r="U1478">
        <v>3</v>
      </c>
      <c r="V1478" t="s">
        <v>33</v>
      </c>
    </row>
    <row r="1479" spans="1:22" x14ac:dyDescent="0.3">
      <c r="A1479" t="s">
        <v>2454</v>
      </c>
      <c r="B1479" s="1">
        <v>45724</v>
      </c>
      <c r="C1479" t="s">
        <v>211</v>
      </c>
      <c r="D1479" t="s">
        <v>247</v>
      </c>
      <c r="E1479" t="s">
        <v>61</v>
      </c>
      <c r="F1479" t="s">
        <v>62</v>
      </c>
      <c r="G1479" t="s">
        <v>63</v>
      </c>
      <c r="H1479" t="s">
        <v>43</v>
      </c>
      <c r="I1479" t="s">
        <v>51</v>
      </c>
      <c r="J1479" t="s">
        <v>96</v>
      </c>
      <c r="K1479">
        <v>1</v>
      </c>
      <c r="L1479">
        <v>485.12</v>
      </c>
      <c r="M1479">
        <v>0.1</v>
      </c>
      <c r="N1479">
        <v>436.61</v>
      </c>
      <c r="O1479">
        <v>221.11</v>
      </c>
      <c r="P1479">
        <v>215.5</v>
      </c>
      <c r="Q1479" t="s">
        <v>31</v>
      </c>
      <c r="R1479">
        <v>0.49357550216440299</v>
      </c>
      <c r="S1479">
        <v>2025</v>
      </c>
      <c r="T1479" t="s">
        <v>636</v>
      </c>
      <c r="U1479">
        <v>3</v>
      </c>
      <c r="V1479" t="s">
        <v>33</v>
      </c>
    </row>
    <row r="1480" spans="1:22" x14ac:dyDescent="0.3">
      <c r="A1480" t="s">
        <v>2455</v>
      </c>
      <c r="B1480" s="1">
        <v>45724</v>
      </c>
      <c r="C1480" t="s">
        <v>2456</v>
      </c>
      <c r="D1480" t="s">
        <v>969</v>
      </c>
      <c r="E1480" t="s">
        <v>25</v>
      </c>
      <c r="F1480" t="s">
        <v>26</v>
      </c>
      <c r="G1480" t="s">
        <v>27</v>
      </c>
      <c r="H1480" t="s">
        <v>28</v>
      </c>
      <c r="I1480" t="s">
        <v>73</v>
      </c>
      <c r="J1480" t="s">
        <v>80</v>
      </c>
      <c r="K1480">
        <v>1</v>
      </c>
      <c r="L1480">
        <v>772.85</v>
      </c>
      <c r="M1480">
        <v>0.1</v>
      </c>
      <c r="N1480">
        <v>695.57</v>
      </c>
      <c r="O1480">
        <v>467.07</v>
      </c>
      <c r="P1480">
        <v>228.5</v>
      </c>
      <c r="Q1480" t="s">
        <v>53</v>
      </c>
      <c r="R1480">
        <v>0.328507554954929</v>
      </c>
      <c r="S1480">
        <v>2025</v>
      </c>
      <c r="T1480" t="s">
        <v>636</v>
      </c>
      <c r="U1480">
        <v>3</v>
      </c>
      <c r="V1480" t="s">
        <v>33</v>
      </c>
    </row>
    <row r="1481" spans="1:22" x14ac:dyDescent="0.3">
      <c r="A1481" t="s">
        <v>2457</v>
      </c>
      <c r="B1481" s="1">
        <v>45724</v>
      </c>
      <c r="C1481" t="s">
        <v>193</v>
      </c>
      <c r="D1481" t="s">
        <v>888</v>
      </c>
      <c r="E1481" t="s">
        <v>41</v>
      </c>
      <c r="F1481" t="s">
        <v>42</v>
      </c>
      <c r="G1481" t="s">
        <v>50</v>
      </c>
      <c r="H1481" t="s">
        <v>64</v>
      </c>
      <c r="I1481" t="s">
        <v>108</v>
      </c>
      <c r="J1481" t="s">
        <v>109</v>
      </c>
      <c r="K1481">
        <v>3</v>
      </c>
      <c r="L1481">
        <v>6846.13</v>
      </c>
      <c r="M1481">
        <v>0.05</v>
      </c>
      <c r="N1481">
        <v>19511.47</v>
      </c>
      <c r="O1481">
        <v>13149.33</v>
      </c>
      <c r="P1481">
        <v>6362.14</v>
      </c>
      <c r="Q1481" t="s">
        <v>31</v>
      </c>
      <c r="R1481">
        <v>0.32607179264299407</v>
      </c>
      <c r="S1481">
        <v>2025</v>
      </c>
      <c r="T1481" t="s">
        <v>636</v>
      </c>
      <c r="U1481">
        <v>3</v>
      </c>
      <c r="V1481" t="s">
        <v>33</v>
      </c>
    </row>
    <row r="1482" spans="1:22" x14ac:dyDescent="0.3">
      <c r="A1482" t="s">
        <v>2458</v>
      </c>
      <c r="B1482" s="1">
        <v>45724</v>
      </c>
      <c r="C1482" t="s">
        <v>94</v>
      </c>
      <c r="D1482" t="s">
        <v>740</v>
      </c>
      <c r="E1482" t="s">
        <v>25</v>
      </c>
      <c r="F1482" t="s">
        <v>26</v>
      </c>
      <c r="G1482" t="s">
        <v>37</v>
      </c>
      <c r="H1482" t="s">
        <v>43</v>
      </c>
      <c r="I1482" t="s">
        <v>51</v>
      </c>
      <c r="J1482" t="s">
        <v>96</v>
      </c>
      <c r="K1482">
        <v>1</v>
      </c>
      <c r="L1482">
        <v>522.28</v>
      </c>
      <c r="M1482">
        <v>0.05</v>
      </c>
      <c r="N1482">
        <v>496.17</v>
      </c>
      <c r="O1482">
        <v>235.86</v>
      </c>
      <c r="P1482">
        <v>260.31</v>
      </c>
      <c r="Q1482" t="s">
        <v>31</v>
      </c>
      <c r="R1482">
        <v>0.524638732692424</v>
      </c>
      <c r="S1482">
        <v>2025</v>
      </c>
      <c r="T1482" t="s">
        <v>636</v>
      </c>
      <c r="U1482">
        <v>3</v>
      </c>
      <c r="V1482" t="s">
        <v>33</v>
      </c>
    </row>
    <row r="1483" spans="1:22" x14ac:dyDescent="0.3">
      <c r="A1483" t="s">
        <v>2459</v>
      </c>
      <c r="B1483" s="1">
        <v>45724</v>
      </c>
      <c r="C1483" t="s">
        <v>98</v>
      </c>
      <c r="D1483" t="s">
        <v>1455</v>
      </c>
      <c r="E1483" t="s">
        <v>61</v>
      </c>
      <c r="F1483" t="s">
        <v>62</v>
      </c>
      <c r="G1483" t="s">
        <v>63</v>
      </c>
      <c r="H1483" t="s">
        <v>64</v>
      </c>
      <c r="I1483" t="s">
        <v>108</v>
      </c>
      <c r="J1483" t="s">
        <v>155</v>
      </c>
      <c r="K1483">
        <v>1</v>
      </c>
      <c r="L1483">
        <v>8754.82</v>
      </c>
      <c r="M1483">
        <v>0.1</v>
      </c>
      <c r="N1483">
        <v>7879.34</v>
      </c>
      <c r="O1483">
        <v>6073.82</v>
      </c>
      <c r="P1483">
        <v>1805.52</v>
      </c>
      <c r="Q1483" t="s">
        <v>46</v>
      </c>
      <c r="R1483">
        <v>0.2291460959928116</v>
      </c>
      <c r="S1483">
        <v>2025</v>
      </c>
      <c r="T1483" t="s">
        <v>636</v>
      </c>
      <c r="U1483">
        <v>3</v>
      </c>
      <c r="V1483" t="s">
        <v>33</v>
      </c>
    </row>
    <row r="1484" spans="1:22" x14ac:dyDescent="0.3">
      <c r="A1484" t="s">
        <v>2460</v>
      </c>
      <c r="B1484" s="1">
        <v>45725</v>
      </c>
      <c r="C1484" t="s">
        <v>1996</v>
      </c>
      <c r="D1484" t="s">
        <v>562</v>
      </c>
      <c r="E1484" t="s">
        <v>61</v>
      </c>
      <c r="F1484" t="s">
        <v>78</v>
      </c>
      <c r="G1484" t="s">
        <v>104</v>
      </c>
      <c r="H1484" t="s">
        <v>64</v>
      </c>
      <c r="I1484" t="s">
        <v>65</v>
      </c>
      <c r="J1484" t="s">
        <v>232</v>
      </c>
      <c r="K1484">
        <v>1</v>
      </c>
      <c r="L1484">
        <v>4124.83</v>
      </c>
      <c r="M1484">
        <v>0.15</v>
      </c>
      <c r="N1484">
        <v>3506.11</v>
      </c>
      <c r="O1484">
        <v>2628.26</v>
      </c>
      <c r="P1484">
        <v>877.85</v>
      </c>
      <c r="Q1484" t="s">
        <v>31</v>
      </c>
      <c r="R1484">
        <v>0.25037719866176472</v>
      </c>
      <c r="S1484">
        <v>2025</v>
      </c>
      <c r="T1484" t="s">
        <v>636</v>
      </c>
      <c r="U1484">
        <v>3</v>
      </c>
      <c r="V1484" t="s">
        <v>33</v>
      </c>
    </row>
    <row r="1485" spans="1:22" x14ac:dyDescent="0.3">
      <c r="A1485" t="s">
        <v>2461</v>
      </c>
      <c r="B1485" s="1">
        <v>45725</v>
      </c>
      <c r="C1485" t="s">
        <v>1225</v>
      </c>
      <c r="D1485" t="s">
        <v>477</v>
      </c>
      <c r="E1485" t="s">
        <v>41</v>
      </c>
      <c r="F1485" t="s">
        <v>42</v>
      </c>
      <c r="G1485" t="s">
        <v>50</v>
      </c>
      <c r="H1485" t="s">
        <v>84</v>
      </c>
      <c r="I1485" t="s">
        <v>85</v>
      </c>
      <c r="J1485" t="s">
        <v>86</v>
      </c>
      <c r="K1485">
        <v>3</v>
      </c>
      <c r="L1485">
        <v>1803.63</v>
      </c>
      <c r="M1485">
        <v>0.05</v>
      </c>
      <c r="N1485">
        <v>5140.3500000000004</v>
      </c>
      <c r="O1485">
        <v>3006.06</v>
      </c>
      <c r="P1485">
        <v>2134.29</v>
      </c>
      <c r="Q1485" t="s">
        <v>46</v>
      </c>
      <c r="R1485">
        <v>0.41520324491522947</v>
      </c>
      <c r="S1485">
        <v>2025</v>
      </c>
      <c r="T1485" t="s">
        <v>636</v>
      </c>
      <c r="U1485">
        <v>3</v>
      </c>
      <c r="V1485" t="s">
        <v>33</v>
      </c>
    </row>
    <row r="1486" spans="1:22" x14ac:dyDescent="0.3">
      <c r="A1486" t="s">
        <v>2462</v>
      </c>
      <c r="B1486" s="1">
        <v>45726</v>
      </c>
      <c r="C1486" t="s">
        <v>1246</v>
      </c>
      <c r="D1486" t="s">
        <v>675</v>
      </c>
      <c r="E1486" t="s">
        <v>61</v>
      </c>
      <c r="F1486" t="s">
        <v>71</v>
      </c>
      <c r="G1486" t="s">
        <v>72</v>
      </c>
      <c r="H1486" t="s">
        <v>43</v>
      </c>
      <c r="I1486" t="s">
        <v>51</v>
      </c>
      <c r="J1486" t="s">
        <v>96</v>
      </c>
      <c r="K1486">
        <v>6</v>
      </c>
      <c r="L1486">
        <v>498.17</v>
      </c>
      <c r="M1486">
        <v>0.15</v>
      </c>
      <c r="N1486">
        <v>2540.67</v>
      </c>
      <c r="O1486">
        <v>1338.68</v>
      </c>
      <c r="P1486">
        <v>1201.99</v>
      </c>
      <c r="Q1486" t="s">
        <v>53</v>
      </c>
      <c r="R1486">
        <v>0.47309961545576562</v>
      </c>
      <c r="S1486">
        <v>2025</v>
      </c>
      <c r="T1486" t="s">
        <v>636</v>
      </c>
      <c r="U1486">
        <v>3</v>
      </c>
      <c r="V1486" t="s">
        <v>33</v>
      </c>
    </row>
    <row r="1487" spans="1:22" x14ac:dyDescent="0.3">
      <c r="A1487" t="s">
        <v>2463</v>
      </c>
      <c r="B1487" s="1">
        <v>45726</v>
      </c>
      <c r="C1487" t="s">
        <v>1848</v>
      </c>
      <c r="D1487" t="s">
        <v>944</v>
      </c>
      <c r="E1487" t="s">
        <v>41</v>
      </c>
      <c r="F1487" t="s">
        <v>42</v>
      </c>
      <c r="G1487" t="s">
        <v>50</v>
      </c>
      <c r="H1487" t="s">
        <v>28</v>
      </c>
      <c r="I1487" t="s">
        <v>91</v>
      </c>
      <c r="J1487" t="s">
        <v>126</v>
      </c>
      <c r="K1487">
        <v>3</v>
      </c>
      <c r="L1487">
        <v>1928.5</v>
      </c>
      <c r="M1487">
        <v>0.15</v>
      </c>
      <c r="N1487">
        <v>4917.68</v>
      </c>
      <c r="O1487">
        <v>3456.97</v>
      </c>
      <c r="P1487">
        <v>1460.71</v>
      </c>
      <c r="Q1487" t="s">
        <v>31</v>
      </c>
      <c r="R1487">
        <v>0.29703234045322191</v>
      </c>
      <c r="S1487">
        <v>2025</v>
      </c>
      <c r="T1487" t="s">
        <v>636</v>
      </c>
      <c r="U1487">
        <v>3</v>
      </c>
      <c r="V1487" t="s">
        <v>33</v>
      </c>
    </row>
    <row r="1488" spans="1:22" x14ac:dyDescent="0.3">
      <c r="A1488" t="s">
        <v>2464</v>
      </c>
      <c r="B1488" s="1">
        <v>45726</v>
      </c>
      <c r="C1488" t="s">
        <v>1402</v>
      </c>
      <c r="D1488" t="s">
        <v>406</v>
      </c>
      <c r="E1488" t="s">
        <v>61</v>
      </c>
      <c r="F1488" t="s">
        <v>78</v>
      </c>
      <c r="G1488" t="s">
        <v>104</v>
      </c>
      <c r="H1488" t="s">
        <v>64</v>
      </c>
      <c r="I1488" t="s">
        <v>65</v>
      </c>
      <c r="J1488" t="s">
        <v>66</v>
      </c>
      <c r="K1488">
        <v>4</v>
      </c>
      <c r="L1488">
        <v>4910.7</v>
      </c>
      <c r="M1488">
        <v>0.05</v>
      </c>
      <c r="N1488">
        <v>18660.66</v>
      </c>
      <c r="O1488">
        <v>12405.92</v>
      </c>
      <c r="P1488">
        <v>6254.74</v>
      </c>
      <c r="Q1488" t="s">
        <v>53</v>
      </c>
      <c r="R1488">
        <v>0.33518321431289139</v>
      </c>
      <c r="S1488">
        <v>2025</v>
      </c>
      <c r="T1488" t="s">
        <v>636</v>
      </c>
      <c r="U1488">
        <v>3</v>
      </c>
      <c r="V1488" t="s">
        <v>33</v>
      </c>
    </row>
    <row r="1489" spans="1:22" x14ac:dyDescent="0.3">
      <c r="A1489" t="s">
        <v>2465</v>
      </c>
      <c r="B1489" s="1">
        <v>45726</v>
      </c>
      <c r="C1489" t="s">
        <v>1259</v>
      </c>
      <c r="D1489" t="s">
        <v>707</v>
      </c>
      <c r="E1489" t="s">
        <v>61</v>
      </c>
      <c r="F1489" t="s">
        <v>78</v>
      </c>
      <c r="G1489" t="s">
        <v>216</v>
      </c>
      <c r="H1489" t="s">
        <v>28</v>
      </c>
      <c r="I1489" t="s">
        <v>91</v>
      </c>
      <c r="J1489" t="s">
        <v>92</v>
      </c>
      <c r="K1489">
        <v>2</v>
      </c>
      <c r="L1489">
        <v>2885.45</v>
      </c>
      <c r="M1489">
        <v>0.1</v>
      </c>
      <c r="N1489">
        <v>5193.8100000000004</v>
      </c>
      <c r="O1489">
        <v>2903.53</v>
      </c>
      <c r="P1489">
        <v>2290.2800000000002</v>
      </c>
      <c r="Q1489" t="s">
        <v>46</v>
      </c>
      <c r="R1489">
        <v>0.4409633775590559</v>
      </c>
      <c r="S1489">
        <v>2025</v>
      </c>
      <c r="T1489" t="s">
        <v>636</v>
      </c>
      <c r="U1489">
        <v>3</v>
      </c>
      <c r="V1489" t="s">
        <v>33</v>
      </c>
    </row>
    <row r="1490" spans="1:22" x14ac:dyDescent="0.3">
      <c r="A1490" t="s">
        <v>2466</v>
      </c>
      <c r="B1490" s="1">
        <v>45727</v>
      </c>
      <c r="C1490" t="s">
        <v>341</v>
      </c>
      <c r="D1490" t="s">
        <v>474</v>
      </c>
      <c r="E1490" t="s">
        <v>61</v>
      </c>
      <c r="F1490" t="s">
        <v>62</v>
      </c>
      <c r="G1490" t="s">
        <v>134</v>
      </c>
      <c r="H1490" t="s">
        <v>43</v>
      </c>
      <c r="I1490" t="s">
        <v>44</v>
      </c>
      <c r="J1490" t="s">
        <v>45</v>
      </c>
      <c r="K1490">
        <v>2</v>
      </c>
      <c r="L1490">
        <v>258.52999999999997</v>
      </c>
      <c r="M1490">
        <v>0.05</v>
      </c>
      <c r="N1490">
        <v>491.21</v>
      </c>
      <c r="O1490">
        <v>198.76</v>
      </c>
      <c r="P1490">
        <v>292.45</v>
      </c>
      <c r="Q1490" t="s">
        <v>67</v>
      </c>
      <c r="R1490">
        <v>0.59536654384071985</v>
      </c>
      <c r="S1490">
        <v>2025</v>
      </c>
      <c r="T1490" t="s">
        <v>636</v>
      </c>
      <c r="U1490">
        <v>3</v>
      </c>
      <c r="V1490" t="s">
        <v>33</v>
      </c>
    </row>
    <row r="1491" spans="1:22" x14ac:dyDescent="0.3">
      <c r="A1491" t="s">
        <v>2467</v>
      </c>
      <c r="B1491" s="1">
        <v>45727</v>
      </c>
      <c r="C1491" t="s">
        <v>625</v>
      </c>
      <c r="D1491" t="s">
        <v>283</v>
      </c>
      <c r="E1491" t="s">
        <v>25</v>
      </c>
      <c r="F1491" t="s">
        <v>26</v>
      </c>
      <c r="G1491" t="s">
        <v>171</v>
      </c>
      <c r="H1491" t="s">
        <v>28</v>
      </c>
      <c r="I1491" t="s">
        <v>29</v>
      </c>
      <c r="J1491" t="s">
        <v>57</v>
      </c>
      <c r="K1491">
        <v>5</v>
      </c>
      <c r="L1491">
        <v>16832.669999999998</v>
      </c>
      <c r="M1491">
        <v>0</v>
      </c>
      <c r="N1491">
        <v>84163.35</v>
      </c>
      <c r="O1491">
        <v>63141.74</v>
      </c>
      <c r="P1491">
        <v>21021.61</v>
      </c>
      <c r="Q1491" t="s">
        <v>46</v>
      </c>
      <c r="R1491">
        <v>0.24977154545297919</v>
      </c>
      <c r="S1491">
        <v>2025</v>
      </c>
      <c r="T1491" t="s">
        <v>636</v>
      </c>
      <c r="U1491">
        <v>3</v>
      </c>
      <c r="V1491" t="s">
        <v>33</v>
      </c>
    </row>
    <row r="1492" spans="1:22" x14ac:dyDescent="0.3">
      <c r="A1492" t="s">
        <v>2468</v>
      </c>
      <c r="B1492" s="1">
        <v>45728</v>
      </c>
      <c r="C1492" t="s">
        <v>1128</v>
      </c>
      <c r="D1492" t="s">
        <v>1263</v>
      </c>
      <c r="E1492" t="s">
        <v>41</v>
      </c>
      <c r="F1492" t="s">
        <v>42</v>
      </c>
      <c r="G1492" t="s">
        <v>50</v>
      </c>
      <c r="H1492" t="s">
        <v>43</v>
      </c>
      <c r="I1492" t="s">
        <v>44</v>
      </c>
      <c r="J1492" t="s">
        <v>248</v>
      </c>
      <c r="K1492">
        <v>3</v>
      </c>
      <c r="L1492">
        <v>290.23</v>
      </c>
      <c r="M1492">
        <v>0.1</v>
      </c>
      <c r="N1492">
        <v>783.62</v>
      </c>
      <c r="O1492">
        <v>372.17</v>
      </c>
      <c r="P1492">
        <v>411.45</v>
      </c>
      <c r="Q1492" t="s">
        <v>31</v>
      </c>
      <c r="R1492">
        <v>0.52506316837242539</v>
      </c>
      <c r="S1492">
        <v>2025</v>
      </c>
      <c r="T1492" t="s">
        <v>636</v>
      </c>
      <c r="U1492">
        <v>3</v>
      </c>
      <c r="V1492" t="s">
        <v>33</v>
      </c>
    </row>
    <row r="1493" spans="1:22" x14ac:dyDescent="0.3">
      <c r="A1493" t="s">
        <v>2469</v>
      </c>
      <c r="B1493" s="1">
        <v>45728</v>
      </c>
      <c r="C1493" t="s">
        <v>1022</v>
      </c>
      <c r="D1493" t="s">
        <v>698</v>
      </c>
      <c r="E1493" t="s">
        <v>25</v>
      </c>
      <c r="F1493" t="s">
        <v>26</v>
      </c>
      <c r="G1493" t="s">
        <v>171</v>
      </c>
      <c r="H1493" t="s">
        <v>84</v>
      </c>
      <c r="I1493" t="s">
        <v>85</v>
      </c>
      <c r="J1493" t="s">
        <v>145</v>
      </c>
      <c r="K1493">
        <v>5</v>
      </c>
      <c r="L1493">
        <v>3221.85</v>
      </c>
      <c r="M1493">
        <v>0</v>
      </c>
      <c r="N1493">
        <v>16109.25</v>
      </c>
      <c r="O1493">
        <v>9079.91</v>
      </c>
      <c r="P1493">
        <v>7029.34</v>
      </c>
      <c r="Q1493" t="s">
        <v>67</v>
      </c>
      <c r="R1493">
        <v>0.43635426851032788</v>
      </c>
      <c r="S1493">
        <v>2025</v>
      </c>
      <c r="T1493" t="s">
        <v>636</v>
      </c>
      <c r="U1493">
        <v>3</v>
      </c>
      <c r="V1493" t="s">
        <v>33</v>
      </c>
    </row>
    <row r="1494" spans="1:22" x14ac:dyDescent="0.3">
      <c r="A1494" t="s">
        <v>2470</v>
      </c>
      <c r="B1494" s="1">
        <v>45728</v>
      </c>
      <c r="C1494" t="s">
        <v>2471</v>
      </c>
      <c r="D1494" t="s">
        <v>1413</v>
      </c>
      <c r="E1494" t="s">
        <v>61</v>
      </c>
      <c r="F1494" t="s">
        <v>62</v>
      </c>
      <c r="G1494" t="s">
        <v>134</v>
      </c>
      <c r="H1494" t="s">
        <v>64</v>
      </c>
      <c r="I1494" t="s">
        <v>65</v>
      </c>
      <c r="J1494" t="s">
        <v>66</v>
      </c>
      <c r="K1494">
        <v>1</v>
      </c>
      <c r="L1494">
        <v>5009.28</v>
      </c>
      <c r="M1494">
        <v>0.15</v>
      </c>
      <c r="N1494">
        <v>4257.8900000000003</v>
      </c>
      <c r="O1494">
        <v>2990.48</v>
      </c>
      <c r="P1494">
        <v>1267.4100000000001</v>
      </c>
      <c r="Q1494" t="s">
        <v>31</v>
      </c>
      <c r="R1494">
        <v>0.29766151779402472</v>
      </c>
      <c r="S1494">
        <v>2025</v>
      </c>
      <c r="T1494" t="s">
        <v>636</v>
      </c>
      <c r="U1494">
        <v>3</v>
      </c>
      <c r="V1494" t="s">
        <v>33</v>
      </c>
    </row>
    <row r="1495" spans="1:22" x14ac:dyDescent="0.3">
      <c r="A1495" t="s">
        <v>2472</v>
      </c>
      <c r="B1495" s="1">
        <v>45729</v>
      </c>
      <c r="C1495" t="s">
        <v>1324</v>
      </c>
      <c r="D1495" t="s">
        <v>99</v>
      </c>
      <c r="E1495" t="s">
        <v>61</v>
      </c>
      <c r="F1495" t="s">
        <v>62</v>
      </c>
      <c r="G1495" t="s">
        <v>90</v>
      </c>
      <c r="H1495" t="s">
        <v>64</v>
      </c>
      <c r="I1495" t="s">
        <v>108</v>
      </c>
      <c r="J1495" t="s">
        <v>155</v>
      </c>
      <c r="K1495">
        <v>4</v>
      </c>
      <c r="L1495">
        <v>8511.49</v>
      </c>
      <c r="M1495">
        <v>0</v>
      </c>
      <c r="N1495">
        <v>34045.96</v>
      </c>
      <c r="O1495">
        <v>22704.080000000002</v>
      </c>
      <c r="P1495">
        <v>11341.88</v>
      </c>
      <c r="Q1495" t="s">
        <v>67</v>
      </c>
      <c r="R1495">
        <v>0.33313438657626337</v>
      </c>
      <c r="S1495">
        <v>2025</v>
      </c>
      <c r="T1495" t="s">
        <v>636</v>
      </c>
      <c r="U1495">
        <v>3</v>
      </c>
      <c r="V1495" t="s">
        <v>33</v>
      </c>
    </row>
    <row r="1496" spans="1:22" x14ac:dyDescent="0.3">
      <c r="A1496" t="s">
        <v>2473</v>
      </c>
      <c r="B1496" s="1">
        <v>45729</v>
      </c>
      <c r="C1496" t="s">
        <v>1124</v>
      </c>
      <c r="D1496" t="s">
        <v>698</v>
      </c>
      <c r="E1496" t="s">
        <v>61</v>
      </c>
      <c r="F1496" t="s">
        <v>62</v>
      </c>
      <c r="G1496" t="s">
        <v>228</v>
      </c>
      <c r="H1496" t="s">
        <v>84</v>
      </c>
      <c r="I1496" t="s">
        <v>138</v>
      </c>
      <c r="J1496" t="s">
        <v>139</v>
      </c>
      <c r="K1496">
        <v>2</v>
      </c>
      <c r="L1496">
        <v>12805.21</v>
      </c>
      <c r="M1496">
        <v>0.1</v>
      </c>
      <c r="N1496">
        <v>23049.38</v>
      </c>
      <c r="O1496">
        <v>19159.2</v>
      </c>
      <c r="P1496">
        <v>3890.18</v>
      </c>
      <c r="Q1496" t="s">
        <v>53</v>
      </c>
      <c r="R1496">
        <v>0.16877590633674311</v>
      </c>
      <c r="S1496">
        <v>2025</v>
      </c>
      <c r="T1496" t="s">
        <v>636</v>
      </c>
      <c r="U1496">
        <v>3</v>
      </c>
      <c r="V1496" t="s">
        <v>33</v>
      </c>
    </row>
    <row r="1497" spans="1:22" x14ac:dyDescent="0.3">
      <c r="A1497" t="s">
        <v>2474</v>
      </c>
      <c r="B1497" s="1">
        <v>45729</v>
      </c>
      <c r="C1497" t="s">
        <v>1027</v>
      </c>
      <c r="D1497" t="s">
        <v>212</v>
      </c>
      <c r="E1497" t="s">
        <v>41</v>
      </c>
      <c r="F1497" t="s">
        <v>42</v>
      </c>
      <c r="G1497" t="s">
        <v>50</v>
      </c>
      <c r="H1497" t="s">
        <v>28</v>
      </c>
      <c r="I1497" t="s">
        <v>91</v>
      </c>
      <c r="J1497" t="s">
        <v>126</v>
      </c>
      <c r="K1497">
        <v>2</v>
      </c>
      <c r="L1497">
        <v>1938.02</v>
      </c>
      <c r="M1497">
        <v>0.05</v>
      </c>
      <c r="N1497">
        <v>3682.24</v>
      </c>
      <c r="O1497">
        <v>2337.83</v>
      </c>
      <c r="P1497">
        <v>1344.41</v>
      </c>
      <c r="Q1497" t="s">
        <v>31</v>
      </c>
      <c r="R1497">
        <v>0.36510656556878418</v>
      </c>
      <c r="S1497">
        <v>2025</v>
      </c>
      <c r="T1497" t="s">
        <v>636</v>
      </c>
      <c r="U1497">
        <v>3</v>
      </c>
      <c r="V1497" t="s">
        <v>33</v>
      </c>
    </row>
    <row r="1498" spans="1:22" x14ac:dyDescent="0.3">
      <c r="A1498" t="s">
        <v>2475</v>
      </c>
      <c r="B1498" s="1">
        <v>45730</v>
      </c>
      <c r="C1498" t="s">
        <v>1645</v>
      </c>
      <c r="D1498" t="s">
        <v>342</v>
      </c>
      <c r="E1498" t="s">
        <v>61</v>
      </c>
      <c r="F1498" t="s">
        <v>62</v>
      </c>
      <c r="G1498" t="s">
        <v>90</v>
      </c>
      <c r="H1498" t="s">
        <v>28</v>
      </c>
      <c r="I1498" t="s">
        <v>91</v>
      </c>
      <c r="J1498" t="s">
        <v>126</v>
      </c>
      <c r="K1498">
        <v>1</v>
      </c>
      <c r="L1498">
        <v>1959.84</v>
      </c>
      <c r="M1498">
        <v>0.1</v>
      </c>
      <c r="N1498">
        <v>1763.86</v>
      </c>
      <c r="O1498">
        <v>1155.24</v>
      </c>
      <c r="P1498">
        <v>608.62</v>
      </c>
      <c r="Q1498" t="s">
        <v>46</v>
      </c>
      <c r="R1498">
        <v>0.3450500606624109</v>
      </c>
      <c r="S1498">
        <v>2025</v>
      </c>
      <c r="T1498" t="s">
        <v>636</v>
      </c>
      <c r="U1498">
        <v>3</v>
      </c>
      <c r="V1498" t="s">
        <v>33</v>
      </c>
    </row>
    <row r="1499" spans="1:22" x14ac:dyDescent="0.3">
      <c r="A1499" t="s">
        <v>2476</v>
      </c>
      <c r="B1499" s="1">
        <v>45730</v>
      </c>
      <c r="C1499" t="s">
        <v>434</v>
      </c>
      <c r="D1499" t="s">
        <v>89</v>
      </c>
      <c r="E1499" t="s">
        <v>61</v>
      </c>
      <c r="F1499" t="s">
        <v>78</v>
      </c>
      <c r="G1499" t="s">
        <v>79</v>
      </c>
      <c r="H1499" t="s">
        <v>64</v>
      </c>
      <c r="I1499" t="s">
        <v>108</v>
      </c>
      <c r="J1499" t="s">
        <v>109</v>
      </c>
      <c r="K1499">
        <v>2</v>
      </c>
      <c r="L1499">
        <v>7395.07</v>
      </c>
      <c r="M1499">
        <v>0.05</v>
      </c>
      <c r="N1499">
        <v>14050.63</v>
      </c>
      <c r="O1499">
        <v>9557.82</v>
      </c>
      <c r="P1499">
        <v>4492.8100000000004</v>
      </c>
      <c r="Q1499" t="s">
        <v>31</v>
      </c>
      <c r="R1499">
        <v>0.31975861580583942</v>
      </c>
      <c r="S1499">
        <v>2025</v>
      </c>
      <c r="T1499" t="s">
        <v>636</v>
      </c>
      <c r="U1499">
        <v>3</v>
      </c>
      <c r="V1499" t="s">
        <v>33</v>
      </c>
    </row>
    <row r="1500" spans="1:22" x14ac:dyDescent="0.3">
      <c r="A1500" t="s">
        <v>2477</v>
      </c>
      <c r="B1500" s="1">
        <v>45730</v>
      </c>
      <c r="C1500" t="s">
        <v>1560</v>
      </c>
      <c r="D1500" t="s">
        <v>575</v>
      </c>
      <c r="E1500" t="s">
        <v>61</v>
      </c>
      <c r="F1500" t="s">
        <v>71</v>
      </c>
      <c r="G1500" t="s">
        <v>317</v>
      </c>
      <c r="H1500" t="s">
        <v>64</v>
      </c>
      <c r="I1500" t="s">
        <v>108</v>
      </c>
      <c r="J1500" t="s">
        <v>155</v>
      </c>
      <c r="K1500">
        <v>1</v>
      </c>
      <c r="L1500">
        <v>8312.51</v>
      </c>
      <c r="M1500">
        <v>0.05</v>
      </c>
      <c r="N1500">
        <v>7896.88</v>
      </c>
      <c r="O1500">
        <v>5629.48</v>
      </c>
      <c r="P1500">
        <v>2267.4</v>
      </c>
      <c r="Q1500" t="s">
        <v>31</v>
      </c>
      <c r="R1500">
        <v>0.28712605484697762</v>
      </c>
      <c r="S1500">
        <v>2025</v>
      </c>
      <c r="T1500" t="s">
        <v>636</v>
      </c>
      <c r="U1500">
        <v>3</v>
      </c>
      <c r="V1500" t="s">
        <v>33</v>
      </c>
    </row>
    <row r="1501" spans="1:22" x14ac:dyDescent="0.3">
      <c r="A1501" t="s">
        <v>2478</v>
      </c>
      <c r="B1501" s="1">
        <v>45731</v>
      </c>
      <c r="C1501" t="s">
        <v>1324</v>
      </c>
      <c r="D1501" t="s">
        <v>649</v>
      </c>
      <c r="E1501" t="s">
        <v>120</v>
      </c>
      <c r="F1501" t="s">
        <v>121</v>
      </c>
      <c r="G1501" t="s">
        <v>130</v>
      </c>
      <c r="H1501" t="s">
        <v>28</v>
      </c>
      <c r="I1501" t="s">
        <v>91</v>
      </c>
      <c r="J1501" t="s">
        <v>92</v>
      </c>
      <c r="K1501">
        <v>5</v>
      </c>
      <c r="L1501">
        <v>3087.25</v>
      </c>
      <c r="M1501">
        <v>0.15</v>
      </c>
      <c r="N1501">
        <v>13120.81</v>
      </c>
      <c r="O1501">
        <v>8037.71</v>
      </c>
      <c r="P1501">
        <v>5083.1000000000004</v>
      </c>
      <c r="Q1501" t="s">
        <v>53</v>
      </c>
      <c r="R1501">
        <v>0.38740748475132258</v>
      </c>
      <c r="S1501">
        <v>2025</v>
      </c>
      <c r="T1501" t="s">
        <v>636</v>
      </c>
      <c r="U1501">
        <v>3</v>
      </c>
      <c r="V1501" t="s">
        <v>33</v>
      </c>
    </row>
    <row r="1502" spans="1:22" x14ac:dyDescent="0.3">
      <c r="A1502" t="s">
        <v>2479</v>
      </c>
      <c r="B1502" s="1">
        <v>45731</v>
      </c>
      <c r="C1502" t="s">
        <v>769</v>
      </c>
      <c r="D1502" t="s">
        <v>465</v>
      </c>
      <c r="E1502" t="s">
        <v>61</v>
      </c>
      <c r="F1502" t="s">
        <v>62</v>
      </c>
      <c r="G1502" t="s">
        <v>228</v>
      </c>
      <c r="H1502" t="s">
        <v>43</v>
      </c>
      <c r="I1502" t="s">
        <v>44</v>
      </c>
      <c r="J1502" t="s">
        <v>248</v>
      </c>
      <c r="K1502">
        <v>3</v>
      </c>
      <c r="L1502">
        <v>307.83999999999997</v>
      </c>
      <c r="M1502">
        <v>0.05</v>
      </c>
      <c r="N1502">
        <v>877.34</v>
      </c>
      <c r="O1502">
        <v>378.57</v>
      </c>
      <c r="P1502">
        <v>498.77</v>
      </c>
      <c r="Q1502" t="s">
        <v>113</v>
      </c>
      <c r="R1502">
        <v>0.56850251897781923</v>
      </c>
      <c r="S1502">
        <v>2025</v>
      </c>
      <c r="T1502" t="s">
        <v>636</v>
      </c>
      <c r="U1502">
        <v>3</v>
      </c>
      <c r="V1502" t="s">
        <v>33</v>
      </c>
    </row>
    <row r="1503" spans="1:22" x14ac:dyDescent="0.3">
      <c r="A1503" t="s">
        <v>2480</v>
      </c>
      <c r="B1503" s="1">
        <v>45731</v>
      </c>
      <c r="C1503" t="s">
        <v>459</v>
      </c>
      <c r="D1503" t="s">
        <v>657</v>
      </c>
      <c r="E1503" t="s">
        <v>120</v>
      </c>
      <c r="F1503" t="s">
        <v>121</v>
      </c>
      <c r="G1503" t="s">
        <v>122</v>
      </c>
      <c r="H1503" t="s">
        <v>84</v>
      </c>
      <c r="I1503" t="s">
        <v>138</v>
      </c>
      <c r="J1503" t="s">
        <v>220</v>
      </c>
      <c r="K1503">
        <v>3</v>
      </c>
      <c r="L1503">
        <v>7898.05</v>
      </c>
      <c r="M1503">
        <v>0.05</v>
      </c>
      <c r="N1503">
        <v>22509.439999999999</v>
      </c>
      <c r="O1503">
        <v>15000.59</v>
      </c>
      <c r="P1503">
        <v>7508.85</v>
      </c>
      <c r="Q1503" t="s">
        <v>53</v>
      </c>
      <c r="R1503">
        <v>0.33358670850985189</v>
      </c>
      <c r="S1503">
        <v>2025</v>
      </c>
      <c r="T1503" t="s">
        <v>636</v>
      </c>
      <c r="U1503">
        <v>3</v>
      </c>
      <c r="V1503" t="s">
        <v>33</v>
      </c>
    </row>
    <row r="1504" spans="1:22" x14ac:dyDescent="0.3">
      <c r="A1504" t="s">
        <v>2481</v>
      </c>
      <c r="B1504" s="1">
        <v>45731</v>
      </c>
      <c r="C1504" t="s">
        <v>199</v>
      </c>
      <c r="D1504" t="s">
        <v>390</v>
      </c>
      <c r="E1504" t="s">
        <v>61</v>
      </c>
      <c r="F1504" t="s">
        <v>78</v>
      </c>
      <c r="G1504" t="s">
        <v>79</v>
      </c>
      <c r="H1504" t="s">
        <v>84</v>
      </c>
      <c r="I1504" t="s">
        <v>85</v>
      </c>
      <c r="J1504" t="s">
        <v>145</v>
      </c>
      <c r="K1504">
        <v>3</v>
      </c>
      <c r="L1504">
        <v>3422.15</v>
      </c>
      <c r="M1504">
        <v>0.05</v>
      </c>
      <c r="N1504">
        <v>9753.1299999999992</v>
      </c>
      <c r="O1504">
        <v>5846.01</v>
      </c>
      <c r="P1504">
        <v>3907.12</v>
      </c>
      <c r="Q1504" t="s">
        <v>53</v>
      </c>
      <c r="R1504">
        <v>0.40060165300780359</v>
      </c>
      <c r="S1504">
        <v>2025</v>
      </c>
      <c r="T1504" t="s">
        <v>636</v>
      </c>
      <c r="U1504">
        <v>3</v>
      </c>
      <c r="V1504" t="s">
        <v>33</v>
      </c>
    </row>
    <row r="1505" spans="1:22" x14ac:dyDescent="0.3">
      <c r="A1505" t="s">
        <v>2482</v>
      </c>
      <c r="B1505" s="1">
        <v>45731</v>
      </c>
      <c r="C1505" t="s">
        <v>1721</v>
      </c>
      <c r="D1505" t="s">
        <v>1490</v>
      </c>
      <c r="E1505" t="s">
        <v>120</v>
      </c>
      <c r="F1505" t="s">
        <v>121</v>
      </c>
      <c r="G1505" t="s">
        <v>130</v>
      </c>
      <c r="H1505" t="s">
        <v>84</v>
      </c>
      <c r="I1505" t="s">
        <v>85</v>
      </c>
      <c r="J1505" t="s">
        <v>86</v>
      </c>
      <c r="K1505">
        <v>6</v>
      </c>
      <c r="L1505">
        <v>1845.83</v>
      </c>
      <c r="M1505">
        <v>0.05</v>
      </c>
      <c r="N1505">
        <v>10521.23</v>
      </c>
      <c r="O1505">
        <v>6070.47</v>
      </c>
      <c r="P1505">
        <v>4450.76</v>
      </c>
      <c r="Q1505" t="s">
        <v>53</v>
      </c>
      <c r="R1505">
        <v>0.42302658529468518</v>
      </c>
      <c r="S1505">
        <v>2025</v>
      </c>
      <c r="T1505" t="s">
        <v>636</v>
      </c>
      <c r="U1505">
        <v>3</v>
      </c>
      <c r="V1505" t="s">
        <v>33</v>
      </c>
    </row>
    <row r="1506" spans="1:22" x14ac:dyDescent="0.3">
      <c r="A1506" t="s">
        <v>2483</v>
      </c>
      <c r="B1506" s="1">
        <v>45732</v>
      </c>
      <c r="C1506" t="s">
        <v>2348</v>
      </c>
      <c r="D1506" t="s">
        <v>1002</v>
      </c>
      <c r="E1506" t="s">
        <v>25</v>
      </c>
      <c r="F1506" t="s">
        <v>26</v>
      </c>
      <c r="G1506" t="s">
        <v>27</v>
      </c>
      <c r="H1506" t="s">
        <v>28</v>
      </c>
      <c r="I1506" t="s">
        <v>29</v>
      </c>
      <c r="J1506" t="s">
        <v>57</v>
      </c>
      <c r="K1506">
        <v>1</v>
      </c>
      <c r="L1506">
        <v>15556.68</v>
      </c>
      <c r="M1506">
        <v>0.1</v>
      </c>
      <c r="N1506">
        <v>14001.01</v>
      </c>
      <c r="O1506">
        <v>11849.91</v>
      </c>
      <c r="P1506">
        <v>2151.1</v>
      </c>
      <c r="Q1506" t="s">
        <v>31</v>
      </c>
      <c r="R1506">
        <v>0.15363891604962779</v>
      </c>
      <c r="S1506">
        <v>2025</v>
      </c>
      <c r="T1506" t="s">
        <v>636</v>
      </c>
      <c r="U1506">
        <v>3</v>
      </c>
      <c r="V1506" t="s">
        <v>33</v>
      </c>
    </row>
    <row r="1507" spans="1:22" x14ac:dyDescent="0.3">
      <c r="A1507" t="s">
        <v>2484</v>
      </c>
      <c r="B1507" s="1">
        <v>45732</v>
      </c>
      <c r="C1507" t="s">
        <v>2024</v>
      </c>
      <c r="D1507" t="s">
        <v>510</v>
      </c>
      <c r="E1507" t="s">
        <v>25</v>
      </c>
      <c r="F1507" t="s">
        <v>26</v>
      </c>
      <c r="G1507" t="s">
        <v>171</v>
      </c>
      <c r="H1507" t="s">
        <v>43</v>
      </c>
      <c r="I1507" t="s">
        <v>51</v>
      </c>
      <c r="J1507" t="s">
        <v>96</v>
      </c>
      <c r="K1507">
        <v>3</v>
      </c>
      <c r="L1507">
        <v>507.9</v>
      </c>
      <c r="M1507">
        <v>0.1</v>
      </c>
      <c r="N1507">
        <v>1371.33</v>
      </c>
      <c r="O1507">
        <v>662.95</v>
      </c>
      <c r="P1507">
        <v>708.38</v>
      </c>
      <c r="Q1507" t="s">
        <v>31</v>
      </c>
      <c r="R1507">
        <v>0.51656421138602671</v>
      </c>
      <c r="S1507">
        <v>2025</v>
      </c>
      <c r="T1507" t="s">
        <v>636</v>
      </c>
      <c r="U1507">
        <v>3</v>
      </c>
      <c r="V1507" t="s">
        <v>33</v>
      </c>
    </row>
    <row r="1508" spans="1:22" x14ac:dyDescent="0.3">
      <c r="A1508" t="s">
        <v>2485</v>
      </c>
      <c r="B1508" s="1">
        <v>45732</v>
      </c>
      <c r="C1508" t="s">
        <v>1362</v>
      </c>
      <c r="D1508" t="s">
        <v>1503</v>
      </c>
      <c r="E1508" t="s">
        <v>41</v>
      </c>
      <c r="F1508" t="s">
        <v>42</v>
      </c>
      <c r="G1508" t="s">
        <v>42</v>
      </c>
      <c r="H1508" t="s">
        <v>84</v>
      </c>
      <c r="I1508" t="s">
        <v>138</v>
      </c>
      <c r="J1508" t="s">
        <v>139</v>
      </c>
      <c r="K1508">
        <v>2</v>
      </c>
      <c r="L1508">
        <v>13467.07</v>
      </c>
      <c r="M1508">
        <v>0</v>
      </c>
      <c r="N1508">
        <v>26934.14</v>
      </c>
      <c r="O1508">
        <v>19599.59</v>
      </c>
      <c r="P1508">
        <v>7334.55</v>
      </c>
      <c r="Q1508" t="s">
        <v>31</v>
      </c>
      <c r="R1508">
        <v>0.27231424504365093</v>
      </c>
      <c r="S1508">
        <v>2025</v>
      </c>
      <c r="T1508" t="s">
        <v>636</v>
      </c>
      <c r="U1508">
        <v>3</v>
      </c>
      <c r="V1508" t="s">
        <v>33</v>
      </c>
    </row>
    <row r="1509" spans="1:22" x14ac:dyDescent="0.3">
      <c r="A1509" t="s">
        <v>2486</v>
      </c>
      <c r="B1509" s="1">
        <v>45732</v>
      </c>
      <c r="C1509" t="s">
        <v>1769</v>
      </c>
      <c r="D1509" t="s">
        <v>307</v>
      </c>
      <c r="E1509" t="s">
        <v>61</v>
      </c>
      <c r="F1509" t="s">
        <v>78</v>
      </c>
      <c r="G1509" t="s">
        <v>104</v>
      </c>
      <c r="H1509" t="s">
        <v>28</v>
      </c>
      <c r="I1509" t="s">
        <v>91</v>
      </c>
      <c r="J1509" t="s">
        <v>92</v>
      </c>
      <c r="K1509">
        <v>4</v>
      </c>
      <c r="L1509">
        <v>2996.12</v>
      </c>
      <c r="M1509">
        <v>0.05</v>
      </c>
      <c r="N1509">
        <v>11385.26</v>
      </c>
      <c r="O1509">
        <v>6225.58</v>
      </c>
      <c r="P1509">
        <v>5159.68</v>
      </c>
      <c r="Q1509" t="s">
        <v>31</v>
      </c>
      <c r="R1509">
        <v>0.45318947481216942</v>
      </c>
      <c r="S1509">
        <v>2025</v>
      </c>
      <c r="T1509" t="s">
        <v>636</v>
      </c>
      <c r="U1509">
        <v>3</v>
      </c>
      <c r="V1509" t="s">
        <v>33</v>
      </c>
    </row>
    <row r="1510" spans="1:22" x14ac:dyDescent="0.3">
      <c r="A1510" t="s">
        <v>2487</v>
      </c>
      <c r="B1510" s="1">
        <v>45733</v>
      </c>
      <c r="C1510" t="s">
        <v>1410</v>
      </c>
      <c r="D1510" t="s">
        <v>1285</v>
      </c>
      <c r="E1510" t="s">
        <v>61</v>
      </c>
      <c r="F1510" t="s">
        <v>62</v>
      </c>
      <c r="G1510" t="s">
        <v>90</v>
      </c>
      <c r="H1510" t="s">
        <v>84</v>
      </c>
      <c r="I1510" t="s">
        <v>138</v>
      </c>
      <c r="J1510" t="s">
        <v>220</v>
      </c>
      <c r="K1510">
        <v>1</v>
      </c>
      <c r="L1510">
        <v>7689.38</v>
      </c>
      <c r="M1510">
        <v>0.1</v>
      </c>
      <c r="N1510">
        <v>6920.44</v>
      </c>
      <c r="O1510">
        <v>4858.33</v>
      </c>
      <c r="P1510">
        <v>2062.11</v>
      </c>
      <c r="Q1510" t="s">
        <v>67</v>
      </c>
      <c r="R1510">
        <v>0.29797382825369489</v>
      </c>
      <c r="S1510">
        <v>2025</v>
      </c>
      <c r="T1510" t="s">
        <v>636</v>
      </c>
      <c r="U1510">
        <v>3</v>
      </c>
      <c r="V1510" t="s">
        <v>33</v>
      </c>
    </row>
    <row r="1511" spans="1:22" x14ac:dyDescent="0.3">
      <c r="A1511" t="s">
        <v>2488</v>
      </c>
      <c r="B1511" s="1">
        <v>45733</v>
      </c>
      <c r="C1511" t="s">
        <v>1309</v>
      </c>
      <c r="D1511" t="s">
        <v>580</v>
      </c>
      <c r="E1511" t="s">
        <v>25</v>
      </c>
      <c r="F1511" t="s">
        <v>26</v>
      </c>
      <c r="G1511" t="s">
        <v>27</v>
      </c>
      <c r="H1511" t="s">
        <v>84</v>
      </c>
      <c r="I1511" t="s">
        <v>138</v>
      </c>
      <c r="J1511" t="s">
        <v>139</v>
      </c>
      <c r="K1511">
        <v>6</v>
      </c>
      <c r="L1511">
        <v>13487.49</v>
      </c>
      <c r="M1511">
        <v>0.05</v>
      </c>
      <c r="N1511">
        <v>76878.69</v>
      </c>
      <c r="O1511">
        <v>57419.46</v>
      </c>
      <c r="P1511">
        <v>19459.23</v>
      </c>
      <c r="Q1511" t="s">
        <v>31</v>
      </c>
      <c r="R1511">
        <v>0.2531160455517647</v>
      </c>
      <c r="S1511">
        <v>2025</v>
      </c>
      <c r="T1511" t="s">
        <v>636</v>
      </c>
      <c r="U1511">
        <v>3</v>
      </c>
      <c r="V1511" t="s">
        <v>33</v>
      </c>
    </row>
    <row r="1512" spans="1:22" x14ac:dyDescent="0.3">
      <c r="A1512" t="s">
        <v>2489</v>
      </c>
      <c r="B1512" s="1">
        <v>45733</v>
      </c>
      <c r="C1512" t="s">
        <v>1470</v>
      </c>
      <c r="D1512" t="s">
        <v>972</v>
      </c>
      <c r="E1512" t="s">
        <v>61</v>
      </c>
      <c r="F1512" t="s">
        <v>62</v>
      </c>
      <c r="G1512" t="s">
        <v>228</v>
      </c>
      <c r="H1512" t="s">
        <v>64</v>
      </c>
      <c r="I1512" t="s">
        <v>108</v>
      </c>
      <c r="J1512" t="s">
        <v>155</v>
      </c>
      <c r="K1512">
        <v>5</v>
      </c>
      <c r="L1512">
        <v>8851.0499999999993</v>
      </c>
      <c r="M1512">
        <v>0.05</v>
      </c>
      <c r="N1512">
        <v>42042.49</v>
      </c>
      <c r="O1512">
        <v>30227.46</v>
      </c>
      <c r="P1512">
        <v>11815.03</v>
      </c>
      <c r="Q1512" t="s">
        <v>67</v>
      </c>
      <c r="R1512">
        <v>0.28102593352582123</v>
      </c>
      <c r="S1512">
        <v>2025</v>
      </c>
      <c r="T1512" t="s">
        <v>636</v>
      </c>
      <c r="U1512">
        <v>3</v>
      </c>
      <c r="V1512" t="s">
        <v>33</v>
      </c>
    </row>
    <row r="1513" spans="1:22" x14ac:dyDescent="0.3">
      <c r="A1513" t="s">
        <v>2490</v>
      </c>
      <c r="B1513" s="1">
        <v>45734</v>
      </c>
      <c r="C1513" t="s">
        <v>500</v>
      </c>
      <c r="D1513" t="s">
        <v>349</v>
      </c>
      <c r="E1513" t="s">
        <v>41</v>
      </c>
      <c r="F1513" t="s">
        <v>42</v>
      </c>
      <c r="G1513" t="s">
        <v>50</v>
      </c>
      <c r="H1513" t="s">
        <v>43</v>
      </c>
      <c r="I1513" t="s">
        <v>51</v>
      </c>
      <c r="J1513" t="s">
        <v>52</v>
      </c>
      <c r="K1513">
        <v>3</v>
      </c>
      <c r="L1513">
        <v>674.37</v>
      </c>
      <c r="M1513">
        <v>0.05</v>
      </c>
      <c r="N1513">
        <v>1921.95</v>
      </c>
      <c r="O1513">
        <v>975.69</v>
      </c>
      <c r="P1513">
        <v>946.26</v>
      </c>
      <c r="Q1513" t="s">
        <v>53</v>
      </c>
      <c r="R1513">
        <v>0.49234371341606181</v>
      </c>
      <c r="S1513">
        <v>2025</v>
      </c>
      <c r="T1513" t="s">
        <v>636</v>
      </c>
      <c r="U1513">
        <v>3</v>
      </c>
      <c r="V1513" t="s">
        <v>33</v>
      </c>
    </row>
    <row r="1514" spans="1:22" x14ac:dyDescent="0.3">
      <c r="A1514" t="s">
        <v>2491</v>
      </c>
      <c r="B1514" s="1">
        <v>45734</v>
      </c>
      <c r="C1514" t="s">
        <v>946</v>
      </c>
      <c r="D1514" t="s">
        <v>424</v>
      </c>
      <c r="E1514" t="s">
        <v>120</v>
      </c>
      <c r="F1514" t="s">
        <v>121</v>
      </c>
      <c r="G1514" t="s">
        <v>130</v>
      </c>
      <c r="H1514" t="s">
        <v>84</v>
      </c>
      <c r="I1514" t="s">
        <v>138</v>
      </c>
      <c r="J1514" t="s">
        <v>220</v>
      </c>
      <c r="K1514">
        <v>1</v>
      </c>
      <c r="L1514">
        <v>7499.37</v>
      </c>
      <c r="M1514">
        <v>0.05</v>
      </c>
      <c r="N1514">
        <v>7124.4</v>
      </c>
      <c r="O1514">
        <v>4835.82</v>
      </c>
      <c r="P1514">
        <v>2288.58</v>
      </c>
      <c r="Q1514" t="s">
        <v>53</v>
      </c>
      <c r="R1514">
        <v>0.32123126157992249</v>
      </c>
      <c r="S1514">
        <v>2025</v>
      </c>
      <c r="T1514" t="s">
        <v>636</v>
      </c>
      <c r="U1514">
        <v>3</v>
      </c>
      <c r="V1514" t="s">
        <v>33</v>
      </c>
    </row>
    <row r="1515" spans="1:22" x14ac:dyDescent="0.3">
      <c r="A1515" t="s">
        <v>2492</v>
      </c>
      <c r="B1515" s="1">
        <v>45734</v>
      </c>
      <c r="C1515" t="s">
        <v>1390</v>
      </c>
      <c r="D1515" t="s">
        <v>1330</v>
      </c>
      <c r="E1515" t="s">
        <v>61</v>
      </c>
      <c r="F1515" t="s">
        <v>71</v>
      </c>
      <c r="G1515" t="s">
        <v>201</v>
      </c>
      <c r="H1515" t="s">
        <v>64</v>
      </c>
      <c r="I1515" t="s">
        <v>108</v>
      </c>
      <c r="J1515" t="s">
        <v>109</v>
      </c>
      <c r="K1515">
        <v>1</v>
      </c>
      <c r="L1515">
        <v>6701.53</v>
      </c>
      <c r="M1515">
        <v>0.1</v>
      </c>
      <c r="N1515">
        <v>6031.38</v>
      </c>
      <c r="O1515">
        <v>4246.8500000000004</v>
      </c>
      <c r="P1515">
        <v>1784.53</v>
      </c>
      <c r="Q1515" t="s">
        <v>31</v>
      </c>
      <c r="R1515">
        <v>0.29587424436861881</v>
      </c>
      <c r="S1515">
        <v>2025</v>
      </c>
      <c r="T1515" t="s">
        <v>636</v>
      </c>
      <c r="U1515">
        <v>3</v>
      </c>
      <c r="V1515" t="s">
        <v>33</v>
      </c>
    </row>
    <row r="1516" spans="1:22" x14ac:dyDescent="0.3">
      <c r="A1516" t="s">
        <v>2493</v>
      </c>
      <c r="B1516" s="1">
        <v>45734</v>
      </c>
      <c r="C1516" t="s">
        <v>267</v>
      </c>
      <c r="D1516" t="s">
        <v>40</v>
      </c>
      <c r="E1516" t="s">
        <v>61</v>
      </c>
      <c r="F1516" t="s">
        <v>71</v>
      </c>
      <c r="G1516" t="s">
        <v>317</v>
      </c>
      <c r="H1516" t="s">
        <v>64</v>
      </c>
      <c r="I1516" t="s">
        <v>108</v>
      </c>
      <c r="J1516" t="s">
        <v>155</v>
      </c>
      <c r="K1516">
        <v>2</v>
      </c>
      <c r="L1516">
        <v>8925.82</v>
      </c>
      <c r="M1516">
        <v>0.1</v>
      </c>
      <c r="N1516">
        <v>16066.48</v>
      </c>
      <c r="O1516">
        <v>11891.03</v>
      </c>
      <c r="P1516">
        <v>4175.45</v>
      </c>
      <c r="Q1516" t="s">
        <v>31</v>
      </c>
      <c r="R1516">
        <v>0.25988579950306478</v>
      </c>
      <c r="S1516">
        <v>2025</v>
      </c>
      <c r="T1516" t="s">
        <v>636</v>
      </c>
      <c r="U1516">
        <v>3</v>
      </c>
      <c r="V1516" t="s">
        <v>33</v>
      </c>
    </row>
    <row r="1517" spans="1:22" x14ac:dyDescent="0.3">
      <c r="A1517" t="s">
        <v>2494</v>
      </c>
      <c r="B1517" s="1">
        <v>45735</v>
      </c>
      <c r="C1517" t="s">
        <v>157</v>
      </c>
      <c r="D1517" t="s">
        <v>360</v>
      </c>
      <c r="E1517" t="s">
        <v>25</v>
      </c>
      <c r="F1517" t="s">
        <v>26</v>
      </c>
      <c r="G1517" t="s">
        <v>37</v>
      </c>
      <c r="H1517" t="s">
        <v>28</v>
      </c>
      <c r="I1517" t="s">
        <v>91</v>
      </c>
      <c r="J1517" t="s">
        <v>92</v>
      </c>
      <c r="K1517">
        <v>1</v>
      </c>
      <c r="L1517">
        <v>2927.23</v>
      </c>
      <c r="M1517">
        <v>0.05</v>
      </c>
      <c r="N1517">
        <v>2780.87</v>
      </c>
      <c r="O1517">
        <v>1572.77</v>
      </c>
      <c r="P1517">
        <v>1208.0999999999999</v>
      </c>
      <c r="Q1517" t="s">
        <v>46</v>
      </c>
      <c r="R1517">
        <v>0.43443238986360377</v>
      </c>
      <c r="S1517">
        <v>2025</v>
      </c>
      <c r="T1517" t="s">
        <v>636</v>
      </c>
      <c r="U1517">
        <v>3</v>
      </c>
      <c r="V1517" t="s">
        <v>33</v>
      </c>
    </row>
    <row r="1518" spans="1:22" x14ac:dyDescent="0.3">
      <c r="A1518" t="s">
        <v>2495</v>
      </c>
      <c r="B1518" s="1">
        <v>45735</v>
      </c>
      <c r="C1518" t="s">
        <v>861</v>
      </c>
      <c r="D1518" t="s">
        <v>1863</v>
      </c>
      <c r="E1518" t="s">
        <v>120</v>
      </c>
      <c r="F1518" t="s">
        <v>121</v>
      </c>
      <c r="G1518" t="s">
        <v>130</v>
      </c>
      <c r="H1518" t="s">
        <v>28</v>
      </c>
      <c r="I1518" t="s">
        <v>29</v>
      </c>
      <c r="J1518" t="s">
        <v>30</v>
      </c>
      <c r="K1518">
        <v>2</v>
      </c>
      <c r="L1518">
        <v>55926.38</v>
      </c>
      <c r="M1518">
        <v>0.05</v>
      </c>
      <c r="N1518">
        <v>106260.12</v>
      </c>
      <c r="O1518">
        <v>101935.54</v>
      </c>
      <c r="P1518">
        <v>4324.58</v>
      </c>
      <c r="Q1518" t="s">
        <v>31</v>
      </c>
      <c r="R1518">
        <v>4.0698053041912617E-2</v>
      </c>
      <c r="S1518">
        <v>2025</v>
      </c>
      <c r="T1518" t="s">
        <v>636</v>
      </c>
      <c r="U1518">
        <v>3</v>
      </c>
      <c r="V1518" t="s">
        <v>33</v>
      </c>
    </row>
    <row r="1519" spans="1:22" x14ac:dyDescent="0.3">
      <c r="A1519" t="s">
        <v>2496</v>
      </c>
      <c r="B1519" s="1">
        <v>45736</v>
      </c>
      <c r="C1519" t="s">
        <v>287</v>
      </c>
      <c r="D1519" t="s">
        <v>270</v>
      </c>
      <c r="E1519" t="s">
        <v>61</v>
      </c>
      <c r="F1519" t="s">
        <v>62</v>
      </c>
      <c r="G1519" t="s">
        <v>63</v>
      </c>
      <c r="H1519" t="s">
        <v>28</v>
      </c>
      <c r="I1519" t="s">
        <v>29</v>
      </c>
      <c r="J1519" t="s">
        <v>30</v>
      </c>
      <c r="K1519">
        <v>2</v>
      </c>
      <c r="L1519">
        <v>57250.52</v>
      </c>
      <c r="M1519">
        <v>0.05</v>
      </c>
      <c r="N1519">
        <v>108775.99</v>
      </c>
      <c r="O1519">
        <v>102984.03</v>
      </c>
      <c r="P1519">
        <v>5791.96</v>
      </c>
      <c r="Q1519" t="s">
        <v>113</v>
      </c>
      <c r="R1519">
        <v>5.3246676955089077E-2</v>
      </c>
      <c r="S1519">
        <v>2025</v>
      </c>
      <c r="T1519" t="s">
        <v>636</v>
      </c>
      <c r="U1519">
        <v>3</v>
      </c>
      <c r="V1519" t="s">
        <v>33</v>
      </c>
    </row>
    <row r="1520" spans="1:22" x14ac:dyDescent="0.3">
      <c r="A1520" t="s">
        <v>2497</v>
      </c>
      <c r="B1520" s="1">
        <v>45736</v>
      </c>
      <c r="C1520" t="s">
        <v>896</v>
      </c>
      <c r="D1520" t="s">
        <v>594</v>
      </c>
      <c r="E1520" t="s">
        <v>61</v>
      </c>
      <c r="F1520" t="s">
        <v>78</v>
      </c>
      <c r="G1520" t="s">
        <v>104</v>
      </c>
      <c r="H1520" t="s">
        <v>64</v>
      </c>
      <c r="I1520" t="s">
        <v>108</v>
      </c>
      <c r="J1520" t="s">
        <v>155</v>
      </c>
      <c r="K1520">
        <v>1</v>
      </c>
      <c r="L1520">
        <v>8600.7900000000009</v>
      </c>
      <c r="M1520">
        <v>0.15</v>
      </c>
      <c r="N1520">
        <v>7310.67</v>
      </c>
      <c r="O1520">
        <v>5997.04</v>
      </c>
      <c r="P1520">
        <v>1313.63</v>
      </c>
      <c r="Q1520" t="s">
        <v>46</v>
      </c>
      <c r="R1520">
        <v>0.17968667714450251</v>
      </c>
      <c r="S1520">
        <v>2025</v>
      </c>
      <c r="T1520" t="s">
        <v>636</v>
      </c>
      <c r="U1520">
        <v>3</v>
      </c>
      <c r="V1520" t="s">
        <v>33</v>
      </c>
    </row>
    <row r="1521" spans="1:22" x14ac:dyDescent="0.3">
      <c r="A1521" t="s">
        <v>2498</v>
      </c>
      <c r="B1521" s="1">
        <v>45736</v>
      </c>
      <c r="C1521" t="s">
        <v>1871</v>
      </c>
      <c r="D1521" t="s">
        <v>444</v>
      </c>
      <c r="E1521" t="s">
        <v>120</v>
      </c>
      <c r="F1521" t="s">
        <v>121</v>
      </c>
      <c r="G1521" t="s">
        <v>224</v>
      </c>
      <c r="H1521" t="s">
        <v>84</v>
      </c>
      <c r="I1521" t="s">
        <v>138</v>
      </c>
      <c r="J1521" t="s">
        <v>220</v>
      </c>
      <c r="K1521">
        <v>4</v>
      </c>
      <c r="L1521">
        <v>7618.45</v>
      </c>
      <c r="M1521">
        <v>0.05</v>
      </c>
      <c r="N1521">
        <v>28950.11</v>
      </c>
      <c r="O1521">
        <v>19634.3</v>
      </c>
      <c r="P1521">
        <v>9315.81</v>
      </c>
      <c r="Q1521" t="s">
        <v>53</v>
      </c>
      <c r="R1521">
        <v>0.32178841462087698</v>
      </c>
      <c r="S1521">
        <v>2025</v>
      </c>
      <c r="T1521" t="s">
        <v>636</v>
      </c>
      <c r="U1521">
        <v>3</v>
      </c>
      <c r="V1521" t="s">
        <v>33</v>
      </c>
    </row>
    <row r="1522" spans="1:22" x14ac:dyDescent="0.3">
      <c r="A1522" t="s">
        <v>2499</v>
      </c>
      <c r="B1522" s="1">
        <v>45736</v>
      </c>
      <c r="C1522" t="s">
        <v>549</v>
      </c>
      <c r="D1522" t="s">
        <v>301</v>
      </c>
      <c r="E1522" t="s">
        <v>61</v>
      </c>
      <c r="F1522" t="s">
        <v>62</v>
      </c>
      <c r="G1522" t="s">
        <v>134</v>
      </c>
      <c r="H1522" t="s">
        <v>43</v>
      </c>
      <c r="I1522" t="s">
        <v>44</v>
      </c>
      <c r="J1522" t="s">
        <v>248</v>
      </c>
      <c r="K1522">
        <v>3</v>
      </c>
      <c r="L1522">
        <v>290.97000000000003</v>
      </c>
      <c r="M1522">
        <v>0.1</v>
      </c>
      <c r="N1522">
        <v>785.62</v>
      </c>
      <c r="O1522">
        <v>377.02</v>
      </c>
      <c r="P1522">
        <v>408.6</v>
      </c>
      <c r="Q1522" t="s">
        <v>31</v>
      </c>
      <c r="R1522">
        <v>0.5200987754894224</v>
      </c>
      <c r="S1522">
        <v>2025</v>
      </c>
      <c r="T1522" t="s">
        <v>636</v>
      </c>
      <c r="U1522">
        <v>3</v>
      </c>
      <c r="V1522" t="s">
        <v>33</v>
      </c>
    </row>
    <row r="1523" spans="1:22" x14ac:dyDescent="0.3">
      <c r="A1523" t="s">
        <v>2500</v>
      </c>
      <c r="B1523" s="1">
        <v>45736</v>
      </c>
      <c r="C1523" t="s">
        <v>2501</v>
      </c>
      <c r="D1523" t="s">
        <v>235</v>
      </c>
      <c r="E1523" t="s">
        <v>25</v>
      </c>
      <c r="F1523" t="s">
        <v>26</v>
      </c>
      <c r="G1523" t="s">
        <v>260</v>
      </c>
      <c r="H1523" t="s">
        <v>28</v>
      </c>
      <c r="I1523" t="s">
        <v>73</v>
      </c>
      <c r="J1523" t="s">
        <v>74</v>
      </c>
      <c r="K1523">
        <v>6</v>
      </c>
      <c r="L1523">
        <v>2568.67</v>
      </c>
      <c r="M1523">
        <v>0.1</v>
      </c>
      <c r="N1523">
        <v>13870.82</v>
      </c>
      <c r="O1523">
        <v>8615.93</v>
      </c>
      <c r="P1523">
        <v>5254.89</v>
      </c>
      <c r="Q1523" t="s">
        <v>53</v>
      </c>
      <c r="R1523">
        <v>0.37884494211589509</v>
      </c>
      <c r="S1523">
        <v>2025</v>
      </c>
      <c r="T1523" t="s">
        <v>636</v>
      </c>
      <c r="U1523">
        <v>3</v>
      </c>
      <c r="V1523" t="s">
        <v>33</v>
      </c>
    </row>
    <row r="1524" spans="1:22" x14ac:dyDescent="0.3">
      <c r="A1524" t="s">
        <v>2502</v>
      </c>
      <c r="B1524" s="1">
        <v>45737</v>
      </c>
      <c r="C1524" t="s">
        <v>1012</v>
      </c>
      <c r="D1524" t="s">
        <v>182</v>
      </c>
      <c r="E1524" t="s">
        <v>25</v>
      </c>
      <c r="F1524" t="s">
        <v>26</v>
      </c>
      <c r="G1524" t="s">
        <v>171</v>
      </c>
      <c r="H1524" t="s">
        <v>84</v>
      </c>
      <c r="I1524" t="s">
        <v>138</v>
      </c>
      <c r="J1524" t="s">
        <v>220</v>
      </c>
      <c r="K1524">
        <v>1</v>
      </c>
      <c r="L1524">
        <v>7528.01</v>
      </c>
      <c r="M1524">
        <v>0</v>
      </c>
      <c r="N1524">
        <v>7528.01</v>
      </c>
      <c r="O1524">
        <v>4969.3599999999997</v>
      </c>
      <c r="P1524">
        <v>2558.65</v>
      </c>
      <c r="Q1524" t="s">
        <v>31</v>
      </c>
      <c r="R1524">
        <v>0.33988397996283221</v>
      </c>
      <c r="S1524">
        <v>2025</v>
      </c>
      <c r="T1524" t="s">
        <v>636</v>
      </c>
      <c r="U1524">
        <v>3</v>
      </c>
      <c r="V1524" t="s">
        <v>33</v>
      </c>
    </row>
    <row r="1525" spans="1:22" x14ac:dyDescent="0.3">
      <c r="A1525" t="s">
        <v>2503</v>
      </c>
      <c r="B1525" s="1">
        <v>45737</v>
      </c>
      <c r="C1525" t="s">
        <v>2504</v>
      </c>
      <c r="D1525" t="s">
        <v>462</v>
      </c>
      <c r="E1525" t="s">
        <v>61</v>
      </c>
      <c r="F1525" t="s">
        <v>78</v>
      </c>
      <c r="G1525" t="s">
        <v>79</v>
      </c>
      <c r="H1525" t="s">
        <v>28</v>
      </c>
      <c r="I1525" t="s">
        <v>73</v>
      </c>
      <c r="J1525" t="s">
        <v>74</v>
      </c>
      <c r="K1525">
        <v>1</v>
      </c>
      <c r="L1525">
        <v>2383.2199999999998</v>
      </c>
      <c r="M1525">
        <v>0.05</v>
      </c>
      <c r="N1525">
        <v>2264.06</v>
      </c>
      <c r="O1525">
        <v>1327.48</v>
      </c>
      <c r="P1525">
        <v>936.58</v>
      </c>
      <c r="Q1525" t="s">
        <v>31</v>
      </c>
      <c r="R1525">
        <v>0.41367278252343143</v>
      </c>
      <c r="S1525">
        <v>2025</v>
      </c>
      <c r="T1525" t="s">
        <v>636</v>
      </c>
      <c r="U1525">
        <v>3</v>
      </c>
      <c r="V1525" t="s">
        <v>33</v>
      </c>
    </row>
    <row r="1526" spans="1:22" x14ac:dyDescent="0.3">
      <c r="A1526" t="s">
        <v>2505</v>
      </c>
      <c r="B1526" s="1">
        <v>45737</v>
      </c>
      <c r="C1526" t="s">
        <v>711</v>
      </c>
      <c r="D1526" t="s">
        <v>737</v>
      </c>
      <c r="E1526" t="s">
        <v>25</v>
      </c>
      <c r="F1526" t="s">
        <v>26</v>
      </c>
      <c r="G1526" t="s">
        <v>171</v>
      </c>
      <c r="H1526" t="s">
        <v>64</v>
      </c>
      <c r="I1526" t="s">
        <v>108</v>
      </c>
      <c r="J1526" t="s">
        <v>155</v>
      </c>
      <c r="K1526">
        <v>3</v>
      </c>
      <c r="L1526">
        <v>9007.1299999999992</v>
      </c>
      <c r="M1526">
        <v>0.15</v>
      </c>
      <c r="N1526">
        <v>22968.18</v>
      </c>
      <c r="O1526">
        <v>18363.47</v>
      </c>
      <c r="P1526">
        <v>4604.71</v>
      </c>
      <c r="Q1526" t="s">
        <v>31</v>
      </c>
      <c r="R1526">
        <v>0.20048214529840849</v>
      </c>
      <c r="S1526">
        <v>2025</v>
      </c>
      <c r="T1526" t="s">
        <v>636</v>
      </c>
      <c r="U1526">
        <v>3</v>
      </c>
      <c r="V1526" t="s">
        <v>33</v>
      </c>
    </row>
    <row r="1527" spans="1:22" x14ac:dyDescent="0.3">
      <c r="A1527" t="s">
        <v>2506</v>
      </c>
      <c r="B1527" s="1">
        <v>45738</v>
      </c>
      <c r="C1527" t="s">
        <v>2507</v>
      </c>
      <c r="D1527" t="s">
        <v>1530</v>
      </c>
      <c r="E1527" t="s">
        <v>25</v>
      </c>
      <c r="F1527" t="s">
        <v>26</v>
      </c>
      <c r="G1527" t="s">
        <v>171</v>
      </c>
      <c r="H1527" t="s">
        <v>84</v>
      </c>
      <c r="I1527" t="s">
        <v>85</v>
      </c>
      <c r="J1527" t="s">
        <v>145</v>
      </c>
      <c r="K1527">
        <v>4</v>
      </c>
      <c r="L1527">
        <v>3417.14</v>
      </c>
      <c r="M1527">
        <v>0.05</v>
      </c>
      <c r="N1527">
        <v>12985.13</v>
      </c>
      <c r="O1527">
        <v>7704.71</v>
      </c>
      <c r="P1527">
        <v>5280.42</v>
      </c>
      <c r="Q1527" t="s">
        <v>113</v>
      </c>
      <c r="R1527">
        <v>0.40665130037204089</v>
      </c>
      <c r="S1527">
        <v>2025</v>
      </c>
      <c r="T1527" t="s">
        <v>636</v>
      </c>
      <c r="U1527">
        <v>3</v>
      </c>
      <c r="V1527" t="s">
        <v>33</v>
      </c>
    </row>
    <row r="1528" spans="1:22" x14ac:dyDescent="0.3">
      <c r="A1528" t="s">
        <v>2508</v>
      </c>
      <c r="B1528" s="1">
        <v>45738</v>
      </c>
      <c r="C1528" t="s">
        <v>1288</v>
      </c>
      <c r="D1528" t="s">
        <v>2509</v>
      </c>
      <c r="E1528" t="s">
        <v>61</v>
      </c>
      <c r="F1528" t="s">
        <v>78</v>
      </c>
      <c r="G1528" t="s">
        <v>216</v>
      </c>
      <c r="H1528" t="s">
        <v>84</v>
      </c>
      <c r="I1528" t="s">
        <v>85</v>
      </c>
      <c r="J1528" t="s">
        <v>145</v>
      </c>
      <c r="K1528">
        <v>1</v>
      </c>
      <c r="L1528">
        <v>3218.04</v>
      </c>
      <c r="M1528">
        <v>0.2</v>
      </c>
      <c r="N1528">
        <v>2574.4299999999998</v>
      </c>
      <c r="O1528">
        <v>1852.88</v>
      </c>
      <c r="P1528">
        <v>721.55</v>
      </c>
      <c r="Q1528" t="s">
        <v>46</v>
      </c>
      <c r="R1528">
        <v>0.28027563382962439</v>
      </c>
      <c r="S1528">
        <v>2025</v>
      </c>
      <c r="T1528" t="s">
        <v>636</v>
      </c>
      <c r="U1528">
        <v>3</v>
      </c>
      <c r="V1528" t="s">
        <v>33</v>
      </c>
    </row>
    <row r="1529" spans="1:22" x14ac:dyDescent="0.3">
      <c r="A1529" t="s">
        <v>2510</v>
      </c>
      <c r="B1529" s="1">
        <v>45738</v>
      </c>
      <c r="C1529" t="s">
        <v>883</v>
      </c>
      <c r="D1529" t="s">
        <v>587</v>
      </c>
      <c r="E1529" t="s">
        <v>25</v>
      </c>
      <c r="F1529" t="s">
        <v>26</v>
      </c>
      <c r="G1529" t="s">
        <v>27</v>
      </c>
      <c r="H1529" t="s">
        <v>84</v>
      </c>
      <c r="I1529" t="s">
        <v>85</v>
      </c>
      <c r="J1529" t="s">
        <v>145</v>
      </c>
      <c r="K1529">
        <v>3</v>
      </c>
      <c r="L1529">
        <v>3262.89</v>
      </c>
      <c r="M1529">
        <v>0.05</v>
      </c>
      <c r="N1529">
        <v>9299.24</v>
      </c>
      <c r="O1529">
        <v>5453.5</v>
      </c>
      <c r="P1529">
        <v>3845.74</v>
      </c>
      <c r="Q1529" t="s">
        <v>31</v>
      </c>
      <c r="R1529">
        <v>0.41355422593674318</v>
      </c>
      <c r="S1529">
        <v>2025</v>
      </c>
      <c r="T1529" t="s">
        <v>636</v>
      </c>
      <c r="U1529">
        <v>3</v>
      </c>
      <c r="V1529" t="s">
        <v>33</v>
      </c>
    </row>
    <row r="1530" spans="1:22" x14ac:dyDescent="0.3">
      <c r="A1530" t="s">
        <v>2511</v>
      </c>
      <c r="B1530" s="1">
        <v>45738</v>
      </c>
      <c r="C1530" t="s">
        <v>1120</v>
      </c>
      <c r="D1530" t="s">
        <v>304</v>
      </c>
      <c r="E1530" t="s">
        <v>41</v>
      </c>
      <c r="F1530" t="s">
        <v>42</v>
      </c>
      <c r="G1530" t="s">
        <v>42</v>
      </c>
      <c r="H1530" t="s">
        <v>84</v>
      </c>
      <c r="I1530" t="s">
        <v>85</v>
      </c>
      <c r="J1530" t="s">
        <v>145</v>
      </c>
      <c r="K1530">
        <v>4</v>
      </c>
      <c r="L1530">
        <v>3178.19</v>
      </c>
      <c r="M1530">
        <v>0</v>
      </c>
      <c r="N1530">
        <v>12712.76</v>
      </c>
      <c r="O1530">
        <v>7238.14</v>
      </c>
      <c r="P1530">
        <v>5474.62</v>
      </c>
      <c r="Q1530" t="s">
        <v>46</v>
      </c>
      <c r="R1530">
        <v>0.4306397666596396</v>
      </c>
      <c r="S1530">
        <v>2025</v>
      </c>
      <c r="T1530" t="s">
        <v>636</v>
      </c>
      <c r="U1530">
        <v>3</v>
      </c>
      <c r="V1530" t="s">
        <v>33</v>
      </c>
    </row>
    <row r="1531" spans="1:22" x14ac:dyDescent="0.3">
      <c r="A1531" t="s">
        <v>2512</v>
      </c>
      <c r="B1531" s="1">
        <v>45739</v>
      </c>
      <c r="C1531" t="s">
        <v>1763</v>
      </c>
      <c r="D1531" t="s">
        <v>497</v>
      </c>
      <c r="E1531" t="s">
        <v>120</v>
      </c>
      <c r="F1531" t="s">
        <v>121</v>
      </c>
      <c r="G1531" t="s">
        <v>122</v>
      </c>
      <c r="H1531" t="s">
        <v>64</v>
      </c>
      <c r="I1531" t="s">
        <v>65</v>
      </c>
      <c r="J1531" t="s">
        <v>66</v>
      </c>
      <c r="K1531">
        <v>1</v>
      </c>
      <c r="L1531">
        <v>4816.46</v>
      </c>
      <c r="M1531">
        <v>0.05</v>
      </c>
      <c r="N1531">
        <v>4575.6400000000003</v>
      </c>
      <c r="O1531">
        <v>2984.27</v>
      </c>
      <c r="P1531">
        <v>1591.37</v>
      </c>
      <c r="Q1531" t="s">
        <v>31</v>
      </c>
      <c r="R1531">
        <v>0.34779178431869628</v>
      </c>
      <c r="S1531">
        <v>2025</v>
      </c>
      <c r="T1531" t="s">
        <v>636</v>
      </c>
      <c r="U1531">
        <v>3</v>
      </c>
      <c r="V1531" t="s">
        <v>33</v>
      </c>
    </row>
    <row r="1532" spans="1:22" x14ac:dyDescent="0.3">
      <c r="A1532" t="s">
        <v>2513</v>
      </c>
      <c r="B1532" s="1">
        <v>45739</v>
      </c>
      <c r="C1532" t="s">
        <v>1283</v>
      </c>
      <c r="D1532" t="s">
        <v>1106</v>
      </c>
      <c r="E1532" t="s">
        <v>61</v>
      </c>
      <c r="F1532" t="s">
        <v>78</v>
      </c>
      <c r="G1532" t="s">
        <v>79</v>
      </c>
      <c r="H1532" t="s">
        <v>64</v>
      </c>
      <c r="I1532" t="s">
        <v>108</v>
      </c>
      <c r="J1532" t="s">
        <v>155</v>
      </c>
      <c r="K1532">
        <v>2</v>
      </c>
      <c r="L1532">
        <v>8035.03</v>
      </c>
      <c r="M1532">
        <v>0.15</v>
      </c>
      <c r="N1532">
        <v>13659.55</v>
      </c>
      <c r="O1532">
        <v>10804.76</v>
      </c>
      <c r="P1532">
        <v>2854.79</v>
      </c>
      <c r="Q1532" t="s">
        <v>31</v>
      </c>
      <c r="R1532">
        <v>0.2089959039646255</v>
      </c>
      <c r="S1532">
        <v>2025</v>
      </c>
      <c r="T1532" t="s">
        <v>636</v>
      </c>
      <c r="U1532">
        <v>3</v>
      </c>
      <c r="V1532" t="s">
        <v>33</v>
      </c>
    </row>
    <row r="1533" spans="1:22" x14ac:dyDescent="0.3">
      <c r="A1533" t="s">
        <v>2514</v>
      </c>
      <c r="B1533" s="1">
        <v>45739</v>
      </c>
      <c r="C1533" t="s">
        <v>1906</v>
      </c>
      <c r="D1533" t="s">
        <v>40</v>
      </c>
      <c r="E1533" t="s">
        <v>61</v>
      </c>
      <c r="F1533" t="s">
        <v>62</v>
      </c>
      <c r="G1533" t="s">
        <v>63</v>
      </c>
      <c r="H1533" t="s">
        <v>84</v>
      </c>
      <c r="I1533" t="s">
        <v>85</v>
      </c>
      <c r="J1533" t="s">
        <v>86</v>
      </c>
      <c r="K1533">
        <v>1</v>
      </c>
      <c r="L1533">
        <v>1805.93</v>
      </c>
      <c r="M1533">
        <v>0.1</v>
      </c>
      <c r="N1533">
        <v>1625.34</v>
      </c>
      <c r="O1533">
        <v>944.93</v>
      </c>
      <c r="P1533">
        <v>680.41</v>
      </c>
      <c r="Q1533" t="s">
        <v>46</v>
      </c>
      <c r="R1533">
        <v>0.41862625666014502</v>
      </c>
      <c r="S1533">
        <v>2025</v>
      </c>
      <c r="T1533" t="s">
        <v>636</v>
      </c>
      <c r="U1533">
        <v>3</v>
      </c>
      <c r="V1533" t="s">
        <v>33</v>
      </c>
    </row>
    <row r="1534" spans="1:22" x14ac:dyDescent="0.3">
      <c r="A1534" t="s">
        <v>2515</v>
      </c>
      <c r="B1534" s="1">
        <v>45739</v>
      </c>
      <c r="C1534" t="s">
        <v>725</v>
      </c>
      <c r="D1534" t="s">
        <v>188</v>
      </c>
      <c r="E1534" t="s">
        <v>61</v>
      </c>
      <c r="F1534" t="s">
        <v>62</v>
      </c>
      <c r="G1534" t="s">
        <v>63</v>
      </c>
      <c r="H1534" t="s">
        <v>28</v>
      </c>
      <c r="I1534" t="s">
        <v>73</v>
      </c>
      <c r="J1534" t="s">
        <v>80</v>
      </c>
      <c r="K1534">
        <v>3</v>
      </c>
      <c r="L1534">
        <v>753.63</v>
      </c>
      <c r="M1534">
        <v>0.1</v>
      </c>
      <c r="N1534">
        <v>2034.8</v>
      </c>
      <c r="O1534">
        <v>1354.21</v>
      </c>
      <c r="P1534">
        <v>680.59</v>
      </c>
      <c r="Q1534" t="s">
        <v>67</v>
      </c>
      <c r="R1534">
        <v>0.33447513269117363</v>
      </c>
      <c r="S1534">
        <v>2025</v>
      </c>
      <c r="T1534" t="s">
        <v>636</v>
      </c>
      <c r="U1534">
        <v>3</v>
      </c>
      <c r="V1534" t="s">
        <v>33</v>
      </c>
    </row>
    <row r="1535" spans="1:22" x14ac:dyDescent="0.3">
      <c r="A1535" t="s">
        <v>2516</v>
      </c>
      <c r="B1535" s="1">
        <v>45739</v>
      </c>
      <c r="C1535" t="s">
        <v>218</v>
      </c>
      <c r="D1535" t="s">
        <v>630</v>
      </c>
      <c r="E1535" t="s">
        <v>41</v>
      </c>
      <c r="F1535" t="s">
        <v>42</v>
      </c>
      <c r="G1535" t="s">
        <v>50</v>
      </c>
      <c r="H1535" t="s">
        <v>64</v>
      </c>
      <c r="I1535" t="s">
        <v>108</v>
      </c>
      <c r="J1535" t="s">
        <v>155</v>
      </c>
      <c r="K1535">
        <v>4</v>
      </c>
      <c r="L1535">
        <v>8152.2</v>
      </c>
      <c r="M1535">
        <v>0</v>
      </c>
      <c r="N1535">
        <v>32608.799999999999</v>
      </c>
      <c r="O1535">
        <v>22205.9</v>
      </c>
      <c r="P1535">
        <v>10402.9</v>
      </c>
      <c r="Q1535" t="s">
        <v>31</v>
      </c>
      <c r="R1535">
        <v>0.31902124579868008</v>
      </c>
      <c r="S1535">
        <v>2025</v>
      </c>
      <c r="T1535" t="s">
        <v>636</v>
      </c>
      <c r="U1535">
        <v>3</v>
      </c>
      <c r="V1535" t="s">
        <v>33</v>
      </c>
    </row>
    <row r="1536" spans="1:22" x14ac:dyDescent="0.3">
      <c r="A1536" t="s">
        <v>2517</v>
      </c>
      <c r="B1536" s="1">
        <v>45741</v>
      </c>
      <c r="C1536" t="s">
        <v>856</v>
      </c>
      <c r="D1536" t="s">
        <v>652</v>
      </c>
      <c r="E1536" t="s">
        <v>61</v>
      </c>
      <c r="F1536" t="s">
        <v>78</v>
      </c>
      <c r="G1536" t="s">
        <v>83</v>
      </c>
      <c r="H1536" t="s">
        <v>43</v>
      </c>
      <c r="I1536" t="s">
        <v>44</v>
      </c>
      <c r="J1536" t="s">
        <v>45</v>
      </c>
      <c r="K1536">
        <v>1</v>
      </c>
      <c r="L1536">
        <v>243.96</v>
      </c>
      <c r="M1536">
        <v>0.1</v>
      </c>
      <c r="N1536">
        <v>219.56</v>
      </c>
      <c r="O1536">
        <v>96.06</v>
      </c>
      <c r="P1536">
        <v>123.5</v>
      </c>
      <c r="Q1536" t="s">
        <v>53</v>
      </c>
      <c r="R1536">
        <v>0.56248861359081803</v>
      </c>
      <c r="S1536">
        <v>2025</v>
      </c>
      <c r="T1536" t="s">
        <v>636</v>
      </c>
      <c r="U1536">
        <v>3</v>
      </c>
      <c r="V1536" t="s">
        <v>33</v>
      </c>
    </row>
    <row r="1537" spans="1:22" x14ac:dyDescent="0.3">
      <c r="A1537" t="s">
        <v>2518</v>
      </c>
      <c r="B1537" s="1">
        <v>45741</v>
      </c>
      <c r="C1537" t="s">
        <v>999</v>
      </c>
      <c r="D1537" t="s">
        <v>137</v>
      </c>
      <c r="E1537" t="s">
        <v>61</v>
      </c>
      <c r="F1537" t="s">
        <v>71</v>
      </c>
      <c r="G1537" t="s">
        <v>317</v>
      </c>
      <c r="H1537" t="s">
        <v>28</v>
      </c>
      <c r="I1537" t="s">
        <v>29</v>
      </c>
      <c r="J1537" t="s">
        <v>57</v>
      </c>
      <c r="K1537">
        <v>2</v>
      </c>
      <c r="L1537">
        <v>15945.01</v>
      </c>
      <c r="M1537">
        <v>0.05</v>
      </c>
      <c r="N1537">
        <v>30295.52</v>
      </c>
      <c r="O1537">
        <v>24074.41</v>
      </c>
      <c r="P1537">
        <v>6221.11</v>
      </c>
      <c r="Q1537" t="s">
        <v>113</v>
      </c>
      <c r="R1537">
        <v>0.20534752333018211</v>
      </c>
      <c r="S1537">
        <v>2025</v>
      </c>
      <c r="T1537" t="s">
        <v>636</v>
      </c>
      <c r="U1537">
        <v>3</v>
      </c>
      <c r="V1537" t="s">
        <v>33</v>
      </c>
    </row>
    <row r="1538" spans="1:22" x14ac:dyDescent="0.3">
      <c r="A1538" t="s">
        <v>2519</v>
      </c>
      <c r="B1538" s="1">
        <v>45741</v>
      </c>
      <c r="C1538" t="s">
        <v>1747</v>
      </c>
      <c r="D1538" t="s">
        <v>398</v>
      </c>
      <c r="E1538" t="s">
        <v>61</v>
      </c>
      <c r="F1538" t="s">
        <v>62</v>
      </c>
      <c r="G1538" t="s">
        <v>90</v>
      </c>
      <c r="H1538" t="s">
        <v>84</v>
      </c>
      <c r="I1538" t="s">
        <v>138</v>
      </c>
      <c r="J1538" t="s">
        <v>139</v>
      </c>
      <c r="K1538">
        <v>1</v>
      </c>
      <c r="L1538">
        <v>13041.05</v>
      </c>
      <c r="M1538">
        <v>0.1</v>
      </c>
      <c r="N1538">
        <v>11736.94</v>
      </c>
      <c r="O1538">
        <v>9322.42</v>
      </c>
      <c r="P1538">
        <v>2414.52</v>
      </c>
      <c r="Q1538" t="s">
        <v>46</v>
      </c>
      <c r="R1538">
        <v>0.2057197191090693</v>
      </c>
      <c r="S1538">
        <v>2025</v>
      </c>
      <c r="T1538" t="s">
        <v>636</v>
      </c>
      <c r="U1538">
        <v>3</v>
      </c>
      <c r="V1538" t="s">
        <v>33</v>
      </c>
    </row>
    <row r="1539" spans="1:22" x14ac:dyDescent="0.3">
      <c r="A1539" t="s">
        <v>2520</v>
      </c>
      <c r="B1539" s="1">
        <v>45741</v>
      </c>
      <c r="C1539" t="s">
        <v>791</v>
      </c>
      <c r="D1539" t="s">
        <v>524</v>
      </c>
      <c r="E1539" t="s">
        <v>120</v>
      </c>
      <c r="F1539" t="s">
        <v>121</v>
      </c>
      <c r="G1539" t="s">
        <v>130</v>
      </c>
      <c r="H1539" t="s">
        <v>43</v>
      </c>
      <c r="I1539" t="s">
        <v>44</v>
      </c>
      <c r="J1539" t="s">
        <v>248</v>
      </c>
      <c r="K1539">
        <v>1</v>
      </c>
      <c r="L1539">
        <v>308.57</v>
      </c>
      <c r="M1539">
        <v>0.1</v>
      </c>
      <c r="N1539">
        <v>277.70999999999998</v>
      </c>
      <c r="O1539">
        <v>126.14</v>
      </c>
      <c r="P1539">
        <v>151.57</v>
      </c>
      <c r="Q1539" t="s">
        <v>46</v>
      </c>
      <c r="R1539">
        <v>0.54578517158186601</v>
      </c>
      <c r="S1539">
        <v>2025</v>
      </c>
      <c r="T1539" t="s">
        <v>636</v>
      </c>
      <c r="U1539">
        <v>3</v>
      </c>
      <c r="V1539" t="s">
        <v>33</v>
      </c>
    </row>
    <row r="1540" spans="1:22" x14ac:dyDescent="0.3">
      <c r="A1540" t="s">
        <v>2521</v>
      </c>
      <c r="B1540" s="1">
        <v>45742</v>
      </c>
      <c r="C1540" t="s">
        <v>518</v>
      </c>
      <c r="D1540" t="s">
        <v>179</v>
      </c>
      <c r="E1540" t="s">
        <v>25</v>
      </c>
      <c r="F1540" t="s">
        <v>26</v>
      </c>
      <c r="G1540" t="s">
        <v>171</v>
      </c>
      <c r="H1540" t="s">
        <v>64</v>
      </c>
      <c r="I1540" t="s">
        <v>108</v>
      </c>
      <c r="J1540" t="s">
        <v>109</v>
      </c>
      <c r="K1540">
        <v>2</v>
      </c>
      <c r="L1540">
        <v>7036.65</v>
      </c>
      <c r="M1540">
        <v>0.15</v>
      </c>
      <c r="N1540">
        <v>11962.3</v>
      </c>
      <c r="O1540">
        <v>9322.9</v>
      </c>
      <c r="P1540">
        <v>2639.4</v>
      </c>
      <c r="Q1540" t="s">
        <v>53</v>
      </c>
      <c r="R1540">
        <v>0.2206431873469149</v>
      </c>
      <c r="S1540">
        <v>2025</v>
      </c>
      <c r="T1540" t="s">
        <v>636</v>
      </c>
      <c r="U1540">
        <v>3</v>
      </c>
      <c r="V1540" t="s">
        <v>33</v>
      </c>
    </row>
    <row r="1541" spans="1:22" x14ac:dyDescent="0.3">
      <c r="A1541" t="s">
        <v>2522</v>
      </c>
      <c r="B1541" s="1">
        <v>45742</v>
      </c>
      <c r="C1541" t="s">
        <v>1012</v>
      </c>
      <c r="D1541" t="s">
        <v>806</v>
      </c>
      <c r="E1541" t="s">
        <v>41</v>
      </c>
      <c r="F1541" t="s">
        <v>42</v>
      </c>
      <c r="G1541" t="s">
        <v>50</v>
      </c>
      <c r="H1541" t="s">
        <v>64</v>
      </c>
      <c r="I1541" t="s">
        <v>65</v>
      </c>
      <c r="J1541" t="s">
        <v>66</v>
      </c>
      <c r="K1541">
        <v>3</v>
      </c>
      <c r="L1541">
        <v>4843.92</v>
      </c>
      <c r="M1541">
        <v>0.15</v>
      </c>
      <c r="N1541">
        <v>12352</v>
      </c>
      <c r="O1541">
        <v>9122.82</v>
      </c>
      <c r="P1541">
        <v>3229.18</v>
      </c>
      <c r="Q1541" t="s">
        <v>31</v>
      </c>
      <c r="R1541">
        <v>0.26142972797927461</v>
      </c>
      <c r="S1541">
        <v>2025</v>
      </c>
      <c r="T1541" t="s">
        <v>636</v>
      </c>
      <c r="U1541">
        <v>3</v>
      </c>
      <c r="V1541" t="s">
        <v>33</v>
      </c>
    </row>
    <row r="1542" spans="1:22" x14ac:dyDescent="0.3">
      <c r="A1542" t="s">
        <v>2523</v>
      </c>
      <c r="B1542" s="1">
        <v>45742</v>
      </c>
      <c r="C1542" t="s">
        <v>629</v>
      </c>
      <c r="D1542" t="s">
        <v>2294</v>
      </c>
      <c r="E1542" t="s">
        <v>61</v>
      </c>
      <c r="F1542" t="s">
        <v>62</v>
      </c>
      <c r="G1542" t="s">
        <v>134</v>
      </c>
      <c r="H1542" t="s">
        <v>64</v>
      </c>
      <c r="I1542" t="s">
        <v>65</v>
      </c>
      <c r="J1542" t="s">
        <v>66</v>
      </c>
      <c r="K1542">
        <v>2</v>
      </c>
      <c r="L1542">
        <v>4972.01</v>
      </c>
      <c r="M1542">
        <v>0.15</v>
      </c>
      <c r="N1542">
        <v>8452.42</v>
      </c>
      <c r="O1542">
        <v>5933.76</v>
      </c>
      <c r="P1542">
        <v>2518.66</v>
      </c>
      <c r="Q1542" t="s">
        <v>113</v>
      </c>
      <c r="R1542">
        <v>0.29798093327118153</v>
      </c>
      <c r="S1542">
        <v>2025</v>
      </c>
      <c r="T1542" t="s">
        <v>636</v>
      </c>
      <c r="U1542">
        <v>3</v>
      </c>
      <c r="V1542" t="s">
        <v>33</v>
      </c>
    </row>
    <row r="1543" spans="1:22" x14ac:dyDescent="0.3">
      <c r="A1543" t="s">
        <v>2524</v>
      </c>
      <c r="B1543" s="1">
        <v>45743</v>
      </c>
      <c r="C1543" t="s">
        <v>971</v>
      </c>
      <c r="D1543" t="s">
        <v>1289</v>
      </c>
      <c r="E1543" t="s">
        <v>120</v>
      </c>
      <c r="F1543" t="s">
        <v>121</v>
      </c>
      <c r="G1543" t="s">
        <v>122</v>
      </c>
      <c r="H1543" t="s">
        <v>43</v>
      </c>
      <c r="I1543" t="s">
        <v>51</v>
      </c>
      <c r="J1543" t="s">
        <v>52</v>
      </c>
      <c r="K1543">
        <v>2</v>
      </c>
      <c r="L1543">
        <v>678.96</v>
      </c>
      <c r="M1543">
        <v>0.1</v>
      </c>
      <c r="N1543">
        <v>1222.1300000000001</v>
      </c>
      <c r="O1543">
        <v>647.74</v>
      </c>
      <c r="P1543">
        <v>574.39</v>
      </c>
      <c r="Q1543" t="s">
        <v>46</v>
      </c>
      <c r="R1543">
        <v>0.46999091749650201</v>
      </c>
      <c r="S1543">
        <v>2025</v>
      </c>
      <c r="T1543" t="s">
        <v>636</v>
      </c>
      <c r="U1543">
        <v>3</v>
      </c>
      <c r="V1543" t="s">
        <v>33</v>
      </c>
    </row>
    <row r="1544" spans="1:22" x14ac:dyDescent="0.3">
      <c r="A1544" t="s">
        <v>2525</v>
      </c>
      <c r="B1544" s="1">
        <v>45743</v>
      </c>
      <c r="C1544" t="s">
        <v>1083</v>
      </c>
      <c r="D1544" t="s">
        <v>276</v>
      </c>
      <c r="E1544" t="s">
        <v>25</v>
      </c>
      <c r="F1544" t="s">
        <v>26</v>
      </c>
      <c r="G1544" t="s">
        <v>171</v>
      </c>
      <c r="H1544" t="s">
        <v>28</v>
      </c>
      <c r="I1544" t="s">
        <v>73</v>
      </c>
      <c r="J1544" t="s">
        <v>74</v>
      </c>
      <c r="K1544">
        <v>3</v>
      </c>
      <c r="L1544">
        <v>2365.41</v>
      </c>
      <c r="M1544">
        <v>0.05</v>
      </c>
      <c r="N1544">
        <v>6741.42</v>
      </c>
      <c r="O1544">
        <v>3997.58</v>
      </c>
      <c r="P1544">
        <v>2743.84</v>
      </c>
      <c r="Q1544" t="s">
        <v>46</v>
      </c>
      <c r="R1544">
        <v>0.40701217250964927</v>
      </c>
      <c r="S1544">
        <v>2025</v>
      </c>
      <c r="T1544" t="s">
        <v>636</v>
      </c>
      <c r="U1544">
        <v>3</v>
      </c>
      <c r="V1544" t="s">
        <v>33</v>
      </c>
    </row>
    <row r="1545" spans="1:22" x14ac:dyDescent="0.3">
      <c r="A1545" t="s">
        <v>2526</v>
      </c>
      <c r="B1545" s="1">
        <v>45743</v>
      </c>
      <c r="C1545" t="s">
        <v>1329</v>
      </c>
      <c r="D1545" t="s">
        <v>582</v>
      </c>
      <c r="E1545" t="s">
        <v>61</v>
      </c>
      <c r="F1545" t="s">
        <v>71</v>
      </c>
      <c r="G1545" t="s">
        <v>100</v>
      </c>
      <c r="H1545" t="s">
        <v>28</v>
      </c>
      <c r="I1545" t="s">
        <v>73</v>
      </c>
      <c r="J1545" t="s">
        <v>74</v>
      </c>
      <c r="K1545">
        <v>1</v>
      </c>
      <c r="L1545">
        <v>2433.66</v>
      </c>
      <c r="M1545">
        <v>0.05</v>
      </c>
      <c r="N1545">
        <v>2311.98</v>
      </c>
      <c r="O1545">
        <v>1354.47</v>
      </c>
      <c r="P1545">
        <v>957.51</v>
      </c>
      <c r="Q1545" t="s">
        <v>46</v>
      </c>
      <c r="R1545">
        <v>0.41415150650092131</v>
      </c>
      <c r="S1545">
        <v>2025</v>
      </c>
      <c r="T1545" t="s">
        <v>636</v>
      </c>
      <c r="U1545">
        <v>3</v>
      </c>
      <c r="V1545" t="s">
        <v>33</v>
      </c>
    </row>
    <row r="1546" spans="1:22" x14ac:dyDescent="0.3">
      <c r="A1546" t="s">
        <v>2527</v>
      </c>
      <c r="B1546" s="1">
        <v>45743</v>
      </c>
      <c r="C1546" t="s">
        <v>518</v>
      </c>
      <c r="D1546" t="s">
        <v>888</v>
      </c>
      <c r="E1546" t="s">
        <v>120</v>
      </c>
      <c r="F1546" t="s">
        <v>121</v>
      </c>
      <c r="G1546" t="s">
        <v>224</v>
      </c>
      <c r="H1546" t="s">
        <v>43</v>
      </c>
      <c r="I1546" t="s">
        <v>51</v>
      </c>
      <c r="J1546" t="s">
        <v>96</v>
      </c>
      <c r="K1546">
        <v>3</v>
      </c>
      <c r="L1546">
        <v>500.11</v>
      </c>
      <c r="M1546">
        <v>0.15</v>
      </c>
      <c r="N1546">
        <v>1275.28</v>
      </c>
      <c r="O1546">
        <v>665.51</v>
      </c>
      <c r="P1546">
        <v>609.77</v>
      </c>
      <c r="Q1546" t="s">
        <v>53</v>
      </c>
      <c r="R1546">
        <v>0.47814597578570978</v>
      </c>
      <c r="S1546">
        <v>2025</v>
      </c>
      <c r="T1546" t="s">
        <v>636</v>
      </c>
      <c r="U1546">
        <v>3</v>
      </c>
      <c r="V1546" t="s">
        <v>33</v>
      </c>
    </row>
    <row r="1547" spans="1:22" x14ac:dyDescent="0.3">
      <c r="A1547" t="s">
        <v>2528</v>
      </c>
      <c r="B1547" s="1">
        <v>45744</v>
      </c>
      <c r="C1547" t="s">
        <v>2529</v>
      </c>
      <c r="D1547" t="s">
        <v>446</v>
      </c>
      <c r="E1547" t="s">
        <v>61</v>
      </c>
      <c r="F1547" t="s">
        <v>62</v>
      </c>
      <c r="G1547" t="s">
        <v>134</v>
      </c>
      <c r="H1547" t="s">
        <v>28</v>
      </c>
      <c r="I1547" t="s">
        <v>73</v>
      </c>
      <c r="J1547" t="s">
        <v>74</v>
      </c>
      <c r="K1547">
        <v>2</v>
      </c>
      <c r="L1547">
        <v>2387.0700000000002</v>
      </c>
      <c r="M1547">
        <v>0.15</v>
      </c>
      <c r="N1547">
        <v>4058.02</v>
      </c>
      <c r="O1547">
        <v>2667.92</v>
      </c>
      <c r="P1547">
        <v>1390.1</v>
      </c>
      <c r="Q1547" t="s">
        <v>53</v>
      </c>
      <c r="R1547">
        <v>0.34255622199989161</v>
      </c>
      <c r="S1547">
        <v>2025</v>
      </c>
      <c r="T1547" t="s">
        <v>636</v>
      </c>
      <c r="U1547">
        <v>3</v>
      </c>
      <c r="V1547" t="s">
        <v>33</v>
      </c>
    </row>
    <row r="1548" spans="1:22" x14ac:dyDescent="0.3">
      <c r="A1548" t="s">
        <v>2530</v>
      </c>
      <c r="B1548" s="1">
        <v>45744</v>
      </c>
      <c r="C1548" t="s">
        <v>714</v>
      </c>
      <c r="D1548" t="s">
        <v>256</v>
      </c>
      <c r="E1548" t="s">
        <v>61</v>
      </c>
      <c r="F1548" t="s">
        <v>71</v>
      </c>
      <c r="G1548" t="s">
        <v>72</v>
      </c>
      <c r="H1548" t="s">
        <v>64</v>
      </c>
      <c r="I1548" t="s">
        <v>108</v>
      </c>
      <c r="J1548" t="s">
        <v>155</v>
      </c>
      <c r="K1548">
        <v>4</v>
      </c>
      <c r="L1548">
        <v>8358.43</v>
      </c>
      <c r="M1548">
        <v>0.1</v>
      </c>
      <c r="N1548">
        <v>30090.35</v>
      </c>
      <c r="O1548">
        <v>23616.61</v>
      </c>
      <c r="P1548">
        <v>6473.74</v>
      </c>
      <c r="Q1548" t="s">
        <v>113</v>
      </c>
      <c r="R1548">
        <v>0.215143393147637</v>
      </c>
      <c r="S1548">
        <v>2025</v>
      </c>
      <c r="T1548" t="s">
        <v>636</v>
      </c>
      <c r="U1548">
        <v>3</v>
      </c>
      <c r="V1548" t="s">
        <v>33</v>
      </c>
    </row>
    <row r="1549" spans="1:22" x14ac:dyDescent="0.3">
      <c r="A1549" t="s">
        <v>2531</v>
      </c>
      <c r="B1549" s="1">
        <v>45744</v>
      </c>
      <c r="C1549" t="s">
        <v>384</v>
      </c>
      <c r="D1549" t="s">
        <v>550</v>
      </c>
      <c r="E1549" t="s">
        <v>41</v>
      </c>
      <c r="F1549" t="s">
        <v>42</v>
      </c>
      <c r="G1549" t="s">
        <v>42</v>
      </c>
      <c r="H1549" t="s">
        <v>28</v>
      </c>
      <c r="I1549" t="s">
        <v>73</v>
      </c>
      <c r="J1549" t="s">
        <v>80</v>
      </c>
      <c r="K1549">
        <v>2</v>
      </c>
      <c r="L1549">
        <v>789.6</v>
      </c>
      <c r="M1549">
        <v>0.1</v>
      </c>
      <c r="N1549">
        <v>1421.28</v>
      </c>
      <c r="O1549">
        <v>945.49</v>
      </c>
      <c r="P1549">
        <v>475.79</v>
      </c>
      <c r="Q1549" t="s">
        <v>67</v>
      </c>
      <c r="R1549">
        <v>0.33476162332545312</v>
      </c>
      <c r="S1549">
        <v>2025</v>
      </c>
      <c r="T1549" t="s">
        <v>636</v>
      </c>
      <c r="U1549">
        <v>3</v>
      </c>
      <c r="V1549" t="s">
        <v>33</v>
      </c>
    </row>
    <row r="1550" spans="1:22" x14ac:dyDescent="0.3">
      <c r="A1550" t="s">
        <v>2532</v>
      </c>
      <c r="B1550" s="1">
        <v>45744</v>
      </c>
      <c r="C1550" t="s">
        <v>549</v>
      </c>
      <c r="D1550" t="s">
        <v>1148</v>
      </c>
      <c r="E1550" t="s">
        <v>25</v>
      </c>
      <c r="F1550" t="s">
        <v>26</v>
      </c>
      <c r="G1550" t="s">
        <v>37</v>
      </c>
      <c r="H1550" t="s">
        <v>28</v>
      </c>
      <c r="I1550" t="s">
        <v>73</v>
      </c>
      <c r="J1550" t="s">
        <v>80</v>
      </c>
      <c r="K1550">
        <v>3</v>
      </c>
      <c r="L1550">
        <v>834.85</v>
      </c>
      <c r="M1550">
        <v>0.05</v>
      </c>
      <c r="N1550">
        <v>2379.3200000000002</v>
      </c>
      <c r="O1550">
        <v>1522.22</v>
      </c>
      <c r="P1550">
        <v>857.1</v>
      </c>
      <c r="Q1550" t="s">
        <v>53</v>
      </c>
      <c r="R1550">
        <v>0.36022897298387768</v>
      </c>
      <c r="S1550">
        <v>2025</v>
      </c>
      <c r="T1550" t="s">
        <v>636</v>
      </c>
      <c r="U1550">
        <v>3</v>
      </c>
      <c r="V1550" t="s">
        <v>33</v>
      </c>
    </row>
    <row r="1551" spans="1:22" x14ac:dyDescent="0.3">
      <c r="A1551" t="s">
        <v>2533</v>
      </c>
      <c r="B1551" s="1">
        <v>45744</v>
      </c>
      <c r="C1551" t="s">
        <v>1657</v>
      </c>
      <c r="D1551" t="s">
        <v>316</v>
      </c>
      <c r="E1551" t="s">
        <v>25</v>
      </c>
      <c r="F1551" t="s">
        <v>26</v>
      </c>
      <c r="G1551" t="s">
        <v>37</v>
      </c>
      <c r="H1551" t="s">
        <v>28</v>
      </c>
      <c r="I1551" t="s">
        <v>29</v>
      </c>
      <c r="J1551" t="s">
        <v>57</v>
      </c>
      <c r="K1551">
        <v>2</v>
      </c>
      <c r="L1551">
        <v>15410.44</v>
      </c>
      <c r="M1551">
        <v>0.05</v>
      </c>
      <c r="N1551">
        <v>29279.84</v>
      </c>
      <c r="O1551">
        <v>23672.41</v>
      </c>
      <c r="P1551">
        <v>5607.43</v>
      </c>
      <c r="Q1551" t="s">
        <v>67</v>
      </c>
      <c r="R1551">
        <v>0.19151163394335491</v>
      </c>
      <c r="S1551">
        <v>2025</v>
      </c>
      <c r="T1551" t="s">
        <v>636</v>
      </c>
      <c r="U1551">
        <v>3</v>
      </c>
      <c r="V1551" t="s">
        <v>33</v>
      </c>
    </row>
    <row r="1552" spans="1:22" x14ac:dyDescent="0.3">
      <c r="A1552" t="s">
        <v>2534</v>
      </c>
      <c r="B1552" s="1">
        <v>45745</v>
      </c>
      <c r="C1552" t="s">
        <v>2535</v>
      </c>
      <c r="D1552" t="s">
        <v>1118</v>
      </c>
      <c r="E1552" t="s">
        <v>61</v>
      </c>
      <c r="F1552" t="s">
        <v>78</v>
      </c>
      <c r="G1552" t="s">
        <v>216</v>
      </c>
      <c r="H1552" t="s">
        <v>43</v>
      </c>
      <c r="I1552" t="s">
        <v>44</v>
      </c>
      <c r="J1552" t="s">
        <v>248</v>
      </c>
      <c r="K1552">
        <v>1</v>
      </c>
      <c r="L1552">
        <v>314.77999999999997</v>
      </c>
      <c r="M1552">
        <v>0.2</v>
      </c>
      <c r="N1552">
        <v>251.82</v>
      </c>
      <c r="O1552">
        <v>135.86000000000001</v>
      </c>
      <c r="P1552">
        <v>115.96</v>
      </c>
      <c r="Q1552" t="s">
        <v>31</v>
      </c>
      <c r="R1552">
        <v>0.46048764990866492</v>
      </c>
      <c r="S1552">
        <v>2025</v>
      </c>
      <c r="T1552" t="s">
        <v>636</v>
      </c>
      <c r="U1552">
        <v>3</v>
      </c>
      <c r="V1552" t="s">
        <v>33</v>
      </c>
    </row>
    <row r="1553" spans="1:22" x14ac:dyDescent="0.3">
      <c r="A1553" t="s">
        <v>2536</v>
      </c>
      <c r="B1553" s="1">
        <v>45745</v>
      </c>
      <c r="C1553" t="s">
        <v>937</v>
      </c>
      <c r="D1553" t="s">
        <v>112</v>
      </c>
      <c r="E1553" t="s">
        <v>61</v>
      </c>
      <c r="F1553" t="s">
        <v>78</v>
      </c>
      <c r="G1553" t="s">
        <v>79</v>
      </c>
      <c r="H1553" t="s">
        <v>64</v>
      </c>
      <c r="I1553" t="s">
        <v>65</v>
      </c>
      <c r="J1553" t="s">
        <v>232</v>
      </c>
      <c r="K1553">
        <v>2</v>
      </c>
      <c r="L1553">
        <v>4161.82</v>
      </c>
      <c r="M1553">
        <v>0.15</v>
      </c>
      <c r="N1553">
        <v>7075.09</v>
      </c>
      <c r="O1553">
        <v>5058.3100000000004</v>
      </c>
      <c r="P1553">
        <v>2016.78</v>
      </c>
      <c r="Q1553" t="s">
        <v>53</v>
      </c>
      <c r="R1553">
        <v>0.28505361769249582</v>
      </c>
      <c r="S1553">
        <v>2025</v>
      </c>
      <c r="T1553" t="s">
        <v>636</v>
      </c>
      <c r="U1553">
        <v>3</v>
      </c>
      <c r="V1553" t="s">
        <v>33</v>
      </c>
    </row>
    <row r="1554" spans="1:22" x14ac:dyDescent="0.3">
      <c r="A1554" t="s">
        <v>2537</v>
      </c>
      <c r="B1554" s="1">
        <v>45745</v>
      </c>
      <c r="C1554" t="s">
        <v>746</v>
      </c>
      <c r="D1554" t="s">
        <v>978</v>
      </c>
      <c r="E1554" t="s">
        <v>61</v>
      </c>
      <c r="F1554" t="s">
        <v>78</v>
      </c>
      <c r="G1554" t="s">
        <v>83</v>
      </c>
      <c r="H1554" t="s">
        <v>64</v>
      </c>
      <c r="I1554" t="s">
        <v>108</v>
      </c>
      <c r="J1554" t="s">
        <v>155</v>
      </c>
      <c r="K1554">
        <v>4</v>
      </c>
      <c r="L1554">
        <v>8036.8</v>
      </c>
      <c r="M1554">
        <v>0.05</v>
      </c>
      <c r="N1554">
        <v>30539.84</v>
      </c>
      <c r="O1554">
        <v>21922.080000000002</v>
      </c>
      <c r="P1554">
        <v>8617.76</v>
      </c>
      <c r="Q1554" t="s">
        <v>31</v>
      </c>
      <c r="R1554">
        <v>0.28218091515869109</v>
      </c>
      <c r="S1554">
        <v>2025</v>
      </c>
      <c r="T1554" t="s">
        <v>636</v>
      </c>
      <c r="U1554">
        <v>3</v>
      </c>
      <c r="V1554" t="s">
        <v>33</v>
      </c>
    </row>
    <row r="1555" spans="1:22" x14ac:dyDescent="0.3">
      <c r="A1555" t="s">
        <v>2538</v>
      </c>
      <c r="B1555" s="1">
        <v>45746</v>
      </c>
      <c r="C1555" t="s">
        <v>1813</v>
      </c>
      <c r="D1555" t="s">
        <v>451</v>
      </c>
      <c r="E1555" t="s">
        <v>61</v>
      </c>
      <c r="F1555" t="s">
        <v>62</v>
      </c>
      <c r="G1555" t="s">
        <v>90</v>
      </c>
      <c r="H1555" t="s">
        <v>28</v>
      </c>
      <c r="I1555" t="s">
        <v>91</v>
      </c>
      <c r="J1555" t="s">
        <v>92</v>
      </c>
      <c r="K1555">
        <v>3</v>
      </c>
      <c r="L1555">
        <v>3046.33</v>
      </c>
      <c r="M1555">
        <v>0.1</v>
      </c>
      <c r="N1555">
        <v>8225.09</v>
      </c>
      <c r="O1555">
        <v>4930.24</v>
      </c>
      <c r="P1555">
        <v>3294.85</v>
      </c>
      <c r="Q1555" t="s">
        <v>31</v>
      </c>
      <c r="R1555">
        <v>0.40058528234949398</v>
      </c>
      <c r="S1555">
        <v>2025</v>
      </c>
      <c r="T1555" t="s">
        <v>636</v>
      </c>
      <c r="U1555">
        <v>3</v>
      </c>
      <c r="V1555" t="s">
        <v>33</v>
      </c>
    </row>
    <row r="1556" spans="1:22" x14ac:dyDescent="0.3">
      <c r="A1556" t="s">
        <v>2539</v>
      </c>
      <c r="B1556" s="1">
        <v>45746</v>
      </c>
      <c r="C1556" t="s">
        <v>2021</v>
      </c>
      <c r="D1556" t="s">
        <v>1044</v>
      </c>
      <c r="E1556" t="s">
        <v>41</v>
      </c>
      <c r="F1556" t="s">
        <v>42</v>
      </c>
      <c r="G1556" t="s">
        <v>42</v>
      </c>
      <c r="H1556" t="s">
        <v>43</v>
      </c>
      <c r="I1556" t="s">
        <v>51</v>
      </c>
      <c r="J1556" t="s">
        <v>96</v>
      </c>
      <c r="K1556">
        <v>4</v>
      </c>
      <c r="L1556">
        <v>505.85</v>
      </c>
      <c r="M1556">
        <v>0</v>
      </c>
      <c r="N1556">
        <v>2023.4</v>
      </c>
      <c r="O1556">
        <v>881.04</v>
      </c>
      <c r="P1556">
        <v>1142.3599999999999</v>
      </c>
      <c r="Q1556" t="s">
        <v>67</v>
      </c>
      <c r="R1556">
        <v>0.56457447860037557</v>
      </c>
      <c r="S1556">
        <v>2025</v>
      </c>
      <c r="T1556" t="s">
        <v>636</v>
      </c>
      <c r="U1556">
        <v>3</v>
      </c>
      <c r="V1556" t="s">
        <v>33</v>
      </c>
    </row>
    <row r="1557" spans="1:22" x14ac:dyDescent="0.3">
      <c r="A1557" t="s">
        <v>2540</v>
      </c>
      <c r="B1557" s="1">
        <v>45746</v>
      </c>
      <c r="C1557" t="s">
        <v>1432</v>
      </c>
      <c r="D1557" t="s">
        <v>906</v>
      </c>
      <c r="E1557" t="s">
        <v>61</v>
      </c>
      <c r="F1557" t="s">
        <v>71</v>
      </c>
      <c r="G1557" t="s">
        <v>100</v>
      </c>
      <c r="H1557" t="s">
        <v>64</v>
      </c>
      <c r="I1557" t="s">
        <v>65</v>
      </c>
      <c r="J1557" t="s">
        <v>66</v>
      </c>
      <c r="K1557">
        <v>4</v>
      </c>
      <c r="L1557">
        <v>4910.2700000000004</v>
      </c>
      <c r="M1557">
        <v>0.05</v>
      </c>
      <c r="N1557">
        <v>18659.03</v>
      </c>
      <c r="O1557">
        <v>11573.79</v>
      </c>
      <c r="P1557">
        <v>7085.24</v>
      </c>
      <c r="Q1557" t="s">
        <v>113</v>
      </c>
      <c r="R1557">
        <v>0.37972177546206848</v>
      </c>
      <c r="S1557">
        <v>2025</v>
      </c>
      <c r="T1557" t="s">
        <v>636</v>
      </c>
      <c r="U1557">
        <v>3</v>
      </c>
      <c r="V1557" t="s">
        <v>33</v>
      </c>
    </row>
    <row r="1558" spans="1:22" x14ac:dyDescent="0.3">
      <c r="A1558" t="s">
        <v>2541</v>
      </c>
      <c r="B1558" s="1">
        <v>45747</v>
      </c>
      <c r="C1558" t="s">
        <v>373</v>
      </c>
      <c r="D1558" t="s">
        <v>966</v>
      </c>
      <c r="E1558" t="s">
        <v>61</v>
      </c>
      <c r="F1558" t="s">
        <v>62</v>
      </c>
      <c r="G1558" t="s">
        <v>134</v>
      </c>
      <c r="H1558" t="s">
        <v>64</v>
      </c>
      <c r="I1558" t="s">
        <v>108</v>
      </c>
      <c r="J1558" t="s">
        <v>109</v>
      </c>
      <c r="K1558">
        <v>2</v>
      </c>
      <c r="L1558">
        <v>7405.93</v>
      </c>
      <c r="M1558">
        <v>0.15</v>
      </c>
      <c r="N1558">
        <v>12590.08</v>
      </c>
      <c r="O1558">
        <v>9528.94</v>
      </c>
      <c r="P1558">
        <v>3061.14</v>
      </c>
      <c r="Q1558" t="s">
        <v>67</v>
      </c>
      <c r="R1558">
        <v>0.243139042801952</v>
      </c>
      <c r="S1558">
        <v>2025</v>
      </c>
      <c r="T1558" t="s">
        <v>636</v>
      </c>
      <c r="U1558">
        <v>3</v>
      </c>
      <c r="V1558" t="s">
        <v>33</v>
      </c>
    </row>
    <row r="1559" spans="1:22" x14ac:dyDescent="0.3">
      <c r="A1559" t="s">
        <v>2542</v>
      </c>
      <c r="B1559" s="1">
        <v>45747</v>
      </c>
      <c r="C1559" t="s">
        <v>2543</v>
      </c>
      <c r="D1559" t="s">
        <v>298</v>
      </c>
      <c r="E1559" t="s">
        <v>25</v>
      </c>
      <c r="F1559" t="s">
        <v>26</v>
      </c>
      <c r="G1559" t="s">
        <v>171</v>
      </c>
      <c r="H1559" t="s">
        <v>43</v>
      </c>
      <c r="I1559" t="s">
        <v>44</v>
      </c>
      <c r="J1559" t="s">
        <v>45</v>
      </c>
      <c r="K1559">
        <v>4</v>
      </c>
      <c r="L1559">
        <v>250.47</v>
      </c>
      <c r="M1559">
        <v>0.05</v>
      </c>
      <c r="N1559">
        <v>951.79</v>
      </c>
      <c r="O1559">
        <v>381.2</v>
      </c>
      <c r="P1559">
        <v>570.59</v>
      </c>
      <c r="Q1559" t="s">
        <v>53</v>
      </c>
      <c r="R1559">
        <v>0.59949148446611122</v>
      </c>
      <c r="S1559">
        <v>2025</v>
      </c>
      <c r="T1559" t="s">
        <v>636</v>
      </c>
      <c r="U1559">
        <v>3</v>
      </c>
      <c r="V1559" t="s">
        <v>33</v>
      </c>
    </row>
    <row r="1560" spans="1:22" x14ac:dyDescent="0.3">
      <c r="A1560" t="s">
        <v>2544</v>
      </c>
      <c r="B1560" s="1">
        <v>45747</v>
      </c>
      <c r="C1560" t="s">
        <v>2545</v>
      </c>
      <c r="D1560" t="s">
        <v>1795</v>
      </c>
      <c r="E1560" t="s">
        <v>41</v>
      </c>
      <c r="F1560" t="s">
        <v>42</v>
      </c>
      <c r="G1560" t="s">
        <v>42</v>
      </c>
      <c r="H1560" t="s">
        <v>28</v>
      </c>
      <c r="I1560" t="s">
        <v>29</v>
      </c>
      <c r="J1560" t="s">
        <v>30</v>
      </c>
      <c r="K1560">
        <v>4</v>
      </c>
      <c r="L1560">
        <v>55749.57</v>
      </c>
      <c r="M1560">
        <v>0.2</v>
      </c>
      <c r="N1560">
        <v>178398.62</v>
      </c>
      <c r="O1560">
        <v>191607.16</v>
      </c>
      <c r="P1560">
        <v>-13208.54</v>
      </c>
      <c r="Q1560" t="s">
        <v>31</v>
      </c>
      <c r="R1560">
        <v>-7.4039474072164921E-2</v>
      </c>
      <c r="S1560">
        <v>2025</v>
      </c>
      <c r="T1560" t="s">
        <v>636</v>
      </c>
      <c r="U1560">
        <v>3</v>
      </c>
      <c r="V1560" t="s">
        <v>33</v>
      </c>
    </row>
    <row r="1561" spans="1:22" x14ac:dyDescent="0.3">
      <c r="A1561" t="s">
        <v>2546</v>
      </c>
      <c r="B1561" s="1">
        <v>45747</v>
      </c>
      <c r="C1561" t="s">
        <v>2547</v>
      </c>
      <c r="D1561" t="s">
        <v>929</v>
      </c>
      <c r="E1561" t="s">
        <v>25</v>
      </c>
      <c r="F1561" t="s">
        <v>26</v>
      </c>
      <c r="G1561" t="s">
        <v>37</v>
      </c>
      <c r="H1561" t="s">
        <v>43</v>
      </c>
      <c r="I1561" t="s">
        <v>44</v>
      </c>
      <c r="J1561" t="s">
        <v>45</v>
      </c>
      <c r="K1561">
        <v>4</v>
      </c>
      <c r="L1561">
        <v>239.89</v>
      </c>
      <c r="M1561">
        <v>0.05</v>
      </c>
      <c r="N1561">
        <v>911.58</v>
      </c>
      <c r="O1561">
        <v>357.78</v>
      </c>
      <c r="P1561">
        <v>553.79999999999995</v>
      </c>
      <c r="Q1561" t="s">
        <v>31</v>
      </c>
      <c r="R1561">
        <v>0.60751661949582036</v>
      </c>
      <c r="S1561">
        <v>2025</v>
      </c>
      <c r="T1561" t="s">
        <v>636</v>
      </c>
      <c r="U1561">
        <v>3</v>
      </c>
      <c r="V1561" t="s">
        <v>33</v>
      </c>
    </row>
    <row r="1562" spans="1:22" x14ac:dyDescent="0.3">
      <c r="A1562" t="s">
        <v>2548</v>
      </c>
      <c r="B1562" s="1">
        <v>45747</v>
      </c>
      <c r="C1562" t="s">
        <v>734</v>
      </c>
      <c r="D1562" t="s">
        <v>949</v>
      </c>
      <c r="E1562" t="s">
        <v>120</v>
      </c>
      <c r="F1562" t="s">
        <v>121</v>
      </c>
      <c r="G1562" t="s">
        <v>122</v>
      </c>
      <c r="H1562" t="s">
        <v>64</v>
      </c>
      <c r="I1562" t="s">
        <v>108</v>
      </c>
      <c r="J1562" t="s">
        <v>155</v>
      </c>
      <c r="K1562">
        <v>2</v>
      </c>
      <c r="L1562">
        <v>8660.9</v>
      </c>
      <c r="M1562">
        <v>0.15</v>
      </c>
      <c r="N1562">
        <v>14723.53</v>
      </c>
      <c r="O1562">
        <v>11874.41</v>
      </c>
      <c r="P1562">
        <v>2849.12</v>
      </c>
      <c r="Q1562" t="s">
        <v>46</v>
      </c>
      <c r="R1562">
        <v>0.19350794272840821</v>
      </c>
      <c r="S1562">
        <v>2025</v>
      </c>
      <c r="T1562" t="s">
        <v>636</v>
      </c>
      <c r="U1562">
        <v>3</v>
      </c>
      <c r="V1562" t="s">
        <v>33</v>
      </c>
    </row>
    <row r="1563" spans="1:22" x14ac:dyDescent="0.3">
      <c r="A1563" t="s">
        <v>2549</v>
      </c>
      <c r="B1563" s="1">
        <v>45748</v>
      </c>
      <c r="C1563" t="s">
        <v>1265</v>
      </c>
      <c r="D1563" t="s">
        <v>2550</v>
      </c>
      <c r="E1563" t="s">
        <v>120</v>
      </c>
      <c r="F1563" t="s">
        <v>121</v>
      </c>
      <c r="G1563" t="s">
        <v>130</v>
      </c>
      <c r="H1563" t="s">
        <v>28</v>
      </c>
      <c r="I1563" t="s">
        <v>73</v>
      </c>
      <c r="J1563" t="s">
        <v>80</v>
      </c>
      <c r="K1563">
        <v>2</v>
      </c>
      <c r="L1563">
        <v>759.99</v>
      </c>
      <c r="M1563">
        <v>0.2</v>
      </c>
      <c r="N1563">
        <v>1215.98</v>
      </c>
      <c r="O1563">
        <v>963.25</v>
      </c>
      <c r="P1563">
        <v>252.73</v>
      </c>
      <c r="Q1563" t="s">
        <v>31</v>
      </c>
      <c r="R1563">
        <v>0.20784058948337969</v>
      </c>
      <c r="S1563">
        <v>2025</v>
      </c>
      <c r="T1563" t="s">
        <v>877</v>
      </c>
      <c r="U1563">
        <v>4</v>
      </c>
      <c r="V1563" t="s">
        <v>878</v>
      </c>
    </row>
    <row r="1564" spans="1:22" x14ac:dyDescent="0.3">
      <c r="A1564" t="s">
        <v>2551</v>
      </c>
      <c r="B1564" s="1">
        <v>45748</v>
      </c>
      <c r="C1564" t="s">
        <v>840</v>
      </c>
      <c r="D1564" t="s">
        <v>1426</v>
      </c>
      <c r="E1564" t="s">
        <v>25</v>
      </c>
      <c r="F1564" t="s">
        <v>26</v>
      </c>
      <c r="G1564" t="s">
        <v>260</v>
      </c>
      <c r="H1564" t="s">
        <v>64</v>
      </c>
      <c r="I1564" t="s">
        <v>108</v>
      </c>
      <c r="J1564" t="s">
        <v>109</v>
      </c>
      <c r="K1564">
        <v>5</v>
      </c>
      <c r="L1564">
        <v>6579.16</v>
      </c>
      <c r="M1564">
        <v>0.05</v>
      </c>
      <c r="N1564">
        <v>31251.01</v>
      </c>
      <c r="O1564">
        <v>20644.89</v>
      </c>
      <c r="P1564">
        <v>10606.12</v>
      </c>
      <c r="Q1564" t="s">
        <v>46</v>
      </c>
      <c r="R1564">
        <v>0.33938487108096671</v>
      </c>
      <c r="S1564">
        <v>2025</v>
      </c>
      <c r="T1564" t="s">
        <v>877</v>
      </c>
      <c r="U1564">
        <v>4</v>
      </c>
      <c r="V1564" t="s">
        <v>878</v>
      </c>
    </row>
    <row r="1565" spans="1:22" x14ac:dyDescent="0.3">
      <c r="A1565" t="s">
        <v>2552</v>
      </c>
      <c r="B1565" s="1">
        <v>45748</v>
      </c>
      <c r="C1565" t="s">
        <v>1518</v>
      </c>
      <c r="D1565" t="s">
        <v>851</v>
      </c>
      <c r="E1565" t="s">
        <v>61</v>
      </c>
      <c r="F1565" t="s">
        <v>62</v>
      </c>
      <c r="G1565" t="s">
        <v>228</v>
      </c>
      <c r="H1565" t="s">
        <v>64</v>
      </c>
      <c r="I1565" t="s">
        <v>65</v>
      </c>
      <c r="J1565" t="s">
        <v>66</v>
      </c>
      <c r="K1565">
        <v>5</v>
      </c>
      <c r="L1565">
        <v>5149.93</v>
      </c>
      <c r="M1565">
        <v>0.15</v>
      </c>
      <c r="N1565">
        <v>21887.200000000001</v>
      </c>
      <c r="O1565">
        <v>15724.98</v>
      </c>
      <c r="P1565">
        <v>6162.22</v>
      </c>
      <c r="Q1565" t="s">
        <v>113</v>
      </c>
      <c r="R1565">
        <v>0.28154446434445701</v>
      </c>
      <c r="S1565">
        <v>2025</v>
      </c>
      <c r="T1565" t="s">
        <v>877</v>
      </c>
      <c r="U1565">
        <v>4</v>
      </c>
      <c r="V1565" t="s">
        <v>878</v>
      </c>
    </row>
    <row r="1566" spans="1:22" x14ac:dyDescent="0.3">
      <c r="A1566" t="s">
        <v>2553</v>
      </c>
      <c r="B1566" s="1">
        <v>45749</v>
      </c>
      <c r="C1566" t="s">
        <v>1474</v>
      </c>
      <c r="D1566" t="s">
        <v>304</v>
      </c>
      <c r="E1566" t="s">
        <v>41</v>
      </c>
      <c r="F1566" t="s">
        <v>42</v>
      </c>
      <c r="G1566" t="s">
        <v>50</v>
      </c>
      <c r="H1566" t="s">
        <v>43</v>
      </c>
      <c r="I1566" t="s">
        <v>51</v>
      </c>
      <c r="J1566" t="s">
        <v>96</v>
      </c>
      <c r="K1566">
        <v>2</v>
      </c>
      <c r="L1566">
        <v>479.94</v>
      </c>
      <c r="M1566">
        <v>0.1</v>
      </c>
      <c r="N1566">
        <v>863.89</v>
      </c>
      <c r="O1566">
        <v>423.19</v>
      </c>
      <c r="P1566">
        <v>440.7</v>
      </c>
      <c r="Q1566" t="s">
        <v>31</v>
      </c>
      <c r="R1566">
        <v>0.51013439211010658</v>
      </c>
      <c r="S1566">
        <v>2025</v>
      </c>
      <c r="T1566" t="s">
        <v>877</v>
      </c>
      <c r="U1566">
        <v>4</v>
      </c>
      <c r="V1566" t="s">
        <v>878</v>
      </c>
    </row>
    <row r="1567" spans="1:22" x14ac:dyDescent="0.3">
      <c r="A1567" t="s">
        <v>2554</v>
      </c>
      <c r="B1567" s="1">
        <v>45749</v>
      </c>
      <c r="C1567" t="s">
        <v>714</v>
      </c>
      <c r="D1567" t="s">
        <v>164</v>
      </c>
      <c r="E1567" t="s">
        <v>41</v>
      </c>
      <c r="F1567" t="s">
        <v>42</v>
      </c>
      <c r="G1567" t="s">
        <v>50</v>
      </c>
      <c r="H1567" t="s">
        <v>28</v>
      </c>
      <c r="I1567" t="s">
        <v>73</v>
      </c>
      <c r="J1567" t="s">
        <v>80</v>
      </c>
      <c r="K1567">
        <v>1</v>
      </c>
      <c r="L1567">
        <v>784.22</v>
      </c>
      <c r="M1567">
        <v>0.2</v>
      </c>
      <c r="N1567">
        <v>627.38</v>
      </c>
      <c r="O1567">
        <v>479.4</v>
      </c>
      <c r="P1567">
        <v>147.97999999999999</v>
      </c>
      <c r="Q1567" t="s">
        <v>31</v>
      </c>
      <c r="R1567">
        <v>0.2358698077720042</v>
      </c>
      <c r="S1567">
        <v>2025</v>
      </c>
      <c r="T1567" t="s">
        <v>877</v>
      </c>
      <c r="U1567">
        <v>4</v>
      </c>
      <c r="V1567" t="s">
        <v>878</v>
      </c>
    </row>
    <row r="1568" spans="1:22" x14ac:dyDescent="0.3">
      <c r="A1568" t="s">
        <v>2555</v>
      </c>
      <c r="B1568" s="1">
        <v>45749</v>
      </c>
      <c r="C1568" t="s">
        <v>1055</v>
      </c>
      <c r="D1568" t="s">
        <v>516</v>
      </c>
      <c r="E1568" t="s">
        <v>41</v>
      </c>
      <c r="F1568" t="s">
        <v>42</v>
      </c>
      <c r="G1568" t="s">
        <v>42</v>
      </c>
      <c r="H1568" t="s">
        <v>84</v>
      </c>
      <c r="I1568" t="s">
        <v>138</v>
      </c>
      <c r="J1568" t="s">
        <v>220</v>
      </c>
      <c r="K1568">
        <v>6</v>
      </c>
      <c r="L1568">
        <v>7946.55</v>
      </c>
      <c r="M1568">
        <v>0</v>
      </c>
      <c r="N1568">
        <v>47679.3</v>
      </c>
      <c r="O1568">
        <v>31494.9</v>
      </c>
      <c r="P1568">
        <v>16184.4</v>
      </c>
      <c r="Q1568" t="s">
        <v>31</v>
      </c>
      <c r="R1568">
        <v>0.33944290289496698</v>
      </c>
      <c r="S1568">
        <v>2025</v>
      </c>
      <c r="T1568" t="s">
        <v>877</v>
      </c>
      <c r="U1568">
        <v>4</v>
      </c>
      <c r="V1568" t="s">
        <v>878</v>
      </c>
    </row>
    <row r="1569" spans="1:22" x14ac:dyDescent="0.3">
      <c r="A1569" t="s">
        <v>2556</v>
      </c>
      <c r="B1569" s="1">
        <v>45749</v>
      </c>
      <c r="C1569" t="s">
        <v>697</v>
      </c>
      <c r="D1569" t="s">
        <v>735</v>
      </c>
      <c r="E1569" t="s">
        <v>61</v>
      </c>
      <c r="F1569" t="s">
        <v>78</v>
      </c>
      <c r="G1569" t="s">
        <v>104</v>
      </c>
      <c r="H1569" t="s">
        <v>64</v>
      </c>
      <c r="I1569" t="s">
        <v>108</v>
      </c>
      <c r="J1569" t="s">
        <v>155</v>
      </c>
      <c r="K1569">
        <v>5</v>
      </c>
      <c r="L1569">
        <v>8887.09</v>
      </c>
      <c r="M1569">
        <v>0.15</v>
      </c>
      <c r="N1569">
        <v>37770.129999999997</v>
      </c>
      <c r="O1569">
        <v>29353.57</v>
      </c>
      <c r="P1569">
        <v>8416.56</v>
      </c>
      <c r="Q1569" t="s">
        <v>31</v>
      </c>
      <c r="R1569">
        <v>0.22283640538171301</v>
      </c>
      <c r="S1569">
        <v>2025</v>
      </c>
      <c r="T1569" t="s">
        <v>877</v>
      </c>
      <c r="U1569">
        <v>4</v>
      </c>
      <c r="V1569" t="s">
        <v>878</v>
      </c>
    </row>
    <row r="1570" spans="1:22" x14ac:dyDescent="0.3">
      <c r="A1570" t="s">
        <v>2557</v>
      </c>
      <c r="B1570" s="1">
        <v>45749</v>
      </c>
      <c r="C1570" t="s">
        <v>556</v>
      </c>
      <c r="D1570" t="s">
        <v>932</v>
      </c>
      <c r="E1570" t="s">
        <v>25</v>
      </c>
      <c r="F1570" t="s">
        <v>26</v>
      </c>
      <c r="G1570" t="s">
        <v>171</v>
      </c>
      <c r="H1570" t="s">
        <v>28</v>
      </c>
      <c r="I1570" t="s">
        <v>91</v>
      </c>
      <c r="J1570" t="s">
        <v>92</v>
      </c>
      <c r="K1570">
        <v>1</v>
      </c>
      <c r="L1570">
        <v>2903.99</v>
      </c>
      <c r="M1570">
        <v>0.1</v>
      </c>
      <c r="N1570">
        <v>2613.59</v>
      </c>
      <c r="O1570">
        <v>1463.52</v>
      </c>
      <c r="P1570">
        <v>1150.07</v>
      </c>
      <c r="Q1570" t="s">
        <v>67</v>
      </c>
      <c r="R1570">
        <v>0.44003458843965582</v>
      </c>
      <c r="S1570">
        <v>2025</v>
      </c>
      <c r="T1570" t="s">
        <v>877</v>
      </c>
      <c r="U1570">
        <v>4</v>
      </c>
      <c r="V1570" t="s">
        <v>878</v>
      </c>
    </row>
    <row r="1571" spans="1:22" x14ac:dyDescent="0.3">
      <c r="A1571" t="s">
        <v>2558</v>
      </c>
      <c r="B1571" s="1">
        <v>45749</v>
      </c>
      <c r="C1571" t="s">
        <v>1295</v>
      </c>
      <c r="D1571" t="s">
        <v>40</v>
      </c>
      <c r="E1571" t="s">
        <v>61</v>
      </c>
      <c r="F1571" t="s">
        <v>71</v>
      </c>
      <c r="G1571" t="s">
        <v>201</v>
      </c>
      <c r="H1571" t="s">
        <v>84</v>
      </c>
      <c r="I1571" t="s">
        <v>138</v>
      </c>
      <c r="J1571" t="s">
        <v>139</v>
      </c>
      <c r="K1571">
        <v>1</v>
      </c>
      <c r="L1571">
        <v>12526.32</v>
      </c>
      <c r="M1571">
        <v>0.1</v>
      </c>
      <c r="N1571">
        <v>11273.69</v>
      </c>
      <c r="O1571">
        <v>8713.2900000000009</v>
      </c>
      <c r="P1571">
        <v>2560.4</v>
      </c>
      <c r="Q1571" t="s">
        <v>31</v>
      </c>
      <c r="R1571">
        <v>0.22711286189348831</v>
      </c>
      <c r="S1571">
        <v>2025</v>
      </c>
      <c r="T1571" t="s">
        <v>877</v>
      </c>
      <c r="U1571">
        <v>4</v>
      </c>
      <c r="V1571" t="s">
        <v>878</v>
      </c>
    </row>
    <row r="1572" spans="1:22" x14ac:dyDescent="0.3">
      <c r="A1572" t="s">
        <v>2559</v>
      </c>
      <c r="B1572" s="1">
        <v>45750</v>
      </c>
      <c r="C1572" t="s">
        <v>554</v>
      </c>
      <c r="D1572" t="s">
        <v>40</v>
      </c>
      <c r="E1572" t="s">
        <v>61</v>
      </c>
      <c r="F1572" t="s">
        <v>78</v>
      </c>
      <c r="G1572" t="s">
        <v>79</v>
      </c>
      <c r="H1572" t="s">
        <v>84</v>
      </c>
      <c r="I1572" t="s">
        <v>138</v>
      </c>
      <c r="J1572" t="s">
        <v>139</v>
      </c>
      <c r="K1572">
        <v>1</v>
      </c>
      <c r="L1572">
        <v>12537.09</v>
      </c>
      <c r="M1572">
        <v>0.2</v>
      </c>
      <c r="N1572">
        <v>10029.67</v>
      </c>
      <c r="O1572">
        <v>8673.1</v>
      </c>
      <c r="P1572">
        <v>1356.57</v>
      </c>
      <c r="Q1572" t="s">
        <v>53</v>
      </c>
      <c r="R1572">
        <v>0.1352556963489327</v>
      </c>
      <c r="S1572">
        <v>2025</v>
      </c>
      <c r="T1572" t="s">
        <v>877</v>
      </c>
      <c r="U1572">
        <v>4</v>
      </c>
      <c r="V1572" t="s">
        <v>878</v>
      </c>
    </row>
    <row r="1573" spans="1:22" x14ac:dyDescent="0.3">
      <c r="A1573" t="s">
        <v>2560</v>
      </c>
      <c r="B1573" s="1">
        <v>45750</v>
      </c>
      <c r="C1573" t="s">
        <v>230</v>
      </c>
      <c r="D1573" t="s">
        <v>497</v>
      </c>
      <c r="E1573" t="s">
        <v>120</v>
      </c>
      <c r="F1573" t="s">
        <v>121</v>
      </c>
      <c r="G1573" t="s">
        <v>224</v>
      </c>
      <c r="H1573" t="s">
        <v>84</v>
      </c>
      <c r="I1573" t="s">
        <v>85</v>
      </c>
      <c r="J1573" t="s">
        <v>86</v>
      </c>
      <c r="K1573">
        <v>1</v>
      </c>
      <c r="L1573">
        <v>1709.58</v>
      </c>
      <c r="M1573">
        <v>0.1</v>
      </c>
      <c r="N1573">
        <v>1538.62</v>
      </c>
      <c r="O1573">
        <v>928.62</v>
      </c>
      <c r="P1573">
        <v>610</v>
      </c>
      <c r="Q1573" t="s">
        <v>113</v>
      </c>
      <c r="R1573">
        <v>0.39645916470603532</v>
      </c>
      <c r="S1573">
        <v>2025</v>
      </c>
      <c r="T1573" t="s">
        <v>877</v>
      </c>
      <c r="U1573">
        <v>4</v>
      </c>
      <c r="V1573" t="s">
        <v>878</v>
      </c>
    </row>
    <row r="1574" spans="1:22" x14ac:dyDescent="0.3">
      <c r="A1574" t="s">
        <v>2561</v>
      </c>
      <c r="B1574" s="1">
        <v>45750</v>
      </c>
      <c r="C1574" t="s">
        <v>742</v>
      </c>
      <c r="D1574" t="s">
        <v>712</v>
      </c>
      <c r="E1574" t="s">
        <v>61</v>
      </c>
      <c r="F1574" t="s">
        <v>71</v>
      </c>
      <c r="G1574" t="s">
        <v>317</v>
      </c>
      <c r="H1574" t="s">
        <v>28</v>
      </c>
      <c r="I1574" t="s">
        <v>29</v>
      </c>
      <c r="J1574" t="s">
        <v>30</v>
      </c>
      <c r="K1574">
        <v>1</v>
      </c>
      <c r="L1574">
        <v>58243.58</v>
      </c>
      <c r="M1574">
        <v>0.05</v>
      </c>
      <c r="N1574">
        <v>55331.4</v>
      </c>
      <c r="O1574">
        <v>51337.71</v>
      </c>
      <c r="P1574">
        <v>3993.69</v>
      </c>
      <c r="Q1574" t="s">
        <v>67</v>
      </c>
      <c r="R1574">
        <v>7.2177642351359261E-2</v>
      </c>
      <c r="S1574">
        <v>2025</v>
      </c>
      <c r="T1574" t="s">
        <v>877</v>
      </c>
      <c r="U1574">
        <v>4</v>
      </c>
      <c r="V1574" t="s">
        <v>878</v>
      </c>
    </row>
    <row r="1575" spans="1:22" x14ac:dyDescent="0.3">
      <c r="A1575" t="s">
        <v>2562</v>
      </c>
      <c r="B1575" s="1">
        <v>45750</v>
      </c>
      <c r="C1575" t="s">
        <v>2399</v>
      </c>
      <c r="D1575" t="s">
        <v>894</v>
      </c>
      <c r="E1575" t="s">
        <v>25</v>
      </c>
      <c r="F1575" t="s">
        <v>26</v>
      </c>
      <c r="G1575" t="s">
        <v>171</v>
      </c>
      <c r="H1575" t="s">
        <v>64</v>
      </c>
      <c r="I1575" t="s">
        <v>108</v>
      </c>
      <c r="J1575" t="s">
        <v>109</v>
      </c>
      <c r="K1575">
        <v>1</v>
      </c>
      <c r="L1575">
        <v>6671.02</v>
      </c>
      <c r="M1575">
        <v>0</v>
      </c>
      <c r="N1575">
        <v>6671.02</v>
      </c>
      <c r="O1575">
        <v>4131.24</v>
      </c>
      <c r="P1575">
        <v>2539.7800000000002</v>
      </c>
      <c r="Q1575" t="s">
        <v>46</v>
      </c>
      <c r="R1575">
        <v>0.38071839089074833</v>
      </c>
      <c r="S1575">
        <v>2025</v>
      </c>
      <c r="T1575" t="s">
        <v>877</v>
      </c>
      <c r="U1575">
        <v>4</v>
      </c>
      <c r="V1575" t="s">
        <v>878</v>
      </c>
    </row>
    <row r="1576" spans="1:22" x14ac:dyDescent="0.3">
      <c r="A1576" t="s">
        <v>2563</v>
      </c>
      <c r="B1576" s="1">
        <v>45751</v>
      </c>
      <c r="C1576" t="s">
        <v>291</v>
      </c>
      <c r="D1576" t="s">
        <v>471</v>
      </c>
      <c r="E1576" t="s">
        <v>61</v>
      </c>
      <c r="F1576" t="s">
        <v>71</v>
      </c>
      <c r="G1576" t="s">
        <v>100</v>
      </c>
      <c r="H1576" t="s">
        <v>43</v>
      </c>
      <c r="I1576" t="s">
        <v>51</v>
      </c>
      <c r="J1576" t="s">
        <v>52</v>
      </c>
      <c r="K1576">
        <v>4</v>
      </c>
      <c r="L1576">
        <v>700.42</v>
      </c>
      <c r="M1576">
        <v>0.05</v>
      </c>
      <c r="N1576">
        <v>2661.6</v>
      </c>
      <c r="O1576">
        <v>1328</v>
      </c>
      <c r="P1576">
        <v>1333.6</v>
      </c>
      <c r="Q1576" t="s">
        <v>53</v>
      </c>
      <c r="R1576">
        <v>0.50105199879771567</v>
      </c>
      <c r="S1576">
        <v>2025</v>
      </c>
      <c r="T1576" t="s">
        <v>877</v>
      </c>
      <c r="U1576">
        <v>4</v>
      </c>
      <c r="V1576" t="s">
        <v>878</v>
      </c>
    </row>
    <row r="1577" spans="1:22" x14ac:dyDescent="0.3">
      <c r="A1577" t="s">
        <v>2564</v>
      </c>
      <c r="B1577" s="1">
        <v>45751</v>
      </c>
      <c r="C1577" t="s">
        <v>603</v>
      </c>
      <c r="D1577" t="s">
        <v>547</v>
      </c>
      <c r="E1577" t="s">
        <v>61</v>
      </c>
      <c r="F1577" t="s">
        <v>71</v>
      </c>
      <c r="G1577" t="s">
        <v>100</v>
      </c>
      <c r="H1577" t="s">
        <v>28</v>
      </c>
      <c r="I1577" t="s">
        <v>73</v>
      </c>
      <c r="J1577" t="s">
        <v>80</v>
      </c>
      <c r="K1577">
        <v>5</v>
      </c>
      <c r="L1577">
        <v>791.46</v>
      </c>
      <c r="M1577">
        <v>0.1</v>
      </c>
      <c r="N1577">
        <v>3561.57</v>
      </c>
      <c r="O1577">
        <v>2440.63</v>
      </c>
      <c r="P1577">
        <v>1120.94</v>
      </c>
      <c r="Q1577" t="s">
        <v>46</v>
      </c>
      <c r="R1577">
        <v>0.31473198617463649</v>
      </c>
      <c r="S1577">
        <v>2025</v>
      </c>
      <c r="T1577" t="s">
        <v>877</v>
      </c>
      <c r="U1577">
        <v>4</v>
      </c>
      <c r="V1577" t="s">
        <v>878</v>
      </c>
    </row>
    <row r="1578" spans="1:22" x14ac:dyDescent="0.3">
      <c r="A1578" t="s">
        <v>2565</v>
      </c>
      <c r="B1578" s="1">
        <v>45751</v>
      </c>
      <c r="C1578" t="s">
        <v>1492</v>
      </c>
      <c r="D1578" t="s">
        <v>1172</v>
      </c>
      <c r="E1578" t="s">
        <v>61</v>
      </c>
      <c r="F1578" t="s">
        <v>78</v>
      </c>
      <c r="G1578" t="s">
        <v>104</v>
      </c>
      <c r="H1578" t="s">
        <v>64</v>
      </c>
      <c r="I1578" t="s">
        <v>65</v>
      </c>
      <c r="J1578" t="s">
        <v>232</v>
      </c>
      <c r="K1578">
        <v>2</v>
      </c>
      <c r="L1578">
        <v>4001.68</v>
      </c>
      <c r="M1578">
        <v>0</v>
      </c>
      <c r="N1578">
        <v>8003.36</v>
      </c>
      <c r="O1578">
        <v>4904.6400000000003</v>
      </c>
      <c r="P1578">
        <v>3098.72</v>
      </c>
      <c r="Q1578" t="s">
        <v>31</v>
      </c>
      <c r="R1578">
        <v>0.38717738549809078</v>
      </c>
      <c r="S1578">
        <v>2025</v>
      </c>
      <c r="T1578" t="s">
        <v>877</v>
      </c>
      <c r="U1578">
        <v>4</v>
      </c>
      <c r="V1578" t="s">
        <v>878</v>
      </c>
    </row>
    <row r="1579" spans="1:22" x14ac:dyDescent="0.3">
      <c r="A1579" t="s">
        <v>2566</v>
      </c>
      <c r="B1579" s="1">
        <v>45751</v>
      </c>
      <c r="C1579" t="s">
        <v>1342</v>
      </c>
      <c r="D1579" t="s">
        <v>382</v>
      </c>
      <c r="E1579" t="s">
        <v>120</v>
      </c>
      <c r="F1579" t="s">
        <v>121</v>
      </c>
      <c r="G1579" t="s">
        <v>122</v>
      </c>
      <c r="H1579" t="s">
        <v>28</v>
      </c>
      <c r="I1579" t="s">
        <v>73</v>
      </c>
      <c r="J1579" t="s">
        <v>74</v>
      </c>
      <c r="K1579">
        <v>4</v>
      </c>
      <c r="L1579">
        <v>2486.09</v>
      </c>
      <c r="M1579">
        <v>0</v>
      </c>
      <c r="N1579">
        <v>9944.36</v>
      </c>
      <c r="O1579">
        <v>5466.21</v>
      </c>
      <c r="P1579">
        <v>4478.1499999999996</v>
      </c>
      <c r="Q1579" t="s">
        <v>53</v>
      </c>
      <c r="R1579">
        <v>0.45032058372786182</v>
      </c>
      <c r="S1579">
        <v>2025</v>
      </c>
      <c r="T1579" t="s">
        <v>877</v>
      </c>
      <c r="U1579">
        <v>4</v>
      </c>
      <c r="V1579" t="s">
        <v>878</v>
      </c>
    </row>
    <row r="1580" spans="1:22" x14ac:dyDescent="0.3">
      <c r="A1580" t="s">
        <v>2567</v>
      </c>
      <c r="B1580" s="1">
        <v>45752</v>
      </c>
      <c r="C1580" t="s">
        <v>2568</v>
      </c>
      <c r="D1580" t="s">
        <v>575</v>
      </c>
      <c r="E1580" t="s">
        <v>61</v>
      </c>
      <c r="F1580" t="s">
        <v>78</v>
      </c>
      <c r="G1580" t="s">
        <v>79</v>
      </c>
      <c r="H1580" t="s">
        <v>28</v>
      </c>
      <c r="I1580" t="s">
        <v>29</v>
      </c>
      <c r="J1580" t="s">
        <v>57</v>
      </c>
      <c r="K1580">
        <v>1</v>
      </c>
      <c r="L1580">
        <v>15451.73</v>
      </c>
      <c r="M1580">
        <v>0.1</v>
      </c>
      <c r="N1580">
        <v>13906.56</v>
      </c>
      <c r="O1580">
        <v>12016.83</v>
      </c>
      <c r="P1580">
        <v>1889.73</v>
      </c>
      <c r="Q1580" t="s">
        <v>53</v>
      </c>
      <c r="R1580">
        <v>0.13588766740300981</v>
      </c>
      <c r="S1580">
        <v>2025</v>
      </c>
      <c r="T1580" t="s">
        <v>877</v>
      </c>
      <c r="U1580">
        <v>4</v>
      </c>
      <c r="V1580" t="s">
        <v>878</v>
      </c>
    </row>
    <row r="1581" spans="1:22" x14ac:dyDescent="0.3">
      <c r="A1581" t="s">
        <v>2569</v>
      </c>
      <c r="B1581" s="1">
        <v>45752</v>
      </c>
      <c r="C1581" t="s">
        <v>677</v>
      </c>
      <c r="D1581" t="s">
        <v>313</v>
      </c>
      <c r="E1581" t="s">
        <v>25</v>
      </c>
      <c r="F1581" t="s">
        <v>26</v>
      </c>
      <c r="G1581" t="s">
        <v>171</v>
      </c>
      <c r="H1581" t="s">
        <v>84</v>
      </c>
      <c r="I1581" t="s">
        <v>85</v>
      </c>
      <c r="J1581" t="s">
        <v>86</v>
      </c>
      <c r="K1581">
        <v>4</v>
      </c>
      <c r="L1581">
        <v>1827.29</v>
      </c>
      <c r="M1581">
        <v>0.05</v>
      </c>
      <c r="N1581">
        <v>6943.7</v>
      </c>
      <c r="O1581">
        <v>3837.61</v>
      </c>
      <c r="P1581">
        <v>3106.09</v>
      </c>
      <c r="Q1581" t="s">
        <v>46</v>
      </c>
      <c r="R1581">
        <v>0.44732491323069828</v>
      </c>
      <c r="S1581">
        <v>2025</v>
      </c>
      <c r="T1581" t="s">
        <v>877</v>
      </c>
      <c r="U1581">
        <v>4</v>
      </c>
      <c r="V1581" t="s">
        <v>878</v>
      </c>
    </row>
    <row r="1582" spans="1:22" x14ac:dyDescent="0.3">
      <c r="A1582" t="s">
        <v>2570</v>
      </c>
      <c r="B1582" s="1">
        <v>45752</v>
      </c>
      <c r="C1582" t="s">
        <v>218</v>
      </c>
      <c r="D1582" t="s">
        <v>626</v>
      </c>
      <c r="E1582" t="s">
        <v>25</v>
      </c>
      <c r="F1582" t="s">
        <v>26</v>
      </c>
      <c r="G1582" t="s">
        <v>171</v>
      </c>
      <c r="H1582" t="s">
        <v>64</v>
      </c>
      <c r="I1582" t="s">
        <v>65</v>
      </c>
      <c r="J1582" t="s">
        <v>66</v>
      </c>
      <c r="K1582">
        <v>1</v>
      </c>
      <c r="L1582">
        <v>4763.8</v>
      </c>
      <c r="M1582">
        <v>0.2</v>
      </c>
      <c r="N1582">
        <v>3811.04</v>
      </c>
      <c r="O1582">
        <v>2928.71</v>
      </c>
      <c r="P1582">
        <v>882.33</v>
      </c>
      <c r="Q1582" t="s">
        <v>67</v>
      </c>
      <c r="R1582">
        <v>0.23151948024686181</v>
      </c>
      <c r="S1582">
        <v>2025</v>
      </c>
      <c r="T1582" t="s">
        <v>877</v>
      </c>
      <c r="U1582">
        <v>4</v>
      </c>
      <c r="V1582" t="s">
        <v>878</v>
      </c>
    </row>
    <row r="1583" spans="1:22" x14ac:dyDescent="0.3">
      <c r="A1583" t="s">
        <v>2571</v>
      </c>
      <c r="B1583" s="1">
        <v>45753</v>
      </c>
      <c r="C1583" t="s">
        <v>397</v>
      </c>
      <c r="D1583" t="s">
        <v>99</v>
      </c>
      <c r="E1583" t="s">
        <v>25</v>
      </c>
      <c r="F1583" t="s">
        <v>26</v>
      </c>
      <c r="G1583" t="s">
        <v>27</v>
      </c>
      <c r="H1583" t="s">
        <v>64</v>
      </c>
      <c r="I1583" t="s">
        <v>65</v>
      </c>
      <c r="J1583" t="s">
        <v>232</v>
      </c>
      <c r="K1583">
        <v>3</v>
      </c>
      <c r="L1583">
        <v>3899.72</v>
      </c>
      <c r="M1583">
        <v>0.05</v>
      </c>
      <c r="N1583">
        <v>11114.2</v>
      </c>
      <c r="O1583">
        <v>7210.73</v>
      </c>
      <c r="P1583">
        <v>3903.47</v>
      </c>
      <c r="Q1583" t="s">
        <v>53</v>
      </c>
      <c r="R1583">
        <v>0.35121466232387388</v>
      </c>
      <c r="S1583">
        <v>2025</v>
      </c>
      <c r="T1583" t="s">
        <v>877</v>
      </c>
      <c r="U1583">
        <v>4</v>
      </c>
      <c r="V1583" t="s">
        <v>878</v>
      </c>
    </row>
    <row r="1584" spans="1:22" x14ac:dyDescent="0.3">
      <c r="A1584" t="s">
        <v>2572</v>
      </c>
      <c r="B1584" s="1">
        <v>45753</v>
      </c>
      <c r="C1584" t="s">
        <v>1757</v>
      </c>
      <c r="D1584" t="s">
        <v>354</v>
      </c>
      <c r="E1584" t="s">
        <v>61</v>
      </c>
      <c r="F1584" t="s">
        <v>62</v>
      </c>
      <c r="G1584" t="s">
        <v>134</v>
      </c>
      <c r="H1584" t="s">
        <v>43</v>
      </c>
      <c r="I1584" t="s">
        <v>51</v>
      </c>
      <c r="J1584" t="s">
        <v>52</v>
      </c>
      <c r="K1584">
        <v>2</v>
      </c>
      <c r="L1584">
        <v>713.42</v>
      </c>
      <c r="M1584">
        <v>0.1</v>
      </c>
      <c r="N1584">
        <v>1284.1600000000001</v>
      </c>
      <c r="O1584">
        <v>695.32</v>
      </c>
      <c r="P1584">
        <v>588.84</v>
      </c>
      <c r="Q1584" t="s">
        <v>113</v>
      </c>
      <c r="R1584">
        <v>0.45854099177672558</v>
      </c>
      <c r="S1584">
        <v>2025</v>
      </c>
      <c r="T1584" t="s">
        <v>877</v>
      </c>
      <c r="U1584">
        <v>4</v>
      </c>
      <c r="V1584" t="s">
        <v>878</v>
      </c>
    </row>
    <row r="1585" spans="1:22" x14ac:dyDescent="0.3">
      <c r="A1585" t="s">
        <v>2573</v>
      </c>
      <c r="B1585" s="1">
        <v>45753</v>
      </c>
      <c r="C1585" t="s">
        <v>1157</v>
      </c>
      <c r="D1585" t="s">
        <v>594</v>
      </c>
      <c r="E1585" t="s">
        <v>120</v>
      </c>
      <c r="F1585" t="s">
        <v>121</v>
      </c>
      <c r="G1585" t="s">
        <v>130</v>
      </c>
      <c r="H1585" t="s">
        <v>28</v>
      </c>
      <c r="I1585" t="s">
        <v>91</v>
      </c>
      <c r="J1585" t="s">
        <v>92</v>
      </c>
      <c r="K1585">
        <v>1</v>
      </c>
      <c r="L1585">
        <v>2981.27</v>
      </c>
      <c r="M1585">
        <v>0.1</v>
      </c>
      <c r="N1585">
        <v>2683.14</v>
      </c>
      <c r="O1585">
        <v>1581.43</v>
      </c>
      <c r="P1585">
        <v>1101.71</v>
      </c>
      <c r="Q1585" t="s">
        <v>31</v>
      </c>
      <c r="R1585">
        <v>0.4106047392234472</v>
      </c>
      <c r="S1585">
        <v>2025</v>
      </c>
      <c r="T1585" t="s">
        <v>877</v>
      </c>
      <c r="U1585">
        <v>4</v>
      </c>
      <c r="V1585" t="s">
        <v>878</v>
      </c>
    </row>
    <row r="1586" spans="1:22" x14ac:dyDescent="0.3">
      <c r="A1586" t="s">
        <v>2574</v>
      </c>
      <c r="B1586" s="1">
        <v>45754</v>
      </c>
      <c r="C1586" t="s">
        <v>1184</v>
      </c>
      <c r="D1586" t="s">
        <v>301</v>
      </c>
      <c r="E1586" t="s">
        <v>61</v>
      </c>
      <c r="F1586" t="s">
        <v>78</v>
      </c>
      <c r="G1586" t="s">
        <v>79</v>
      </c>
      <c r="H1586" t="s">
        <v>43</v>
      </c>
      <c r="I1586" t="s">
        <v>51</v>
      </c>
      <c r="J1586" t="s">
        <v>52</v>
      </c>
      <c r="K1586">
        <v>2</v>
      </c>
      <c r="L1586">
        <v>674.02</v>
      </c>
      <c r="M1586">
        <v>0</v>
      </c>
      <c r="N1586">
        <v>1348.04</v>
      </c>
      <c r="O1586">
        <v>626.98</v>
      </c>
      <c r="P1586">
        <v>721.06</v>
      </c>
      <c r="Q1586" t="s">
        <v>53</v>
      </c>
      <c r="R1586">
        <v>0.53489510697011955</v>
      </c>
      <c r="S1586">
        <v>2025</v>
      </c>
      <c r="T1586" t="s">
        <v>877</v>
      </c>
      <c r="U1586">
        <v>4</v>
      </c>
      <c r="V1586" t="s">
        <v>878</v>
      </c>
    </row>
    <row r="1587" spans="1:22" x14ac:dyDescent="0.3">
      <c r="A1587" t="s">
        <v>2575</v>
      </c>
      <c r="B1587" s="1">
        <v>45754</v>
      </c>
      <c r="C1587" t="s">
        <v>1037</v>
      </c>
      <c r="D1587" t="s">
        <v>103</v>
      </c>
      <c r="E1587" t="s">
        <v>120</v>
      </c>
      <c r="F1587" t="s">
        <v>121</v>
      </c>
      <c r="G1587" t="s">
        <v>224</v>
      </c>
      <c r="H1587" t="s">
        <v>84</v>
      </c>
      <c r="I1587" t="s">
        <v>138</v>
      </c>
      <c r="J1587" t="s">
        <v>220</v>
      </c>
      <c r="K1587">
        <v>3</v>
      </c>
      <c r="L1587">
        <v>7476.95</v>
      </c>
      <c r="M1587">
        <v>0.1</v>
      </c>
      <c r="N1587">
        <v>20187.759999999998</v>
      </c>
      <c r="O1587">
        <v>14798.61</v>
      </c>
      <c r="P1587">
        <v>5389.15</v>
      </c>
      <c r="Q1587" t="s">
        <v>67</v>
      </c>
      <c r="R1587">
        <v>0.26695136062643898</v>
      </c>
      <c r="S1587">
        <v>2025</v>
      </c>
      <c r="T1587" t="s">
        <v>877</v>
      </c>
      <c r="U1587">
        <v>4</v>
      </c>
      <c r="V1587" t="s">
        <v>878</v>
      </c>
    </row>
    <row r="1588" spans="1:22" x14ac:dyDescent="0.3">
      <c r="A1588" t="s">
        <v>2576</v>
      </c>
      <c r="B1588" s="1">
        <v>45754</v>
      </c>
      <c r="C1588" t="s">
        <v>764</v>
      </c>
      <c r="D1588" t="s">
        <v>510</v>
      </c>
      <c r="E1588" t="s">
        <v>61</v>
      </c>
      <c r="F1588" t="s">
        <v>71</v>
      </c>
      <c r="G1588" t="s">
        <v>317</v>
      </c>
      <c r="H1588" t="s">
        <v>64</v>
      </c>
      <c r="I1588" t="s">
        <v>108</v>
      </c>
      <c r="J1588" t="s">
        <v>109</v>
      </c>
      <c r="K1588">
        <v>2</v>
      </c>
      <c r="L1588">
        <v>6725.09</v>
      </c>
      <c r="M1588">
        <v>0.2</v>
      </c>
      <c r="N1588">
        <v>10760.14</v>
      </c>
      <c r="O1588">
        <v>8907.92</v>
      </c>
      <c r="P1588">
        <v>1852.22</v>
      </c>
      <c r="Q1588" t="s">
        <v>53</v>
      </c>
      <c r="R1588">
        <v>0.1721371655015641</v>
      </c>
      <c r="S1588">
        <v>2025</v>
      </c>
      <c r="T1588" t="s">
        <v>877</v>
      </c>
      <c r="U1588">
        <v>4</v>
      </c>
      <c r="V1588" t="s">
        <v>878</v>
      </c>
    </row>
    <row r="1589" spans="1:22" x14ac:dyDescent="0.3">
      <c r="A1589" t="s">
        <v>2577</v>
      </c>
      <c r="B1589" s="1">
        <v>45754</v>
      </c>
      <c r="C1589" t="s">
        <v>2568</v>
      </c>
      <c r="D1589" t="s">
        <v>446</v>
      </c>
      <c r="E1589" t="s">
        <v>61</v>
      </c>
      <c r="F1589" t="s">
        <v>62</v>
      </c>
      <c r="G1589" t="s">
        <v>90</v>
      </c>
      <c r="H1589" t="s">
        <v>64</v>
      </c>
      <c r="I1589" t="s">
        <v>108</v>
      </c>
      <c r="J1589" t="s">
        <v>155</v>
      </c>
      <c r="K1589">
        <v>2</v>
      </c>
      <c r="L1589">
        <v>8544.7800000000007</v>
      </c>
      <c r="M1589">
        <v>0.15</v>
      </c>
      <c r="N1589">
        <v>14526.13</v>
      </c>
      <c r="O1589">
        <v>11541.99</v>
      </c>
      <c r="P1589">
        <v>2984.14</v>
      </c>
      <c r="Q1589" t="s">
        <v>67</v>
      </c>
      <c r="R1589">
        <v>0.20543255498883739</v>
      </c>
      <c r="S1589">
        <v>2025</v>
      </c>
      <c r="T1589" t="s">
        <v>877</v>
      </c>
      <c r="U1589">
        <v>4</v>
      </c>
      <c r="V1589" t="s">
        <v>878</v>
      </c>
    </row>
    <row r="1590" spans="1:22" x14ac:dyDescent="0.3">
      <c r="A1590" t="s">
        <v>2578</v>
      </c>
      <c r="B1590" s="1">
        <v>45754</v>
      </c>
      <c r="C1590" t="s">
        <v>118</v>
      </c>
      <c r="D1590" t="s">
        <v>1530</v>
      </c>
      <c r="E1590" t="s">
        <v>61</v>
      </c>
      <c r="F1590" t="s">
        <v>71</v>
      </c>
      <c r="G1590" t="s">
        <v>100</v>
      </c>
      <c r="H1590" t="s">
        <v>64</v>
      </c>
      <c r="I1590" t="s">
        <v>108</v>
      </c>
      <c r="J1590" t="s">
        <v>109</v>
      </c>
      <c r="K1590">
        <v>2</v>
      </c>
      <c r="L1590">
        <v>6941.18</v>
      </c>
      <c r="M1590">
        <v>0.1</v>
      </c>
      <c r="N1590">
        <v>12494.12</v>
      </c>
      <c r="O1590">
        <v>8954.49</v>
      </c>
      <c r="P1590">
        <v>3539.63</v>
      </c>
      <c r="Q1590" t="s">
        <v>31</v>
      </c>
      <c r="R1590">
        <v>0.28330366604450741</v>
      </c>
      <c r="S1590">
        <v>2025</v>
      </c>
      <c r="T1590" t="s">
        <v>877</v>
      </c>
      <c r="U1590">
        <v>4</v>
      </c>
      <c r="V1590" t="s">
        <v>878</v>
      </c>
    </row>
    <row r="1591" spans="1:22" x14ac:dyDescent="0.3">
      <c r="A1591" t="s">
        <v>2579</v>
      </c>
      <c r="B1591" s="1">
        <v>45754</v>
      </c>
      <c r="C1591" t="s">
        <v>956</v>
      </c>
      <c r="D1591" t="s">
        <v>957</v>
      </c>
      <c r="E1591" t="s">
        <v>25</v>
      </c>
      <c r="F1591" t="s">
        <v>26</v>
      </c>
      <c r="G1591" t="s">
        <v>260</v>
      </c>
      <c r="H1591" t="s">
        <v>43</v>
      </c>
      <c r="I1591" t="s">
        <v>44</v>
      </c>
      <c r="J1591" t="s">
        <v>248</v>
      </c>
      <c r="K1591">
        <v>5</v>
      </c>
      <c r="L1591">
        <v>315.99</v>
      </c>
      <c r="M1591">
        <v>0.1</v>
      </c>
      <c r="N1591">
        <v>1421.96</v>
      </c>
      <c r="O1591">
        <v>683.29</v>
      </c>
      <c r="P1591">
        <v>738.67</v>
      </c>
      <c r="Q1591" t="s">
        <v>31</v>
      </c>
      <c r="R1591">
        <v>0.51947312160679626</v>
      </c>
      <c r="S1591">
        <v>2025</v>
      </c>
      <c r="T1591" t="s">
        <v>877</v>
      </c>
      <c r="U1591">
        <v>4</v>
      </c>
      <c r="V1591" t="s">
        <v>878</v>
      </c>
    </row>
    <row r="1592" spans="1:22" x14ac:dyDescent="0.3">
      <c r="A1592" t="s">
        <v>2580</v>
      </c>
      <c r="B1592" s="1">
        <v>45754</v>
      </c>
      <c r="C1592" t="s">
        <v>586</v>
      </c>
      <c r="D1592" t="s">
        <v>2550</v>
      </c>
      <c r="E1592" t="s">
        <v>61</v>
      </c>
      <c r="F1592" t="s">
        <v>71</v>
      </c>
      <c r="G1592" t="s">
        <v>72</v>
      </c>
      <c r="H1592" t="s">
        <v>84</v>
      </c>
      <c r="I1592" t="s">
        <v>85</v>
      </c>
      <c r="J1592" t="s">
        <v>145</v>
      </c>
      <c r="K1592">
        <v>2</v>
      </c>
      <c r="L1592">
        <v>3227.41</v>
      </c>
      <c r="M1592">
        <v>0.15</v>
      </c>
      <c r="N1592">
        <v>5486.6</v>
      </c>
      <c r="O1592">
        <v>3745.82</v>
      </c>
      <c r="P1592">
        <v>1740.78</v>
      </c>
      <c r="Q1592" t="s">
        <v>53</v>
      </c>
      <c r="R1592">
        <v>0.31727846024860568</v>
      </c>
      <c r="S1592">
        <v>2025</v>
      </c>
      <c r="T1592" t="s">
        <v>877</v>
      </c>
      <c r="U1592">
        <v>4</v>
      </c>
      <c r="V1592" t="s">
        <v>878</v>
      </c>
    </row>
    <row r="1593" spans="1:22" x14ac:dyDescent="0.3">
      <c r="A1593" t="s">
        <v>2581</v>
      </c>
      <c r="B1593" s="1">
        <v>45754</v>
      </c>
      <c r="C1593" t="s">
        <v>1357</v>
      </c>
      <c r="D1593" t="s">
        <v>604</v>
      </c>
      <c r="E1593" t="s">
        <v>61</v>
      </c>
      <c r="F1593" t="s">
        <v>78</v>
      </c>
      <c r="G1593" t="s">
        <v>216</v>
      </c>
      <c r="H1593" t="s">
        <v>64</v>
      </c>
      <c r="I1593" t="s">
        <v>108</v>
      </c>
      <c r="J1593" t="s">
        <v>155</v>
      </c>
      <c r="K1593">
        <v>6</v>
      </c>
      <c r="L1593">
        <v>8176.65</v>
      </c>
      <c r="M1593">
        <v>0.05</v>
      </c>
      <c r="N1593">
        <v>46606.9</v>
      </c>
      <c r="O1593">
        <v>32778.300000000003</v>
      </c>
      <c r="P1593">
        <v>13828.6</v>
      </c>
      <c r="Q1593" t="s">
        <v>31</v>
      </c>
      <c r="R1593">
        <v>0.29670713992992448</v>
      </c>
      <c r="S1593">
        <v>2025</v>
      </c>
      <c r="T1593" t="s">
        <v>877</v>
      </c>
      <c r="U1593">
        <v>4</v>
      </c>
      <c r="V1593" t="s">
        <v>878</v>
      </c>
    </row>
    <row r="1594" spans="1:22" x14ac:dyDescent="0.3">
      <c r="A1594" t="s">
        <v>2582</v>
      </c>
      <c r="B1594" s="1">
        <v>45754</v>
      </c>
      <c r="C1594" t="s">
        <v>1043</v>
      </c>
      <c r="D1594" t="s">
        <v>273</v>
      </c>
      <c r="E1594" t="s">
        <v>120</v>
      </c>
      <c r="F1594" t="s">
        <v>121</v>
      </c>
      <c r="G1594" t="s">
        <v>122</v>
      </c>
      <c r="H1594" t="s">
        <v>84</v>
      </c>
      <c r="I1594" t="s">
        <v>138</v>
      </c>
      <c r="J1594" t="s">
        <v>139</v>
      </c>
      <c r="K1594">
        <v>5</v>
      </c>
      <c r="L1594">
        <v>12250.55</v>
      </c>
      <c r="M1594">
        <v>0.05</v>
      </c>
      <c r="N1594">
        <v>58190.11</v>
      </c>
      <c r="O1594">
        <v>44468.82</v>
      </c>
      <c r="P1594">
        <v>13721.29</v>
      </c>
      <c r="Q1594" t="s">
        <v>53</v>
      </c>
      <c r="R1594">
        <v>0.23580106653862659</v>
      </c>
      <c r="S1594">
        <v>2025</v>
      </c>
      <c r="T1594" t="s">
        <v>877</v>
      </c>
      <c r="U1594">
        <v>4</v>
      </c>
      <c r="V1594" t="s">
        <v>878</v>
      </c>
    </row>
    <row r="1595" spans="1:22" x14ac:dyDescent="0.3">
      <c r="A1595" t="s">
        <v>2583</v>
      </c>
      <c r="B1595" s="1">
        <v>45755</v>
      </c>
      <c r="C1595" t="s">
        <v>504</v>
      </c>
      <c r="D1595" t="s">
        <v>285</v>
      </c>
      <c r="E1595" t="s">
        <v>120</v>
      </c>
      <c r="F1595" t="s">
        <v>121</v>
      </c>
      <c r="G1595" t="s">
        <v>130</v>
      </c>
      <c r="H1595" t="s">
        <v>43</v>
      </c>
      <c r="I1595" t="s">
        <v>51</v>
      </c>
      <c r="J1595" t="s">
        <v>96</v>
      </c>
      <c r="K1595">
        <v>1</v>
      </c>
      <c r="L1595">
        <v>506.37</v>
      </c>
      <c r="M1595">
        <v>0.05</v>
      </c>
      <c r="N1595">
        <v>481.05</v>
      </c>
      <c r="O1595">
        <v>231.74</v>
      </c>
      <c r="P1595">
        <v>249.31</v>
      </c>
      <c r="Q1595" t="s">
        <v>46</v>
      </c>
      <c r="R1595">
        <v>0.51826213491321071</v>
      </c>
      <c r="S1595">
        <v>2025</v>
      </c>
      <c r="T1595" t="s">
        <v>877</v>
      </c>
      <c r="U1595">
        <v>4</v>
      </c>
      <c r="V1595" t="s">
        <v>878</v>
      </c>
    </row>
    <row r="1596" spans="1:22" x14ac:dyDescent="0.3">
      <c r="A1596" t="s">
        <v>2584</v>
      </c>
      <c r="B1596" s="1">
        <v>45755</v>
      </c>
      <c r="C1596" t="s">
        <v>336</v>
      </c>
      <c r="D1596" t="s">
        <v>116</v>
      </c>
      <c r="E1596" t="s">
        <v>120</v>
      </c>
      <c r="F1596" t="s">
        <v>121</v>
      </c>
      <c r="G1596" t="s">
        <v>224</v>
      </c>
      <c r="H1596" t="s">
        <v>64</v>
      </c>
      <c r="I1596" t="s">
        <v>108</v>
      </c>
      <c r="J1596" t="s">
        <v>109</v>
      </c>
      <c r="K1596">
        <v>5</v>
      </c>
      <c r="L1596">
        <v>7240.33</v>
      </c>
      <c r="M1596">
        <v>0.05</v>
      </c>
      <c r="N1596">
        <v>34391.57</v>
      </c>
      <c r="O1596">
        <v>24013.03</v>
      </c>
      <c r="P1596">
        <v>10378.540000000001</v>
      </c>
      <c r="Q1596" t="s">
        <v>31</v>
      </c>
      <c r="R1596">
        <v>0.30177569677685551</v>
      </c>
      <c r="S1596">
        <v>2025</v>
      </c>
      <c r="T1596" t="s">
        <v>877</v>
      </c>
      <c r="U1596">
        <v>4</v>
      </c>
      <c r="V1596" t="s">
        <v>878</v>
      </c>
    </row>
    <row r="1597" spans="1:22" x14ac:dyDescent="0.3">
      <c r="A1597" t="s">
        <v>2585</v>
      </c>
      <c r="B1597" s="1">
        <v>45755</v>
      </c>
      <c r="C1597" t="s">
        <v>303</v>
      </c>
      <c r="D1597" t="s">
        <v>2012</v>
      </c>
      <c r="E1597" t="s">
        <v>120</v>
      </c>
      <c r="F1597" t="s">
        <v>121</v>
      </c>
      <c r="G1597" t="s">
        <v>224</v>
      </c>
      <c r="H1597" t="s">
        <v>64</v>
      </c>
      <c r="I1597" t="s">
        <v>108</v>
      </c>
      <c r="J1597" t="s">
        <v>155</v>
      </c>
      <c r="K1597">
        <v>2</v>
      </c>
      <c r="L1597">
        <v>8930.99</v>
      </c>
      <c r="M1597">
        <v>0</v>
      </c>
      <c r="N1597">
        <v>17861.98</v>
      </c>
      <c r="O1597">
        <v>12124.23</v>
      </c>
      <c r="P1597">
        <v>5737.75</v>
      </c>
      <c r="Q1597" t="s">
        <v>113</v>
      </c>
      <c r="R1597">
        <v>0.32122698603402311</v>
      </c>
      <c r="S1597">
        <v>2025</v>
      </c>
      <c r="T1597" t="s">
        <v>877</v>
      </c>
      <c r="U1597">
        <v>4</v>
      </c>
      <c r="V1597" t="s">
        <v>878</v>
      </c>
    </row>
    <row r="1598" spans="1:22" x14ac:dyDescent="0.3">
      <c r="A1598" t="s">
        <v>2586</v>
      </c>
      <c r="B1598" s="1">
        <v>45755</v>
      </c>
      <c r="C1598" t="s">
        <v>939</v>
      </c>
      <c r="D1598" t="s">
        <v>316</v>
      </c>
      <c r="E1598" t="s">
        <v>120</v>
      </c>
      <c r="F1598" t="s">
        <v>121</v>
      </c>
      <c r="G1598" t="s">
        <v>224</v>
      </c>
      <c r="H1598" t="s">
        <v>84</v>
      </c>
      <c r="I1598" t="s">
        <v>85</v>
      </c>
      <c r="J1598" t="s">
        <v>86</v>
      </c>
      <c r="K1598">
        <v>2</v>
      </c>
      <c r="L1598">
        <v>1698.81</v>
      </c>
      <c r="M1598">
        <v>0.05</v>
      </c>
      <c r="N1598">
        <v>3227.74</v>
      </c>
      <c r="O1598">
        <v>1839.79</v>
      </c>
      <c r="P1598">
        <v>1387.95</v>
      </c>
      <c r="Q1598" t="s">
        <v>31</v>
      </c>
      <c r="R1598">
        <v>0.43000675395168142</v>
      </c>
      <c r="S1598">
        <v>2025</v>
      </c>
      <c r="T1598" t="s">
        <v>877</v>
      </c>
      <c r="U1598">
        <v>4</v>
      </c>
      <c r="V1598" t="s">
        <v>878</v>
      </c>
    </row>
    <row r="1599" spans="1:22" x14ac:dyDescent="0.3">
      <c r="A1599" t="s">
        <v>2587</v>
      </c>
      <c r="B1599" s="1">
        <v>45755</v>
      </c>
      <c r="C1599" t="s">
        <v>874</v>
      </c>
      <c r="D1599" t="s">
        <v>544</v>
      </c>
      <c r="E1599" t="s">
        <v>61</v>
      </c>
      <c r="F1599" t="s">
        <v>71</v>
      </c>
      <c r="G1599" t="s">
        <v>317</v>
      </c>
      <c r="H1599" t="s">
        <v>64</v>
      </c>
      <c r="I1599" t="s">
        <v>108</v>
      </c>
      <c r="J1599" t="s">
        <v>109</v>
      </c>
      <c r="K1599">
        <v>2</v>
      </c>
      <c r="L1599">
        <v>6648.93</v>
      </c>
      <c r="M1599">
        <v>0.2</v>
      </c>
      <c r="N1599">
        <v>10638.29</v>
      </c>
      <c r="O1599">
        <v>8708.4500000000007</v>
      </c>
      <c r="P1599">
        <v>1929.84</v>
      </c>
      <c r="Q1599" t="s">
        <v>113</v>
      </c>
      <c r="R1599">
        <v>0.18140509423976969</v>
      </c>
      <c r="S1599">
        <v>2025</v>
      </c>
      <c r="T1599" t="s">
        <v>877</v>
      </c>
      <c r="U1599">
        <v>4</v>
      </c>
      <c r="V1599" t="s">
        <v>878</v>
      </c>
    </row>
    <row r="1600" spans="1:22" x14ac:dyDescent="0.3">
      <c r="A1600" t="s">
        <v>2588</v>
      </c>
      <c r="B1600" s="1">
        <v>45755</v>
      </c>
      <c r="C1600" t="s">
        <v>539</v>
      </c>
      <c r="D1600" t="s">
        <v>231</v>
      </c>
      <c r="E1600" t="s">
        <v>25</v>
      </c>
      <c r="F1600" t="s">
        <v>26</v>
      </c>
      <c r="G1600" t="s">
        <v>171</v>
      </c>
      <c r="H1600" t="s">
        <v>43</v>
      </c>
      <c r="I1600" t="s">
        <v>51</v>
      </c>
      <c r="J1600" t="s">
        <v>52</v>
      </c>
      <c r="K1600">
        <v>3</v>
      </c>
      <c r="L1600">
        <v>732.41</v>
      </c>
      <c r="M1600">
        <v>0.05</v>
      </c>
      <c r="N1600">
        <v>2087.37</v>
      </c>
      <c r="O1600">
        <v>1054.3900000000001</v>
      </c>
      <c r="P1600">
        <v>1032.98</v>
      </c>
      <c r="Q1600" t="s">
        <v>31</v>
      </c>
      <c r="R1600">
        <v>0.49487153691008312</v>
      </c>
      <c r="S1600">
        <v>2025</v>
      </c>
      <c r="T1600" t="s">
        <v>877</v>
      </c>
      <c r="U1600">
        <v>4</v>
      </c>
      <c r="V1600" t="s">
        <v>878</v>
      </c>
    </row>
    <row r="1601" spans="1:22" x14ac:dyDescent="0.3">
      <c r="A1601" t="s">
        <v>2589</v>
      </c>
      <c r="B1601" s="1">
        <v>45756</v>
      </c>
      <c r="C1601" t="s">
        <v>319</v>
      </c>
      <c r="D1601" t="s">
        <v>2294</v>
      </c>
      <c r="E1601" t="s">
        <v>120</v>
      </c>
      <c r="F1601" t="s">
        <v>121</v>
      </c>
      <c r="G1601" t="s">
        <v>224</v>
      </c>
      <c r="H1601" t="s">
        <v>84</v>
      </c>
      <c r="I1601" t="s">
        <v>138</v>
      </c>
      <c r="J1601" t="s">
        <v>139</v>
      </c>
      <c r="K1601">
        <v>1</v>
      </c>
      <c r="L1601">
        <v>13192.16</v>
      </c>
      <c r="M1601">
        <v>0.05</v>
      </c>
      <c r="N1601">
        <v>12532.55</v>
      </c>
      <c r="O1601">
        <v>9225.48</v>
      </c>
      <c r="P1601">
        <v>3307.07</v>
      </c>
      <c r="Q1601" t="s">
        <v>53</v>
      </c>
      <c r="R1601">
        <v>0.26387846048888702</v>
      </c>
      <c r="S1601">
        <v>2025</v>
      </c>
      <c r="T1601" t="s">
        <v>877</v>
      </c>
      <c r="U1601">
        <v>4</v>
      </c>
      <c r="V1601" t="s">
        <v>878</v>
      </c>
    </row>
    <row r="1602" spans="1:22" x14ac:dyDescent="0.3">
      <c r="A1602" t="s">
        <v>2590</v>
      </c>
      <c r="B1602" s="1">
        <v>45756</v>
      </c>
      <c r="C1602" t="s">
        <v>749</v>
      </c>
      <c r="D1602" t="s">
        <v>304</v>
      </c>
      <c r="E1602" t="s">
        <v>61</v>
      </c>
      <c r="F1602" t="s">
        <v>71</v>
      </c>
      <c r="G1602" t="s">
        <v>72</v>
      </c>
      <c r="H1602" t="s">
        <v>28</v>
      </c>
      <c r="I1602" t="s">
        <v>91</v>
      </c>
      <c r="J1602" t="s">
        <v>92</v>
      </c>
      <c r="K1602">
        <v>2</v>
      </c>
      <c r="L1602">
        <v>3162.95</v>
      </c>
      <c r="M1602">
        <v>0</v>
      </c>
      <c r="N1602">
        <v>6325.9</v>
      </c>
      <c r="O1602">
        <v>3240.63</v>
      </c>
      <c r="P1602">
        <v>3085.27</v>
      </c>
      <c r="Q1602" t="s">
        <v>53</v>
      </c>
      <c r="R1602">
        <v>0.48772032438072049</v>
      </c>
      <c r="S1602">
        <v>2025</v>
      </c>
      <c r="T1602" t="s">
        <v>877</v>
      </c>
      <c r="U1602">
        <v>4</v>
      </c>
      <c r="V1602" t="s">
        <v>878</v>
      </c>
    </row>
    <row r="1603" spans="1:22" x14ac:dyDescent="0.3">
      <c r="A1603" t="s">
        <v>2591</v>
      </c>
      <c r="B1603" s="1">
        <v>45756</v>
      </c>
      <c r="C1603" t="s">
        <v>1685</v>
      </c>
      <c r="D1603" t="s">
        <v>440</v>
      </c>
      <c r="E1603" t="s">
        <v>41</v>
      </c>
      <c r="F1603" t="s">
        <v>42</v>
      </c>
      <c r="G1603" t="s">
        <v>50</v>
      </c>
      <c r="H1603" t="s">
        <v>28</v>
      </c>
      <c r="I1603" t="s">
        <v>91</v>
      </c>
      <c r="J1603" t="s">
        <v>92</v>
      </c>
      <c r="K1603">
        <v>1</v>
      </c>
      <c r="L1603">
        <v>2889.12</v>
      </c>
      <c r="M1603">
        <v>0.1</v>
      </c>
      <c r="N1603">
        <v>2600.21</v>
      </c>
      <c r="O1603">
        <v>1529.29</v>
      </c>
      <c r="P1603">
        <v>1070.92</v>
      </c>
      <c r="Q1603" t="s">
        <v>46</v>
      </c>
      <c r="R1603">
        <v>0.41185904215428748</v>
      </c>
      <c r="S1603">
        <v>2025</v>
      </c>
      <c r="T1603" t="s">
        <v>877</v>
      </c>
      <c r="U1603">
        <v>4</v>
      </c>
      <c r="V1603" t="s">
        <v>878</v>
      </c>
    </row>
    <row r="1604" spans="1:22" x14ac:dyDescent="0.3">
      <c r="A1604" t="s">
        <v>2592</v>
      </c>
      <c r="B1604" s="1">
        <v>45756</v>
      </c>
      <c r="C1604" t="s">
        <v>1553</v>
      </c>
      <c r="D1604" t="s">
        <v>1074</v>
      </c>
      <c r="E1604" t="s">
        <v>25</v>
      </c>
      <c r="F1604" t="s">
        <v>26</v>
      </c>
      <c r="G1604" t="s">
        <v>171</v>
      </c>
      <c r="H1604" t="s">
        <v>28</v>
      </c>
      <c r="I1604" t="s">
        <v>91</v>
      </c>
      <c r="J1604" t="s">
        <v>92</v>
      </c>
      <c r="K1604">
        <v>4</v>
      </c>
      <c r="L1604">
        <v>2963.49</v>
      </c>
      <c r="M1604">
        <v>0.15</v>
      </c>
      <c r="N1604">
        <v>10075.870000000001</v>
      </c>
      <c r="O1604">
        <v>6223.01</v>
      </c>
      <c r="P1604">
        <v>3852.86</v>
      </c>
      <c r="Q1604" t="s">
        <v>53</v>
      </c>
      <c r="R1604">
        <v>0.38238484617209229</v>
      </c>
      <c r="S1604">
        <v>2025</v>
      </c>
      <c r="T1604" t="s">
        <v>877</v>
      </c>
      <c r="U1604">
        <v>4</v>
      </c>
      <c r="V1604" t="s">
        <v>878</v>
      </c>
    </row>
    <row r="1605" spans="1:22" x14ac:dyDescent="0.3">
      <c r="A1605" t="s">
        <v>2593</v>
      </c>
      <c r="B1605" s="1">
        <v>45757</v>
      </c>
      <c r="C1605" t="s">
        <v>1518</v>
      </c>
      <c r="D1605" t="s">
        <v>154</v>
      </c>
      <c r="E1605" t="s">
        <v>61</v>
      </c>
      <c r="F1605" t="s">
        <v>62</v>
      </c>
      <c r="G1605" t="s">
        <v>90</v>
      </c>
      <c r="H1605" t="s">
        <v>28</v>
      </c>
      <c r="I1605" t="s">
        <v>91</v>
      </c>
      <c r="J1605" t="s">
        <v>92</v>
      </c>
      <c r="K1605">
        <v>4</v>
      </c>
      <c r="L1605">
        <v>3134.55</v>
      </c>
      <c r="M1605">
        <v>0.15</v>
      </c>
      <c r="N1605">
        <v>10657.47</v>
      </c>
      <c r="O1605">
        <v>6507.2</v>
      </c>
      <c r="P1605">
        <v>4150.2700000000004</v>
      </c>
      <c r="Q1605" t="s">
        <v>53</v>
      </c>
      <c r="R1605">
        <v>0.38942356863308092</v>
      </c>
      <c r="S1605">
        <v>2025</v>
      </c>
      <c r="T1605" t="s">
        <v>877</v>
      </c>
      <c r="U1605">
        <v>4</v>
      </c>
      <c r="V1605" t="s">
        <v>878</v>
      </c>
    </row>
    <row r="1606" spans="1:22" x14ac:dyDescent="0.3">
      <c r="A1606" t="s">
        <v>2594</v>
      </c>
      <c r="B1606" s="1">
        <v>45757</v>
      </c>
      <c r="C1606" t="s">
        <v>2456</v>
      </c>
      <c r="D1606" t="s">
        <v>773</v>
      </c>
      <c r="E1606" t="s">
        <v>61</v>
      </c>
      <c r="F1606" t="s">
        <v>62</v>
      </c>
      <c r="G1606" t="s">
        <v>90</v>
      </c>
      <c r="H1606" t="s">
        <v>64</v>
      </c>
      <c r="I1606" t="s">
        <v>65</v>
      </c>
      <c r="J1606" t="s">
        <v>232</v>
      </c>
      <c r="K1606">
        <v>2</v>
      </c>
      <c r="L1606">
        <v>4086.42</v>
      </c>
      <c r="M1606">
        <v>0.1</v>
      </c>
      <c r="N1606">
        <v>7355.56</v>
      </c>
      <c r="O1606">
        <v>5270.95</v>
      </c>
      <c r="P1606">
        <v>2084.61</v>
      </c>
      <c r="Q1606" t="s">
        <v>31</v>
      </c>
      <c r="R1606">
        <v>0.28340602211116489</v>
      </c>
      <c r="S1606">
        <v>2025</v>
      </c>
      <c r="T1606" t="s">
        <v>877</v>
      </c>
      <c r="U1606">
        <v>4</v>
      </c>
      <c r="V1606" t="s">
        <v>878</v>
      </c>
    </row>
    <row r="1607" spans="1:22" x14ac:dyDescent="0.3">
      <c r="A1607" t="s">
        <v>2595</v>
      </c>
      <c r="B1607" s="1">
        <v>45757</v>
      </c>
      <c r="C1607" t="s">
        <v>826</v>
      </c>
      <c r="D1607" t="s">
        <v>295</v>
      </c>
      <c r="E1607" t="s">
        <v>120</v>
      </c>
      <c r="F1607" t="s">
        <v>121</v>
      </c>
      <c r="G1607" t="s">
        <v>130</v>
      </c>
      <c r="H1607" t="s">
        <v>28</v>
      </c>
      <c r="I1607" t="s">
        <v>29</v>
      </c>
      <c r="J1607" t="s">
        <v>30</v>
      </c>
      <c r="K1607">
        <v>3</v>
      </c>
      <c r="L1607">
        <v>55848.17</v>
      </c>
      <c r="M1607">
        <v>0.05</v>
      </c>
      <c r="N1607">
        <v>159167.28</v>
      </c>
      <c r="O1607">
        <v>151696.26</v>
      </c>
      <c r="P1607">
        <v>7471.02</v>
      </c>
      <c r="Q1607" t="s">
        <v>46</v>
      </c>
      <c r="R1607">
        <v>4.6938164678067003E-2</v>
      </c>
      <c r="S1607">
        <v>2025</v>
      </c>
      <c r="T1607" t="s">
        <v>877</v>
      </c>
      <c r="U1607">
        <v>4</v>
      </c>
      <c r="V1607" t="s">
        <v>878</v>
      </c>
    </row>
    <row r="1608" spans="1:22" x14ac:dyDescent="0.3">
      <c r="A1608" t="s">
        <v>2596</v>
      </c>
      <c r="B1608" s="1">
        <v>45758</v>
      </c>
      <c r="C1608" t="s">
        <v>749</v>
      </c>
      <c r="D1608" t="s">
        <v>1148</v>
      </c>
      <c r="E1608" t="s">
        <v>61</v>
      </c>
      <c r="F1608" t="s">
        <v>62</v>
      </c>
      <c r="G1608" t="s">
        <v>228</v>
      </c>
      <c r="H1608" t="s">
        <v>43</v>
      </c>
      <c r="I1608" t="s">
        <v>51</v>
      </c>
      <c r="J1608" t="s">
        <v>52</v>
      </c>
      <c r="K1608">
        <v>3</v>
      </c>
      <c r="L1608">
        <v>683.45</v>
      </c>
      <c r="M1608">
        <v>0.05</v>
      </c>
      <c r="N1608">
        <v>1947.83</v>
      </c>
      <c r="O1608">
        <v>998.9</v>
      </c>
      <c r="P1608">
        <v>948.93</v>
      </c>
      <c r="Q1608" t="s">
        <v>46</v>
      </c>
      <c r="R1608">
        <v>0.48717290523300288</v>
      </c>
      <c r="S1608">
        <v>2025</v>
      </c>
      <c r="T1608" t="s">
        <v>877</v>
      </c>
      <c r="U1608">
        <v>4</v>
      </c>
      <c r="V1608" t="s">
        <v>878</v>
      </c>
    </row>
    <row r="1609" spans="1:22" x14ac:dyDescent="0.3">
      <c r="A1609" t="s">
        <v>2597</v>
      </c>
      <c r="B1609" s="1">
        <v>45758</v>
      </c>
      <c r="C1609" t="s">
        <v>82</v>
      </c>
      <c r="D1609" t="s">
        <v>125</v>
      </c>
      <c r="E1609" t="s">
        <v>41</v>
      </c>
      <c r="F1609" t="s">
        <v>42</v>
      </c>
      <c r="G1609" t="s">
        <v>50</v>
      </c>
      <c r="H1609" t="s">
        <v>28</v>
      </c>
      <c r="I1609" t="s">
        <v>73</v>
      </c>
      <c r="J1609" t="s">
        <v>80</v>
      </c>
      <c r="K1609">
        <v>1</v>
      </c>
      <c r="L1609">
        <v>822.88</v>
      </c>
      <c r="M1609">
        <v>0.05</v>
      </c>
      <c r="N1609">
        <v>781.74</v>
      </c>
      <c r="O1609">
        <v>501.69</v>
      </c>
      <c r="P1609">
        <v>280.05</v>
      </c>
      <c r="Q1609" t="s">
        <v>31</v>
      </c>
      <c r="R1609">
        <v>0.35823931230332329</v>
      </c>
      <c r="S1609">
        <v>2025</v>
      </c>
      <c r="T1609" t="s">
        <v>877</v>
      </c>
      <c r="U1609">
        <v>4</v>
      </c>
      <c r="V1609" t="s">
        <v>878</v>
      </c>
    </row>
    <row r="1610" spans="1:22" x14ac:dyDescent="0.3">
      <c r="A1610" t="s">
        <v>2598</v>
      </c>
      <c r="B1610" s="1">
        <v>45759</v>
      </c>
      <c r="C1610" t="s">
        <v>858</v>
      </c>
      <c r="D1610" t="s">
        <v>468</v>
      </c>
      <c r="E1610" t="s">
        <v>61</v>
      </c>
      <c r="F1610" t="s">
        <v>78</v>
      </c>
      <c r="G1610" t="s">
        <v>104</v>
      </c>
      <c r="H1610" t="s">
        <v>84</v>
      </c>
      <c r="I1610" t="s">
        <v>85</v>
      </c>
      <c r="J1610" t="s">
        <v>145</v>
      </c>
      <c r="K1610">
        <v>1</v>
      </c>
      <c r="L1610">
        <v>3168.42</v>
      </c>
      <c r="M1610">
        <v>0.1</v>
      </c>
      <c r="N1610">
        <v>2851.58</v>
      </c>
      <c r="O1610">
        <v>1838.43</v>
      </c>
      <c r="P1610">
        <v>1013.15</v>
      </c>
      <c r="Q1610" t="s">
        <v>46</v>
      </c>
      <c r="R1610">
        <v>0.35529425792017061</v>
      </c>
      <c r="S1610">
        <v>2025</v>
      </c>
      <c r="T1610" t="s">
        <v>877</v>
      </c>
      <c r="U1610">
        <v>4</v>
      </c>
      <c r="V1610" t="s">
        <v>878</v>
      </c>
    </row>
    <row r="1611" spans="1:22" x14ac:dyDescent="0.3">
      <c r="A1611" t="s">
        <v>2599</v>
      </c>
      <c r="B1611" s="1">
        <v>45759</v>
      </c>
      <c r="C1611" t="s">
        <v>362</v>
      </c>
      <c r="D1611" t="s">
        <v>609</v>
      </c>
      <c r="E1611" t="s">
        <v>41</v>
      </c>
      <c r="F1611" t="s">
        <v>42</v>
      </c>
      <c r="G1611" t="s">
        <v>50</v>
      </c>
      <c r="H1611" t="s">
        <v>28</v>
      </c>
      <c r="I1611" t="s">
        <v>29</v>
      </c>
      <c r="J1611" t="s">
        <v>30</v>
      </c>
      <c r="K1611">
        <v>4</v>
      </c>
      <c r="L1611">
        <v>61233.35</v>
      </c>
      <c r="M1611">
        <v>0</v>
      </c>
      <c r="N1611">
        <v>244933.4</v>
      </c>
      <c r="O1611">
        <v>220787.83</v>
      </c>
      <c r="P1611">
        <v>24145.57</v>
      </c>
      <c r="Q1611" t="s">
        <v>31</v>
      </c>
      <c r="R1611">
        <v>9.8580144643401021E-2</v>
      </c>
      <c r="S1611">
        <v>2025</v>
      </c>
      <c r="T1611" t="s">
        <v>877</v>
      </c>
      <c r="U1611">
        <v>4</v>
      </c>
      <c r="V1611" t="s">
        <v>878</v>
      </c>
    </row>
    <row r="1612" spans="1:22" x14ac:dyDescent="0.3">
      <c r="A1612" t="s">
        <v>2600</v>
      </c>
      <c r="B1612" s="1">
        <v>45759</v>
      </c>
      <c r="C1612" t="s">
        <v>410</v>
      </c>
      <c r="D1612" t="s">
        <v>206</v>
      </c>
      <c r="E1612" t="s">
        <v>61</v>
      </c>
      <c r="F1612" t="s">
        <v>71</v>
      </c>
      <c r="G1612" t="s">
        <v>100</v>
      </c>
      <c r="H1612" t="s">
        <v>64</v>
      </c>
      <c r="I1612" t="s">
        <v>65</v>
      </c>
      <c r="J1612" t="s">
        <v>66</v>
      </c>
      <c r="K1612">
        <v>2</v>
      </c>
      <c r="L1612">
        <v>5064.2299999999996</v>
      </c>
      <c r="M1612">
        <v>0.1</v>
      </c>
      <c r="N1612">
        <v>9115.61</v>
      </c>
      <c r="O1612">
        <v>6411.68</v>
      </c>
      <c r="P1612">
        <v>2703.93</v>
      </c>
      <c r="Q1612" t="s">
        <v>31</v>
      </c>
      <c r="R1612">
        <v>0.29662633658087612</v>
      </c>
      <c r="S1612">
        <v>2025</v>
      </c>
      <c r="T1612" t="s">
        <v>877</v>
      </c>
      <c r="U1612">
        <v>4</v>
      </c>
      <c r="V1612" t="s">
        <v>878</v>
      </c>
    </row>
    <row r="1613" spans="1:22" x14ac:dyDescent="0.3">
      <c r="A1613" t="s">
        <v>2601</v>
      </c>
      <c r="B1613" s="1">
        <v>45759</v>
      </c>
      <c r="C1613" t="s">
        <v>1668</v>
      </c>
      <c r="D1613" t="s">
        <v>997</v>
      </c>
      <c r="E1613" t="s">
        <v>41</v>
      </c>
      <c r="F1613" t="s">
        <v>42</v>
      </c>
      <c r="G1613" t="s">
        <v>50</v>
      </c>
      <c r="H1613" t="s">
        <v>43</v>
      </c>
      <c r="I1613" t="s">
        <v>51</v>
      </c>
      <c r="J1613" t="s">
        <v>96</v>
      </c>
      <c r="K1613">
        <v>1</v>
      </c>
      <c r="L1613">
        <v>497.68</v>
      </c>
      <c r="M1613">
        <v>0</v>
      </c>
      <c r="N1613">
        <v>497.68</v>
      </c>
      <c r="O1613">
        <v>222.47</v>
      </c>
      <c r="P1613">
        <v>275.20999999999998</v>
      </c>
      <c r="Q1613" t="s">
        <v>31</v>
      </c>
      <c r="R1613">
        <v>0.55298585436425007</v>
      </c>
      <c r="S1613">
        <v>2025</v>
      </c>
      <c r="T1613" t="s">
        <v>877</v>
      </c>
      <c r="U1613">
        <v>4</v>
      </c>
      <c r="V1613" t="s">
        <v>878</v>
      </c>
    </row>
    <row r="1614" spans="1:22" x14ac:dyDescent="0.3">
      <c r="A1614" t="s">
        <v>2602</v>
      </c>
      <c r="B1614" s="1">
        <v>45759</v>
      </c>
      <c r="C1614" t="s">
        <v>353</v>
      </c>
      <c r="D1614" t="s">
        <v>36</v>
      </c>
      <c r="E1614" t="s">
        <v>61</v>
      </c>
      <c r="F1614" t="s">
        <v>62</v>
      </c>
      <c r="G1614" t="s">
        <v>90</v>
      </c>
      <c r="H1614" t="s">
        <v>28</v>
      </c>
      <c r="I1614" t="s">
        <v>73</v>
      </c>
      <c r="J1614" t="s">
        <v>74</v>
      </c>
      <c r="K1614">
        <v>1</v>
      </c>
      <c r="L1614">
        <v>2412.85</v>
      </c>
      <c r="M1614">
        <v>0.1</v>
      </c>
      <c r="N1614">
        <v>2171.5700000000002</v>
      </c>
      <c r="O1614">
        <v>1346.7</v>
      </c>
      <c r="P1614">
        <v>824.87</v>
      </c>
      <c r="Q1614" t="s">
        <v>53</v>
      </c>
      <c r="R1614">
        <v>0.37984960190092881</v>
      </c>
      <c r="S1614">
        <v>2025</v>
      </c>
      <c r="T1614" t="s">
        <v>877</v>
      </c>
      <c r="U1614">
        <v>4</v>
      </c>
      <c r="V1614" t="s">
        <v>878</v>
      </c>
    </row>
    <row r="1615" spans="1:22" x14ac:dyDescent="0.3">
      <c r="A1615" t="s">
        <v>2603</v>
      </c>
      <c r="B1615" s="1">
        <v>45759</v>
      </c>
      <c r="C1615" t="s">
        <v>2529</v>
      </c>
      <c r="D1615" t="s">
        <v>949</v>
      </c>
      <c r="E1615" t="s">
        <v>61</v>
      </c>
      <c r="F1615" t="s">
        <v>62</v>
      </c>
      <c r="G1615" t="s">
        <v>63</v>
      </c>
      <c r="H1615" t="s">
        <v>28</v>
      </c>
      <c r="I1615" t="s">
        <v>91</v>
      </c>
      <c r="J1615" t="s">
        <v>92</v>
      </c>
      <c r="K1615">
        <v>4</v>
      </c>
      <c r="L1615">
        <v>3168.44</v>
      </c>
      <c r="M1615">
        <v>0.1</v>
      </c>
      <c r="N1615">
        <v>11406.38</v>
      </c>
      <c r="O1615">
        <v>6700.98</v>
      </c>
      <c r="P1615">
        <v>4705.3999999999996</v>
      </c>
      <c r="Q1615" t="s">
        <v>67</v>
      </c>
      <c r="R1615">
        <v>0.41252351754018363</v>
      </c>
      <c r="S1615">
        <v>2025</v>
      </c>
      <c r="T1615" t="s">
        <v>877</v>
      </c>
      <c r="U1615">
        <v>4</v>
      </c>
      <c r="V1615" t="s">
        <v>878</v>
      </c>
    </row>
    <row r="1616" spans="1:22" x14ac:dyDescent="0.3">
      <c r="A1616" t="s">
        <v>2604</v>
      </c>
      <c r="B1616" s="1">
        <v>45759</v>
      </c>
      <c r="C1616" t="s">
        <v>1789</v>
      </c>
      <c r="D1616" t="s">
        <v>107</v>
      </c>
      <c r="E1616" t="s">
        <v>61</v>
      </c>
      <c r="F1616" t="s">
        <v>71</v>
      </c>
      <c r="G1616" t="s">
        <v>201</v>
      </c>
      <c r="H1616" t="s">
        <v>84</v>
      </c>
      <c r="I1616" t="s">
        <v>138</v>
      </c>
      <c r="J1616" t="s">
        <v>139</v>
      </c>
      <c r="K1616">
        <v>1</v>
      </c>
      <c r="L1616">
        <v>13454</v>
      </c>
      <c r="M1616">
        <v>0</v>
      </c>
      <c r="N1616">
        <v>13454</v>
      </c>
      <c r="O1616">
        <v>9428.85</v>
      </c>
      <c r="P1616">
        <v>4025.15</v>
      </c>
      <c r="Q1616" t="s">
        <v>67</v>
      </c>
      <c r="R1616">
        <v>0.29917868291957778</v>
      </c>
      <c r="S1616">
        <v>2025</v>
      </c>
      <c r="T1616" t="s">
        <v>877</v>
      </c>
      <c r="U1616">
        <v>4</v>
      </c>
      <c r="V1616" t="s">
        <v>878</v>
      </c>
    </row>
    <row r="1617" spans="1:22" x14ac:dyDescent="0.3">
      <c r="A1617" t="s">
        <v>2605</v>
      </c>
      <c r="B1617" s="1">
        <v>45760</v>
      </c>
      <c r="C1617" t="s">
        <v>946</v>
      </c>
      <c r="D1617" t="s">
        <v>304</v>
      </c>
      <c r="E1617" t="s">
        <v>41</v>
      </c>
      <c r="F1617" t="s">
        <v>42</v>
      </c>
      <c r="G1617" t="s">
        <v>50</v>
      </c>
      <c r="H1617" t="s">
        <v>84</v>
      </c>
      <c r="I1617" t="s">
        <v>138</v>
      </c>
      <c r="J1617" t="s">
        <v>220</v>
      </c>
      <c r="K1617">
        <v>4</v>
      </c>
      <c r="L1617">
        <v>7163.14</v>
      </c>
      <c r="M1617">
        <v>0.15</v>
      </c>
      <c r="N1617">
        <v>24354.68</v>
      </c>
      <c r="O1617">
        <v>18087.3</v>
      </c>
      <c r="P1617">
        <v>6267.38</v>
      </c>
      <c r="Q1617" t="s">
        <v>31</v>
      </c>
      <c r="R1617">
        <v>0.25733780940665202</v>
      </c>
      <c r="S1617">
        <v>2025</v>
      </c>
      <c r="T1617" t="s">
        <v>877</v>
      </c>
      <c r="U1617">
        <v>4</v>
      </c>
      <c r="V1617" t="s">
        <v>878</v>
      </c>
    </row>
    <row r="1618" spans="1:22" x14ac:dyDescent="0.3">
      <c r="A1618" t="s">
        <v>2606</v>
      </c>
      <c r="B1618" s="1">
        <v>45760</v>
      </c>
      <c r="C1618" t="s">
        <v>951</v>
      </c>
      <c r="D1618" t="s">
        <v>382</v>
      </c>
      <c r="E1618" t="s">
        <v>61</v>
      </c>
      <c r="F1618" t="s">
        <v>78</v>
      </c>
      <c r="G1618" t="s">
        <v>216</v>
      </c>
      <c r="H1618" t="s">
        <v>43</v>
      </c>
      <c r="I1618" t="s">
        <v>44</v>
      </c>
      <c r="J1618" t="s">
        <v>248</v>
      </c>
      <c r="K1618">
        <v>5</v>
      </c>
      <c r="L1618">
        <v>294.05</v>
      </c>
      <c r="M1618">
        <v>0.1</v>
      </c>
      <c r="N1618">
        <v>1323.23</v>
      </c>
      <c r="O1618">
        <v>632.01</v>
      </c>
      <c r="P1618">
        <v>691.22</v>
      </c>
      <c r="Q1618" t="s">
        <v>46</v>
      </c>
      <c r="R1618">
        <v>0.52237328355614676</v>
      </c>
      <c r="S1618">
        <v>2025</v>
      </c>
      <c r="T1618" t="s">
        <v>877</v>
      </c>
      <c r="U1618">
        <v>4</v>
      </c>
      <c r="V1618" t="s">
        <v>878</v>
      </c>
    </row>
    <row r="1619" spans="1:22" x14ac:dyDescent="0.3">
      <c r="A1619" t="s">
        <v>2607</v>
      </c>
      <c r="B1619" s="1">
        <v>45760</v>
      </c>
      <c r="C1619" t="s">
        <v>721</v>
      </c>
      <c r="D1619" t="s">
        <v>270</v>
      </c>
      <c r="E1619" t="s">
        <v>25</v>
      </c>
      <c r="F1619" t="s">
        <v>26</v>
      </c>
      <c r="G1619" t="s">
        <v>171</v>
      </c>
      <c r="H1619" t="s">
        <v>28</v>
      </c>
      <c r="I1619" t="s">
        <v>29</v>
      </c>
      <c r="J1619" t="s">
        <v>30</v>
      </c>
      <c r="K1619">
        <v>5</v>
      </c>
      <c r="L1619">
        <v>55687.78</v>
      </c>
      <c r="M1619">
        <v>0.05</v>
      </c>
      <c r="N1619">
        <v>264516.96000000002</v>
      </c>
      <c r="O1619">
        <v>240443.79</v>
      </c>
      <c r="P1619">
        <v>24073.17</v>
      </c>
      <c r="Q1619" t="s">
        <v>67</v>
      </c>
      <c r="R1619">
        <v>9.1008039711328897E-2</v>
      </c>
      <c r="S1619">
        <v>2025</v>
      </c>
      <c r="T1619" t="s">
        <v>877</v>
      </c>
      <c r="U1619">
        <v>4</v>
      </c>
      <c r="V1619" t="s">
        <v>878</v>
      </c>
    </row>
    <row r="1620" spans="1:22" x14ac:dyDescent="0.3">
      <c r="A1620" t="s">
        <v>2608</v>
      </c>
      <c r="B1620" s="1">
        <v>45760</v>
      </c>
      <c r="C1620" t="s">
        <v>1388</v>
      </c>
      <c r="D1620" t="s">
        <v>273</v>
      </c>
      <c r="E1620" t="s">
        <v>61</v>
      </c>
      <c r="F1620" t="s">
        <v>78</v>
      </c>
      <c r="G1620" t="s">
        <v>79</v>
      </c>
      <c r="H1620" t="s">
        <v>28</v>
      </c>
      <c r="I1620" t="s">
        <v>73</v>
      </c>
      <c r="J1620" t="s">
        <v>74</v>
      </c>
      <c r="K1620">
        <v>2</v>
      </c>
      <c r="L1620">
        <v>2435.87</v>
      </c>
      <c r="M1620">
        <v>0.1</v>
      </c>
      <c r="N1620">
        <v>4384.57</v>
      </c>
      <c r="O1620">
        <v>2751.37</v>
      </c>
      <c r="P1620">
        <v>1633.2</v>
      </c>
      <c r="Q1620" t="s">
        <v>46</v>
      </c>
      <c r="R1620">
        <v>0.37248806610454388</v>
      </c>
      <c r="S1620">
        <v>2025</v>
      </c>
      <c r="T1620" t="s">
        <v>877</v>
      </c>
      <c r="U1620">
        <v>4</v>
      </c>
      <c r="V1620" t="s">
        <v>878</v>
      </c>
    </row>
    <row r="1621" spans="1:22" x14ac:dyDescent="0.3">
      <c r="A1621" t="s">
        <v>2609</v>
      </c>
      <c r="B1621" s="1">
        <v>45761</v>
      </c>
      <c r="C1621" t="s">
        <v>1662</v>
      </c>
      <c r="D1621" t="s">
        <v>1585</v>
      </c>
      <c r="E1621" t="s">
        <v>120</v>
      </c>
      <c r="F1621" t="s">
        <v>121</v>
      </c>
      <c r="G1621" t="s">
        <v>122</v>
      </c>
      <c r="H1621" t="s">
        <v>43</v>
      </c>
      <c r="I1621" t="s">
        <v>44</v>
      </c>
      <c r="J1621" t="s">
        <v>248</v>
      </c>
      <c r="K1621">
        <v>6</v>
      </c>
      <c r="L1621">
        <v>310.33999999999997</v>
      </c>
      <c r="M1621">
        <v>0</v>
      </c>
      <c r="N1621">
        <v>1862.04</v>
      </c>
      <c r="O1621">
        <v>764.34</v>
      </c>
      <c r="P1621">
        <v>1097.7</v>
      </c>
      <c r="Q1621" t="s">
        <v>31</v>
      </c>
      <c r="R1621">
        <v>0.58951472578462338</v>
      </c>
      <c r="S1621">
        <v>2025</v>
      </c>
      <c r="T1621" t="s">
        <v>877</v>
      </c>
      <c r="U1621">
        <v>4</v>
      </c>
      <c r="V1621" t="s">
        <v>878</v>
      </c>
    </row>
    <row r="1622" spans="1:22" x14ac:dyDescent="0.3">
      <c r="A1622" t="s">
        <v>2610</v>
      </c>
      <c r="B1622" s="1">
        <v>45761</v>
      </c>
      <c r="C1622" t="s">
        <v>1302</v>
      </c>
      <c r="D1622" t="s">
        <v>884</v>
      </c>
      <c r="E1622" t="s">
        <v>120</v>
      </c>
      <c r="F1622" t="s">
        <v>121</v>
      </c>
      <c r="G1622" t="s">
        <v>130</v>
      </c>
      <c r="H1622" t="s">
        <v>28</v>
      </c>
      <c r="I1622" t="s">
        <v>91</v>
      </c>
      <c r="J1622" t="s">
        <v>92</v>
      </c>
      <c r="K1622">
        <v>1</v>
      </c>
      <c r="L1622">
        <v>3071.2</v>
      </c>
      <c r="M1622">
        <v>0.05</v>
      </c>
      <c r="N1622">
        <v>2917.64</v>
      </c>
      <c r="O1622">
        <v>1603.46</v>
      </c>
      <c r="P1622">
        <v>1314.18</v>
      </c>
      <c r="Q1622" t="s">
        <v>53</v>
      </c>
      <c r="R1622">
        <v>0.45042568651375781</v>
      </c>
      <c r="S1622">
        <v>2025</v>
      </c>
      <c r="T1622" t="s">
        <v>877</v>
      </c>
      <c r="U1622">
        <v>4</v>
      </c>
      <c r="V1622" t="s">
        <v>878</v>
      </c>
    </row>
    <row r="1623" spans="1:22" x14ac:dyDescent="0.3">
      <c r="A1623" t="s">
        <v>2611</v>
      </c>
      <c r="B1623" s="1">
        <v>45762</v>
      </c>
      <c r="C1623" t="s">
        <v>150</v>
      </c>
      <c r="D1623" t="s">
        <v>148</v>
      </c>
      <c r="E1623" t="s">
        <v>120</v>
      </c>
      <c r="F1623" t="s">
        <v>121</v>
      </c>
      <c r="G1623" t="s">
        <v>224</v>
      </c>
      <c r="H1623" t="s">
        <v>64</v>
      </c>
      <c r="I1623" t="s">
        <v>108</v>
      </c>
      <c r="J1623" t="s">
        <v>155</v>
      </c>
      <c r="K1623">
        <v>5</v>
      </c>
      <c r="L1623">
        <v>8355.4</v>
      </c>
      <c r="M1623">
        <v>0.2</v>
      </c>
      <c r="N1623">
        <v>33421.599999999999</v>
      </c>
      <c r="O1623">
        <v>28915.82</v>
      </c>
      <c r="P1623">
        <v>4505.78</v>
      </c>
      <c r="Q1623" t="s">
        <v>31</v>
      </c>
      <c r="R1623">
        <v>0.13481640615649759</v>
      </c>
      <c r="S1623">
        <v>2025</v>
      </c>
      <c r="T1623" t="s">
        <v>877</v>
      </c>
      <c r="U1623">
        <v>4</v>
      </c>
      <c r="V1623" t="s">
        <v>878</v>
      </c>
    </row>
    <row r="1624" spans="1:22" x14ac:dyDescent="0.3">
      <c r="A1624" t="s">
        <v>2612</v>
      </c>
      <c r="B1624" s="1">
        <v>45762</v>
      </c>
      <c r="C1624" t="s">
        <v>996</v>
      </c>
      <c r="D1624" t="s">
        <v>678</v>
      </c>
      <c r="E1624" t="s">
        <v>120</v>
      </c>
      <c r="F1624" t="s">
        <v>121</v>
      </c>
      <c r="G1624" t="s">
        <v>224</v>
      </c>
      <c r="H1624" t="s">
        <v>28</v>
      </c>
      <c r="I1624" t="s">
        <v>29</v>
      </c>
      <c r="J1624" t="s">
        <v>30</v>
      </c>
      <c r="K1624">
        <v>1</v>
      </c>
      <c r="L1624">
        <v>58668.76</v>
      </c>
      <c r="M1624">
        <v>0</v>
      </c>
      <c r="N1624">
        <v>58668.76</v>
      </c>
      <c r="O1624">
        <v>52814.75</v>
      </c>
      <c r="P1624">
        <v>5854.01</v>
      </c>
      <c r="Q1624" t="s">
        <v>46</v>
      </c>
      <c r="R1624">
        <v>9.9780701006804987E-2</v>
      </c>
      <c r="S1624">
        <v>2025</v>
      </c>
      <c r="T1624" t="s">
        <v>877</v>
      </c>
      <c r="U1624">
        <v>4</v>
      </c>
      <c r="V1624" t="s">
        <v>878</v>
      </c>
    </row>
    <row r="1625" spans="1:22" x14ac:dyDescent="0.3">
      <c r="A1625" t="s">
        <v>2613</v>
      </c>
      <c r="B1625" s="1">
        <v>45763</v>
      </c>
      <c r="C1625" t="s">
        <v>549</v>
      </c>
      <c r="D1625" t="s">
        <v>1218</v>
      </c>
      <c r="E1625" t="s">
        <v>61</v>
      </c>
      <c r="F1625" t="s">
        <v>71</v>
      </c>
      <c r="G1625" t="s">
        <v>72</v>
      </c>
      <c r="H1625" t="s">
        <v>43</v>
      </c>
      <c r="I1625" t="s">
        <v>44</v>
      </c>
      <c r="J1625" t="s">
        <v>248</v>
      </c>
      <c r="K1625">
        <v>3</v>
      </c>
      <c r="L1625">
        <v>298.88</v>
      </c>
      <c r="M1625">
        <v>0.1</v>
      </c>
      <c r="N1625">
        <v>806.98</v>
      </c>
      <c r="O1625">
        <v>385.93</v>
      </c>
      <c r="P1625">
        <v>421.05</v>
      </c>
      <c r="Q1625" t="s">
        <v>67</v>
      </c>
      <c r="R1625">
        <v>0.52176014275446725</v>
      </c>
      <c r="S1625">
        <v>2025</v>
      </c>
      <c r="T1625" t="s">
        <v>877</v>
      </c>
      <c r="U1625">
        <v>4</v>
      </c>
      <c r="V1625" t="s">
        <v>878</v>
      </c>
    </row>
    <row r="1626" spans="1:22" x14ac:dyDescent="0.3">
      <c r="A1626" t="s">
        <v>2614</v>
      </c>
      <c r="B1626" s="1">
        <v>45763</v>
      </c>
      <c r="C1626" t="s">
        <v>1619</v>
      </c>
      <c r="D1626" t="s">
        <v>385</v>
      </c>
      <c r="E1626" t="s">
        <v>61</v>
      </c>
      <c r="F1626" t="s">
        <v>71</v>
      </c>
      <c r="G1626" t="s">
        <v>100</v>
      </c>
      <c r="H1626" t="s">
        <v>64</v>
      </c>
      <c r="I1626" t="s">
        <v>65</v>
      </c>
      <c r="J1626" t="s">
        <v>66</v>
      </c>
      <c r="K1626">
        <v>4</v>
      </c>
      <c r="L1626">
        <v>4951.29</v>
      </c>
      <c r="M1626">
        <v>0.15</v>
      </c>
      <c r="N1626">
        <v>16834.39</v>
      </c>
      <c r="O1626">
        <v>12369.75</v>
      </c>
      <c r="P1626">
        <v>4464.6400000000003</v>
      </c>
      <c r="Q1626" t="s">
        <v>46</v>
      </c>
      <c r="R1626">
        <v>0.26520949081018091</v>
      </c>
      <c r="S1626">
        <v>2025</v>
      </c>
      <c r="T1626" t="s">
        <v>877</v>
      </c>
      <c r="U1626">
        <v>4</v>
      </c>
      <c r="V1626" t="s">
        <v>878</v>
      </c>
    </row>
    <row r="1627" spans="1:22" x14ac:dyDescent="0.3">
      <c r="A1627" t="s">
        <v>2615</v>
      </c>
      <c r="B1627" s="1">
        <v>45763</v>
      </c>
      <c r="C1627" t="s">
        <v>968</v>
      </c>
      <c r="D1627" t="s">
        <v>1530</v>
      </c>
      <c r="E1627" t="s">
        <v>61</v>
      </c>
      <c r="F1627" t="s">
        <v>78</v>
      </c>
      <c r="G1627" t="s">
        <v>216</v>
      </c>
      <c r="H1627" t="s">
        <v>84</v>
      </c>
      <c r="I1627" t="s">
        <v>85</v>
      </c>
      <c r="J1627" t="s">
        <v>145</v>
      </c>
      <c r="K1627">
        <v>1</v>
      </c>
      <c r="L1627">
        <v>3139.31</v>
      </c>
      <c r="M1627">
        <v>0.1</v>
      </c>
      <c r="N1627">
        <v>2825.38</v>
      </c>
      <c r="O1627">
        <v>1808.38</v>
      </c>
      <c r="P1627">
        <v>1017</v>
      </c>
      <c r="Q1627" t="s">
        <v>31</v>
      </c>
      <c r="R1627">
        <v>0.35995158173413838</v>
      </c>
      <c r="S1627">
        <v>2025</v>
      </c>
      <c r="T1627" t="s">
        <v>877</v>
      </c>
      <c r="U1627">
        <v>4</v>
      </c>
      <c r="V1627" t="s">
        <v>878</v>
      </c>
    </row>
    <row r="1628" spans="1:22" x14ac:dyDescent="0.3">
      <c r="A1628" t="s">
        <v>2616</v>
      </c>
      <c r="B1628" s="1">
        <v>45763</v>
      </c>
      <c r="C1628" t="s">
        <v>1626</v>
      </c>
      <c r="D1628" t="s">
        <v>972</v>
      </c>
      <c r="E1628" t="s">
        <v>61</v>
      </c>
      <c r="F1628" t="s">
        <v>62</v>
      </c>
      <c r="G1628" t="s">
        <v>63</v>
      </c>
      <c r="H1628" t="s">
        <v>84</v>
      </c>
      <c r="I1628" t="s">
        <v>138</v>
      </c>
      <c r="J1628" t="s">
        <v>139</v>
      </c>
      <c r="K1628">
        <v>3</v>
      </c>
      <c r="L1628">
        <v>12694.7</v>
      </c>
      <c r="M1628">
        <v>0</v>
      </c>
      <c r="N1628">
        <v>38084.1</v>
      </c>
      <c r="O1628">
        <v>26361.78</v>
      </c>
      <c r="P1628">
        <v>11722.32</v>
      </c>
      <c r="Q1628" t="s">
        <v>46</v>
      </c>
      <c r="R1628">
        <v>0.30780089328617449</v>
      </c>
      <c r="S1628">
        <v>2025</v>
      </c>
      <c r="T1628" t="s">
        <v>877</v>
      </c>
      <c r="U1628">
        <v>4</v>
      </c>
      <c r="V1628" t="s">
        <v>878</v>
      </c>
    </row>
    <row r="1629" spans="1:22" x14ac:dyDescent="0.3">
      <c r="A1629" t="s">
        <v>2617</v>
      </c>
      <c r="B1629" s="1">
        <v>45764</v>
      </c>
      <c r="C1629" t="s">
        <v>1588</v>
      </c>
      <c r="D1629" t="s">
        <v>360</v>
      </c>
      <c r="E1629" t="s">
        <v>61</v>
      </c>
      <c r="F1629" t="s">
        <v>62</v>
      </c>
      <c r="G1629" t="s">
        <v>63</v>
      </c>
      <c r="H1629" t="s">
        <v>64</v>
      </c>
      <c r="I1629" t="s">
        <v>108</v>
      </c>
      <c r="J1629" t="s">
        <v>109</v>
      </c>
      <c r="K1629">
        <v>1</v>
      </c>
      <c r="L1629">
        <v>6849.1</v>
      </c>
      <c r="M1629">
        <v>0</v>
      </c>
      <c r="N1629">
        <v>6849.1</v>
      </c>
      <c r="O1629">
        <v>4389.09</v>
      </c>
      <c r="P1629">
        <v>2460.0100000000002</v>
      </c>
      <c r="Q1629" t="s">
        <v>53</v>
      </c>
      <c r="R1629">
        <v>0.35917273802397398</v>
      </c>
      <c r="S1629">
        <v>2025</v>
      </c>
      <c r="T1629" t="s">
        <v>877</v>
      </c>
      <c r="U1629">
        <v>4</v>
      </c>
      <c r="V1629" t="s">
        <v>878</v>
      </c>
    </row>
    <row r="1630" spans="1:22" x14ac:dyDescent="0.3">
      <c r="A1630" t="s">
        <v>2618</v>
      </c>
      <c r="B1630" s="1">
        <v>45764</v>
      </c>
      <c r="C1630" t="s">
        <v>834</v>
      </c>
      <c r="D1630" t="s">
        <v>200</v>
      </c>
      <c r="E1630" t="s">
        <v>61</v>
      </c>
      <c r="F1630" t="s">
        <v>78</v>
      </c>
      <c r="G1630" t="s">
        <v>79</v>
      </c>
      <c r="H1630" t="s">
        <v>84</v>
      </c>
      <c r="I1630" t="s">
        <v>85</v>
      </c>
      <c r="J1630" t="s">
        <v>145</v>
      </c>
      <c r="K1630">
        <v>2</v>
      </c>
      <c r="L1630">
        <v>3224.82</v>
      </c>
      <c r="M1630">
        <v>0</v>
      </c>
      <c r="N1630">
        <v>6449.64</v>
      </c>
      <c r="O1630">
        <v>3809.69</v>
      </c>
      <c r="P1630">
        <v>2639.95</v>
      </c>
      <c r="Q1630" t="s">
        <v>31</v>
      </c>
      <c r="R1630">
        <v>0.40931741926681181</v>
      </c>
      <c r="S1630">
        <v>2025</v>
      </c>
      <c r="T1630" t="s">
        <v>877</v>
      </c>
      <c r="U1630">
        <v>4</v>
      </c>
      <c r="V1630" t="s">
        <v>878</v>
      </c>
    </row>
    <row r="1631" spans="1:22" x14ac:dyDescent="0.3">
      <c r="A1631" t="s">
        <v>2619</v>
      </c>
      <c r="B1631" s="1">
        <v>45764</v>
      </c>
      <c r="C1631" t="s">
        <v>1829</v>
      </c>
      <c r="D1631" t="s">
        <v>203</v>
      </c>
      <c r="E1631" t="s">
        <v>41</v>
      </c>
      <c r="F1631" t="s">
        <v>42</v>
      </c>
      <c r="G1631" t="s">
        <v>50</v>
      </c>
      <c r="H1631" t="s">
        <v>64</v>
      </c>
      <c r="I1631" t="s">
        <v>65</v>
      </c>
      <c r="J1631" t="s">
        <v>232</v>
      </c>
      <c r="K1631">
        <v>6</v>
      </c>
      <c r="L1631">
        <v>3797.08</v>
      </c>
      <c r="M1631">
        <v>0.1</v>
      </c>
      <c r="N1631">
        <v>20504.23</v>
      </c>
      <c r="O1631">
        <v>14821.27</v>
      </c>
      <c r="P1631">
        <v>5682.96</v>
      </c>
      <c r="Q1631" t="s">
        <v>46</v>
      </c>
      <c r="R1631">
        <v>0.2771603712989954</v>
      </c>
      <c r="S1631">
        <v>2025</v>
      </c>
      <c r="T1631" t="s">
        <v>877</v>
      </c>
      <c r="U1631">
        <v>4</v>
      </c>
      <c r="V1631" t="s">
        <v>878</v>
      </c>
    </row>
    <row r="1632" spans="1:22" x14ac:dyDescent="0.3">
      <c r="A1632" t="s">
        <v>2620</v>
      </c>
      <c r="B1632" s="1">
        <v>45764</v>
      </c>
      <c r="C1632" t="s">
        <v>612</v>
      </c>
      <c r="D1632" t="s">
        <v>1218</v>
      </c>
      <c r="E1632" t="s">
        <v>41</v>
      </c>
      <c r="F1632" t="s">
        <v>42</v>
      </c>
      <c r="G1632" t="s">
        <v>50</v>
      </c>
      <c r="H1632" t="s">
        <v>28</v>
      </c>
      <c r="I1632" t="s">
        <v>73</v>
      </c>
      <c r="J1632" t="s">
        <v>80</v>
      </c>
      <c r="K1632">
        <v>1</v>
      </c>
      <c r="L1632">
        <v>835.33</v>
      </c>
      <c r="M1632">
        <v>0</v>
      </c>
      <c r="N1632">
        <v>835.33</v>
      </c>
      <c r="O1632">
        <v>514.79999999999995</v>
      </c>
      <c r="P1632">
        <v>320.52999999999997</v>
      </c>
      <c r="Q1632" t="s">
        <v>53</v>
      </c>
      <c r="R1632">
        <v>0.38371661499048282</v>
      </c>
      <c r="S1632">
        <v>2025</v>
      </c>
      <c r="T1632" t="s">
        <v>877</v>
      </c>
      <c r="U1632">
        <v>4</v>
      </c>
      <c r="V1632" t="s">
        <v>878</v>
      </c>
    </row>
    <row r="1633" spans="1:22" x14ac:dyDescent="0.3">
      <c r="A1633" t="s">
        <v>2621</v>
      </c>
      <c r="B1633" s="1">
        <v>45765</v>
      </c>
      <c r="C1633" t="s">
        <v>709</v>
      </c>
      <c r="D1633" t="s">
        <v>103</v>
      </c>
      <c r="E1633" t="s">
        <v>25</v>
      </c>
      <c r="F1633" t="s">
        <v>26</v>
      </c>
      <c r="G1633" t="s">
        <v>260</v>
      </c>
      <c r="H1633" t="s">
        <v>28</v>
      </c>
      <c r="I1633" t="s">
        <v>29</v>
      </c>
      <c r="J1633" t="s">
        <v>57</v>
      </c>
      <c r="K1633">
        <v>1</v>
      </c>
      <c r="L1633">
        <v>16752.95</v>
      </c>
      <c r="M1633">
        <v>0.05</v>
      </c>
      <c r="N1633">
        <v>15915.3</v>
      </c>
      <c r="O1633">
        <v>12098.62</v>
      </c>
      <c r="P1633">
        <v>3816.68</v>
      </c>
      <c r="Q1633" t="s">
        <v>53</v>
      </c>
      <c r="R1633">
        <v>0.2398120048004122</v>
      </c>
      <c r="S1633">
        <v>2025</v>
      </c>
      <c r="T1633" t="s">
        <v>877</v>
      </c>
      <c r="U1633">
        <v>4</v>
      </c>
      <c r="V1633" t="s">
        <v>878</v>
      </c>
    </row>
    <row r="1634" spans="1:22" x14ac:dyDescent="0.3">
      <c r="A1634" t="s">
        <v>2622</v>
      </c>
      <c r="B1634" s="1">
        <v>45765</v>
      </c>
      <c r="C1634" t="s">
        <v>1892</v>
      </c>
      <c r="D1634" t="s">
        <v>1408</v>
      </c>
      <c r="E1634" t="s">
        <v>61</v>
      </c>
      <c r="F1634" t="s">
        <v>78</v>
      </c>
      <c r="G1634" t="s">
        <v>104</v>
      </c>
      <c r="H1634" t="s">
        <v>43</v>
      </c>
      <c r="I1634" t="s">
        <v>51</v>
      </c>
      <c r="J1634" t="s">
        <v>52</v>
      </c>
      <c r="K1634">
        <v>2</v>
      </c>
      <c r="L1634">
        <v>685.5</v>
      </c>
      <c r="M1634">
        <v>0</v>
      </c>
      <c r="N1634">
        <v>1371</v>
      </c>
      <c r="O1634">
        <v>654.87</v>
      </c>
      <c r="P1634">
        <v>716.13</v>
      </c>
      <c r="Q1634" t="s">
        <v>113</v>
      </c>
      <c r="R1634">
        <v>0.52234135667396064</v>
      </c>
      <c r="S1634">
        <v>2025</v>
      </c>
      <c r="T1634" t="s">
        <v>877</v>
      </c>
      <c r="U1634">
        <v>4</v>
      </c>
      <c r="V1634" t="s">
        <v>878</v>
      </c>
    </row>
    <row r="1635" spans="1:22" x14ac:dyDescent="0.3">
      <c r="A1635" t="s">
        <v>2623</v>
      </c>
      <c r="B1635" s="1">
        <v>45765</v>
      </c>
      <c r="C1635" t="s">
        <v>2624</v>
      </c>
      <c r="D1635" t="s">
        <v>56</v>
      </c>
      <c r="E1635" t="s">
        <v>61</v>
      </c>
      <c r="F1635" t="s">
        <v>71</v>
      </c>
      <c r="G1635" t="s">
        <v>317</v>
      </c>
      <c r="H1635" t="s">
        <v>84</v>
      </c>
      <c r="I1635" t="s">
        <v>138</v>
      </c>
      <c r="J1635" t="s">
        <v>220</v>
      </c>
      <c r="K1635">
        <v>1</v>
      </c>
      <c r="L1635">
        <v>7173.21</v>
      </c>
      <c r="M1635">
        <v>0.15</v>
      </c>
      <c r="N1635">
        <v>6097.23</v>
      </c>
      <c r="O1635">
        <v>4794.3999999999996</v>
      </c>
      <c r="P1635">
        <v>1302.83</v>
      </c>
      <c r="Q1635" t="s">
        <v>67</v>
      </c>
      <c r="R1635">
        <v>0.21367571831799029</v>
      </c>
      <c r="S1635">
        <v>2025</v>
      </c>
      <c r="T1635" t="s">
        <v>877</v>
      </c>
      <c r="U1635">
        <v>4</v>
      </c>
      <c r="V1635" t="s">
        <v>878</v>
      </c>
    </row>
    <row r="1636" spans="1:22" x14ac:dyDescent="0.3">
      <c r="A1636" t="s">
        <v>2625</v>
      </c>
      <c r="B1636" s="1">
        <v>45765</v>
      </c>
      <c r="C1636" t="s">
        <v>214</v>
      </c>
      <c r="D1636" t="s">
        <v>342</v>
      </c>
      <c r="E1636" t="s">
        <v>120</v>
      </c>
      <c r="F1636" t="s">
        <v>121</v>
      </c>
      <c r="G1636" t="s">
        <v>122</v>
      </c>
      <c r="H1636" t="s">
        <v>28</v>
      </c>
      <c r="I1636" t="s">
        <v>73</v>
      </c>
      <c r="J1636" t="s">
        <v>80</v>
      </c>
      <c r="K1636">
        <v>1</v>
      </c>
      <c r="L1636">
        <v>813.82</v>
      </c>
      <c r="M1636">
        <v>0.1</v>
      </c>
      <c r="N1636">
        <v>732.44</v>
      </c>
      <c r="O1636">
        <v>506.03</v>
      </c>
      <c r="P1636">
        <v>226.41</v>
      </c>
      <c r="Q1636" t="s">
        <v>67</v>
      </c>
      <c r="R1636">
        <v>0.3091174703729998</v>
      </c>
      <c r="S1636">
        <v>2025</v>
      </c>
      <c r="T1636" t="s">
        <v>877</v>
      </c>
      <c r="U1636">
        <v>4</v>
      </c>
      <c r="V1636" t="s">
        <v>878</v>
      </c>
    </row>
    <row r="1637" spans="1:22" x14ac:dyDescent="0.3">
      <c r="A1637" t="s">
        <v>2626</v>
      </c>
      <c r="B1637" s="1">
        <v>45765</v>
      </c>
      <c r="C1637" t="s">
        <v>1673</v>
      </c>
      <c r="D1637" t="s">
        <v>133</v>
      </c>
      <c r="E1637" t="s">
        <v>120</v>
      </c>
      <c r="F1637" t="s">
        <v>121</v>
      </c>
      <c r="G1637" t="s">
        <v>130</v>
      </c>
      <c r="H1637" t="s">
        <v>43</v>
      </c>
      <c r="I1637" t="s">
        <v>44</v>
      </c>
      <c r="J1637" t="s">
        <v>248</v>
      </c>
      <c r="K1637">
        <v>2</v>
      </c>
      <c r="L1637">
        <v>313.77999999999997</v>
      </c>
      <c r="M1637">
        <v>0.1</v>
      </c>
      <c r="N1637">
        <v>564.79999999999995</v>
      </c>
      <c r="O1637">
        <v>272.42</v>
      </c>
      <c r="P1637">
        <v>292.38</v>
      </c>
      <c r="Q1637" t="s">
        <v>46</v>
      </c>
      <c r="R1637">
        <v>0.51766997167138817</v>
      </c>
      <c r="S1637">
        <v>2025</v>
      </c>
      <c r="T1637" t="s">
        <v>877</v>
      </c>
      <c r="U1637">
        <v>4</v>
      </c>
      <c r="V1637" t="s">
        <v>878</v>
      </c>
    </row>
    <row r="1638" spans="1:22" x14ac:dyDescent="0.3">
      <c r="A1638" t="s">
        <v>2627</v>
      </c>
      <c r="B1638" s="1">
        <v>45765</v>
      </c>
      <c r="C1638" t="s">
        <v>791</v>
      </c>
      <c r="D1638" t="s">
        <v>301</v>
      </c>
      <c r="E1638" t="s">
        <v>61</v>
      </c>
      <c r="F1638" t="s">
        <v>62</v>
      </c>
      <c r="G1638" t="s">
        <v>63</v>
      </c>
      <c r="H1638" t="s">
        <v>28</v>
      </c>
      <c r="I1638" t="s">
        <v>91</v>
      </c>
      <c r="J1638" t="s">
        <v>126</v>
      </c>
      <c r="K1638">
        <v>2</v>
      </c>
      <c r="L1638">
        <v>2001.92</v>
      </c>
      <c r="M1638">
        <v>0.05</v>
      </c>
      <c r="N1638">
        <v>3803.65</v>
      </c>
      <c r="O1638">
        <v>2269.35</v>
      </c>
      <c r="P1638">
        <v>1534.3</v>
      </c>
      <c r="Q1638" t="s">
        <v>113</v>
      </c>
      <c r="R1638">
        <v>0.40337570491501579</v>
      </c>
      <c r="S1638">
        <v>2025</v>
      </c>
      <c r="T1638" t="s">
        <v>877</v>
      </c>
      <c r="U1638">
        <v>4</v>
      </c>
      <c r="V1638" t="s">
        <v>878</v>
      </c>
    </row>
    <row r="1639" spans="1:22" x14ac:dyDescent="0.3">
      <c r="A1639" t="s">
        <v>2628</v>
      </c>
      <c r="B1639" s="1">
        <v>45766</v>
      </c>
      <c r="C1639" t="s">
        <v>915</v>
      </c>
      <c r="D1639" t="s">
        <v>357</v>
      </c>
      <c r="E1639" t="s">
        <v>120</v>
      </c>
      <c r="F1639" t="s">
        <v>121</v>
      </c>
      <c r="G1639" t="s">
        <v>130</v>
      </c>
      <c r="H1639" t="s">
        <v>84</v>
      </c>
      <c r="I1639" t="s">
        <v>85</v>
      </c>
      <c r="J1639" t="s">
        <v>86</v>
      </c>
      <c r="K1639">
        <v>2</v>
      </c>
      <c r="L1639">
        <v>1889.96</v>
      </c>
      <c r="M1639">
        <v>0</v>
      </c>
      <c r="N1639">
        <v>3779.92</v>
      </c>
      <c r="O1639">
        <v>2115.09</v>
      </c>
      <c r="P1639">
        <v>1664.83</v>
      </c>
      <c r="Q1639" t="s">
        <v>31</v>
      </c>
      <c r="R1639">
        <v>0.44044053842409359</v>
      </c>
      <c r="S1639">
        <v>2025</v>
      </c>
      <c r="T1639" t="s">
        <v>877</v>
      </c>
      <c r="U1639">
        <v>4</v>
      </c>
      <c r="V1639" t="s">
        <v>878</v>
      </c>
    </row>
    <row r="1640" spans="1:22" x14ac:dyDescent="0.3">
      <c r="A1640" t="s">
        <v>2629</v>
      </c>
      <c r="B1640" s="1">
        <v>45766</v>
      </c>
      <c r="C1640" t="s">
        <v>230</v>
      </c>
      <c r="D1640" t="s">
        <v>129</v>
      </c>
      <c r="E1640" t="s">
        <v>25</v>
      </c>
      <c r="F1640" t="s">
        <v>26</v>
      </c>
      <c r="G1640" t="s">
        <v>27</v>
      </c>
      <c r="H1640" t="s">
        <v>64</v>
      </c>
      <c r="I1640" t="s">
        <v>108</v>
      </c>
      <c r="J1640" t="s">
        <v>155</v>
      </c>
      <c r="K1640">
        <v>1</v>
      </c>
      <c r="L1640">
        <v>8087.5</v>
      </c>
      <c r="M1640">
        <v>0.1</v>
      </c>
      <c r="N1640">
        <v>7278.75</v>
      </c>
      <c r="O1640">
        <v>5388.76</v>
      </c>
      <c r="P1640">
        <v>1889.99</v>
      </c>
      <c r="Q1640" t="s">
        <v>46</v>
      </c>
      <c r="R1640">
        <v>0.25965859522582863</v>
      </c>
      <c r="S1640">
        <v>2025</v>
      </c>
      <c r="T1640" t="s">
        <v>877</v>
      </c>
      <c r="U1640">
        <v>4</v>
      </c>
      <c r="V1640" t="s">
        <v>878</v>
      </c>
    </row>
    <row r="1641" spans="1:22" x14ac:dyDescent="0.3">
      <c r="A1641" t="s">
        <v>2630</v>
      </c>
      <c r="B1641" s="1">
        <v>45766</v>
      </c>
      <c r="C1641" t="s">
        <v>421</v>
      </c>
      <c r="D1641" t="s">
        <v>747</v>
      </c>
      <c r="E1641" t="s">
        <v>61</v>
      </c>
      <c r="F1641" t="s">
        <v>62</v>
      </c>
      <c r="G1641" t="s">
        <v>228</v>
      </c>
      <c r="H1641" t="s">
        <v>64</v>
      </c>
      <c r="I1641" t="s">
        <v>108</v>
      </c>
      <c r="J1641" t="s">
        <v>109</v>
      </c>
      <c r="K1641">
        <v>3</v>
      </c>
      <c r="L1641">
        <v>6944.99</v>
      </c>
      <c r="M1641">
        <v>0</v>
      </c>
      <c r="N1641">
        <v>20834.97</v>
      </c>
      <c r="O1641">
        <v>13752.23</v>
      </c>
      <c r="P1641">
        <v>7082.74</v>
      </c>
      <c r="Q1641" t="s">
        <v>46</v>
      </c>
      <c r="R1641">
        <v>0.3399448139354172</v>
      </c>
      <c r="S1641">
        <v>2025</v>
      </c>
      <c r="T1641" t="s">
        <v>877</v>
      </c>
      <c r="U1641">
        <v>4</v>
      </c>
      <c r="V1641" t="s">
        <v>878</v>
      </c>
    </row>
    <row r="1642" spans="1:22" x14ac:dyDescent="0.3">
      <c r="A1642" t="s">
        <v>2631</v>
      </c>
      <c r="B1642" s="1">
        <v>45768</v>
      </c>
      <c r="C1642" t="s">
        <v>2456</v>
      </c>
      <c r="D1642" t="s">
        <v>571</v>
      </c>
      <c r="E1642" t="s">
        <v>41</v>
      </c>
      <c r="F1642" t="s">
        <v>42</v>
      </c>
      <c r="G1642" t="s">
        <v>50</v>
      </c>
      <c r="H1642" t="s">
        <v>84</v>
      </c>
      <c r="I1642" t="s">
        <v>138</v>
      </c>
      <c r="J1642" t="s">
        <v>139</v>
      </c>
      <c r="K1642">
        <v>1</v>
      </c>
      <c r="L1642">
        <v>13125.74</v>
      </c>
      <c r="M1642">
        <v>0.05</v>
      </c>
      <c r="N1642">
        <v>12469.45</v>
      </c>
      <c r="O1642">
        <v>9249.6</v>
      </c>
      <c r="P1642">
        <v>3219.85</v>
      </c>
      <c r="Q1642" t="s">
        <v>31</v>
      </c>
      <c r="R1642">
        <v>0.2582190874497271</v>
      </c>
      <c r="S1642">
        <v>2025</v>
      </c>
      <c r="T1642" t="s">
        <v>877</v>
      </c>
      <c r="U1642">
        <v>4</v>
      </c>
      <c r="V1642" t="s">
        <v>878</v>
      </c>
    </row>
    <row r="1643" spans="1:22" x14ac:dyDescent="0.3">
      <c r="A1643" t="s">
        <v>2632</v>
      </c>
      <c r="B1643" s="1">
        <v>45768</v>
      </c>
      <c r="C1643" t="s">
        <v>423</v>
      </c>
      <c r="D1643" t="s">
        <v>393</v>
      </c>
      <c r="E1643" t="s">
        <v>61</v>
      </c>
      <c r="F1643" t="s">
        <v>71</v>
      </c>
      <c r="G1643" t="s">
        <v>317</v>
      </c>
      <c r="H1643" t="s">
        <v>84</v>
      </c>
      <c r="I1643" t="s">
        <v>138</v>
      </c>
      <c r="J1643" t="s">
        <v>139</v>
      </c>
      <c r="K1643">
        <v>1</v>
      </c>
      <c r="L1643">
        <v>13696.14</v>
      </c>
      <c r="M1643">
        <v>0.1</v>
      </c>
      <c r="N1643">
        <v>12326.53</v>
      </c>
      <c r="O1643">
        <v>9760.0400000000009</v>
      </c>
      <c r="P1643">
        <v>2566.4899999999998</v>
      </c>
      <c r="Q1643" t="s">
        <v>31</v>
      </c>
      <c r="R1643">
        <v>0.2082086361693031</v>
      </c>
      <c r="S1643">
        <v>2025</v>
      </c>
      <c r="T1643" t="s">
        <v>877</v>
      </c>
      <c r="U1643">
        <v>4</v>
      </c>
      <c r="V1643" t="s">
        <v>878</v>
      </c>
    </row>
    <row r="1644" spans="1:22" x14ac:dyDescent="0.3">
      <c r="A1644" t="s">
        <v>2633</v>
      </c>
      <c r="B1644" s="1">
        <v>45768</v>
      </c>
      <c r="C1644" t="s">
        <v>294</v>
      </c>
      <c r="D1644" t="s">
        <v>316</v>
      </c>
      <c r="E1644" t="s">
        <v>41</v>
      </c>
      <c r="F1644" t="s">
        <v>42</v>
      </c>
      <c r="G1644" t="s">
        <v>50</v>
      </c>
      <c r="H1644" t="s">
        <v>84</v>
      </c>
      <c r="I1644" t="s">
        <v>85</v>
      </c>
      <c r="J1644" t="s">
        <v>86</v>
      </c>
      <c r="K1644">
        <v>4</v>
      </c>
      <c r="L1644">
        <v>1721.8</v>
      </c>
      <c r="M1644">
        <v>0.1</v>
      </c>
      <c r="N1644">
        <v>6198.48</v>
      </c>
      <c r="O1644">
        <v>3585.77</v>
      </c>
      <c r="P1644">
        <v>2612.71</v>
      </c>
      <c r="Q1644" t="s">
        <v>31</v>
      </c>
      <c r="R1644">
        <v>0.42150817619803571</v>
      </c>
      <c r="S1644">
        <v>2025</v>
      </c>
      <c r="T1644" t="s">
        <v>877</v>
      </c>
      <c r="U1644">
        <v>4</v>
      </c>
      <c r="V1644" t="s">
        <v>878</v>
      </c>
    </row>
    <row r="1645" spans="1:22" x14ac:dyDescent="0.3">
      <c r="A1645" t="s">
        <v>2634</v>
      </c>
      <c r="B1645" s="1">
        <v>45769</v>
      </c>
      <c r="C1645" t="s">
        <v>1080</v>
      </c>
      <c r="D1645" t="s">
        <v>103</v>
      </c>
      <c r="E1645" t="s">
        <v>61</v>
      </c>
      <c r="F1645" t="s">
        <v>62</v>
      </c>
      <c r="G1645" t="s">
        <v>63</v>
      </c>
      <c r="H1645" t="s">
        <v>43</v>
      </c>
      <c r="I1645" t="s">
        <v>44</v>
      </c>
      <c r="J1645" t="s">
        <v>45</v>
      </c>
      <c r="K1645">
        <v>2</v>
      </c>
      <c r="L1645">
        <v>243.7</v>
      </c>
      <c r="M1645">
        <v>0.05</v>
      </c>
      <c r="N1645">
        <v>463.03</v>
      </c>
      <c r="O1645">
        <v>180.11</v>
      </c>
      <c r="P1645">
        <v>282.92</v>
      </c>
      <c r="Q1645" t="s">
        <v>53</v>
      </c>
      <c r="R1645">
        <v>0.6110187244886941</v>
      </c>
      <c r="S1645">
        <v>2025</v>
      </c>
      <c r="T1645" t="s">
        <v>877</v>
      </c>
      <c r="U1645">
        <v>4</v>
      </c>
      <c r="V1645" t="s">
        <v>878</v>
      </c>
    </row>
    <row r="1646" spans="1:22" x14ac:dyDescent="0.3">
      <c r="A1646" t="s">
        <v>2635</v>
      </c>
      <c r="B1646" s="1">
        <v>45770</v>
      </c>
      <c r="C1646" t="s">
        <v>2401</v>
      </c>
      <c r="D1646" t="s">
        <v>1098</v>
      </c>
      <c r="E1646" t="s">
        <v>61</v>
      </c>
      <c r="F1646" t="s">
        <v>71</v>
      </c>
      <c r="G1646" t="s">
        <v>100</v>
      </c>
      <c r="H1646" t="s">
        <v>28</v>
      </c>
      <c r="I1646" t="s">
        <v>91</v>
      </c>
      <c r="J1646" t="s">
        <v>92</v>
      </c>
      <c r="K1646">
        <v>3</v>
      </c>
      <c r="L1646">
        <v>3133.99</v>
      </c>
      <c r="M1646">
        <v>0.1</v>
      </c>
      <c r="N1646">
        <v>8461.77</v>
      </c>
      <c r="O1646">
        <v>4933.46</v>
      </c>
      <c r="P1646">
        <v>3528.31</v>
      </c>
      <c r="Q1646" t="s">
        <v>53</v>
      </c>
      <c r="R1646">
        <v>0.41697068107499963</v>
      </c>
      <c r="S1646">
        <v>2025</v>
      </c>
      <c r="T1646" t="s">
        <v>877</v>
      </c>
      <c r="U1646">
        <v>4</v>
      </c>
      <c r="V1646" t="s">
        <v>878</v>
      </c>
    </row>
    <row r="1647" spans="1:22" x14ac:dyDescent="0.3">
      <c r="A1647" t="s">
        <v>2636</v>
      </c>
      <c r="B1647" s="1">
        <v>45770</v>
      </c>
      <c r="C1647" t="s">
        <v>59</v>
      </c>
      <c r="D1647" t="s">
        <v>780</v>
      </c>
      <c r="E1647" t="s">
        <v>61</v>
      </c>
      <c r="F1647" t="s">
        <v>71</v>
      </c>
      <c r="G1647" t="s">
        <v>317</v>
      </c>
      <c r="H1647" t="s">
        <v>84</v>
      </c>
      <c r="I1647" t="s">
        <v>138</v>
      </c>
      <c r="J1647" t="s">
        <v>139</v>
      </c>
      <c r="K1647">
        <v>5</v>
      </c>
      <c r="L1647">
        <v>12646.94</v>
      </c>
      <c r="M1647">
        <v>0</v>
      </c>
      <c r="N1647">
        <v>63234.7</v>
      </c>
      <c r="O1647">
        <v>45035.16</v>
      </c>
      <c r="P1647">
        <v>18199.54</v>
      </c>
      <c r="Q1647" t="s">
        <v>46</v>
      </c>
      <c r="R1647">
        <v>0.2878093831393207</v>
      </c>
      <c r="S1647">
        <v>2025</v>
      </c>
      <c r="T1647" t="s">
        <v>877</v>
      </c>
      <c r="U1647">
        <v>4</v>
      </c>
      <c r="V1647" t="s">
        <v>878</v>
      </c>
    </row>
    <row r="1648" spans="1:22" x14ac:dyDescent="0.3">
      <c r="A1648" t="s">
        <v>2637</v>
      </c>
      <c r="B1648" s="1">
        <v>45770</v>
      </c>
      <c r="C1648" t="s">
        <v>1135</v>
      </c>
      <c r="D1648" t="s">
        <v>256</v>
      </c>
      <c r="E1648" t="s">
        <v>61</v>
      </c>
      <c r="F1648" t="s">
        <v>71</v>
      </c>
      <c r="G1648" t="s">
        <v>72</v>
      </c>
      <c r="H1648" t="s">
        <v>43</v>
      </c>
      <c r="I1648" t="s">
        <v>51</v>
      </c>
      <c r="J1648" t="s">
        <v>52</v>
      </c>
      <c r="K1648">
        <v>5</v>
      </c>
      <c r="L1648">
        <v>737.01</v>
      </c>
      <c r="M1648">
        <v>0.05</v>
      </c>
      <c r="N1648">
        <v>3500.8</v>
      </c>
      <c r="O1648">
        <v>1707.76</v>
      </c>
      <c r="P1648">
        <v>1793.04</v>
      </c>
      <c r="Q1648" t="s">
        <v>31</v>
      </c>
      <c r="R1648">
        <v>0.51218007312614255</v>
      </c>
      <c r="S1648">
        <v>2025</v>
      </c>
      <c r="T1648" t="s">
        <v>877</v>
      </c>
      <c r="U1648">
        <v>4</v>
      </c>
      <c r="V1648" t="s">
        <v>878</v>
      </c>
    </row>
    <row r="1649" spans="1:22" x14ac:dyDescent="0.3">
      <c r="A1649" t="s">
        <v>2638</v>
      </c>
      <c r="B1649" s="1">
        <v>45770</v>
      </c>
      <c r="C1649" t="s">
        <v>492</v>
      </c>
      <c r="D1649" t="s">
        <v>56</v>
      </c>
      <c r="E1649" t="s">
        <v>41</v>
      </c>
      <c r="F1649" t="s">
        <v>42</v>
      </c>
      <c r="G1649" t="s">
        <v>42</v>
      </c>
      <c r="H1649" t="s">
        <v>28</v>
      </c>
      <c r="I1649" t="s">
        <v>29</v>
      </c>
      <c r="J1649" t="s">
        <v>30</v>
      </c>
      <c r="K1649">
        <v>1</v>
      </c>
      <c r="L1649">
        <v>56458.5</v>
      </c>
      <c r="M1649">
        <v>0.1</v>
      </c>
      <c r="N1649">
        <v>50812.65</v>
      </c>
      <c r="O1649">
        <v>49671.06</v>
      </c>
      <c r="P1649">
        <v>1141.5899999999999</v>
      </c>
      <c r="Q1649" t="s">
        <v>31</v>
      </c>
      <c r="R1649">
        <v>2.2466649544945989E-2</v>
      </c>
      <c r="S1649">
        <v>2025</v>
      </c>
      <c r="T1649" t="s">
        <v>877</v>
      </c>
      <c r="U1649">
        <v>4</v>
      </c>
      <c r="V1649" t="s">
        <v>878</v>
      </c>
    </row>
    <row r="1650" spans="1:22" x14ac:dyDescent="0.3">
      <c r="A1650" t="s">
        <v>2639</v>
      </c>
      <c r="B1650" s="1">
        <v>45770</v>
      </c>
      <c r="C1650" t="s">
        <v>746</v>
      </c>
      <c r="D1650" t="s">
        <v>36</v>
      </c>
      <c r="E1650" t="s">
        <v>41</v>
      </c>
      <c r="F1650" t="s">
        <v>42</v>
      </c>
      <c r="G1650" t="s">
        <v>50</v>
      </c>
      <c r="H1650" t="s">
        <v>64</v>
      </c>
      <c r="I1650" t="s">
        <v>65</v>
      </c>
      <c r="J1650" t="s">
        <v>66</v>
      </c>
      <c r="K1650">
        <v>6</v>
      </c>
      <c r="L1650">
        <v>5033.54</v>
      </c>
      <c r="M1650">
        <v>0</v>
      </c>
      <c r="N1650">
        <v>30201.24</v>
      </c>
      <c r="O1650">
        <v>18792.7</v>
      </c>
      <c r="P1650">
        <v>11408.54</v>
      </c>
      <c r="Q1650" t="s">
        <v>46</v>
      </c>
      <c r="R1650">
        <v>0.37775071487131001</v>
      </c>
      <c r="S1650">
        <v>2025</v>
      </c>
      <c r="T1650" t="s">
        <v>877</v>
      </c>
      <c r="U1650">
        <v>4</v>
      </c>
      <c r="V1650" t="s">
        <v>878</v>
      </c>
    </row>
    <row r="1651" spans="1:22" x14ac:dyDescent="0.3">
      <c r="A1651" t="s">
        <v>2640</v>
      </c>
      <c r="B1651" s="1">
        <v>45770</v>
      </c>
      <c r="C1651" t="s">
        <v>1065</v>
      </c>
      <c r="D1651" t="s">
        <v>1795</v>
      </c>
      <c r="E1651" t="s">
        <v>61</v>
      </c>
      <c r="F1651" t="s">
        <v>62</v>
      </c>
      <c r="G1651" t="s">
        <v>90</v>
      </c>
      <c r="H1651" t="s">
        <v>64</v>
      </c>
      <c r="I1651" t="s">
        <v>65</v>
      </c>
      <c r="J1651" t="s">
        <v>66</v>
      </c>
      <c r="K1651">
        <v>1</v>
      </c>
      <c r="L1651">
        <v>4928.5600000000004</v>
      </c>
      <c r="M1651">
        <v>0</v>
      </c>
      <c r="N1651">
        <v>4928.5600000000004</v>
      </c>
      <c r="O1651">
        <v>2946.06</v>
      </c>
      <c r="P1651">
        <v>1982.5</v>
      </c>
      <c r="Q1651" t="s">
        <v>31</v>
      </c>
      <c r="R1651">
        <v>0.40224730955897858</v>
      </c>
      <c r="S1651">
        <v>2025</v>
      </c>
      <c r="T1651" t="s">
        <v>877</v>
      </c>
      <c r="U1651">
        <v>4</v>
      </c>
      <c r="V1651" t="s">
        <v>878</v>
      </c>
    </row>
    <row r="1652" spans="1:22" x14ac:dyDescent="0.3">
      <c r="A1652" t="s">
        <v>2641</v>
      </c>
      <c r="B1652" s="1">
        <v>45770</v>
      </c>
      <c r="C1652" t="s">
        <v>330</v>
      </c>
      <c r="D1652" t="s">
        <v>726</v>
      </c>
      <c r="E1652" t="s">
        <v>120</v>
      </c>
      <c r="F1652" t="s">
        <v>121</v>
      </c>
      <c r="G1652" t="s">
        <v>224</v>
      </c>
      <c r="H1652" t="s">
        <v>28</v>
      </c>
      <c r="I1652" t="s">
        <v>29</v>
      </c>
      <c r="J1652" t="s">
        <v>30</v>
      </c>
      <c r="K1652">
        <v>3</v>
      </c>
      <c r="L1652">
        <v>62475.98</v>
      </c>
      <c r="M1652">
        <v>0</v>
      </c>
      <c r="N1652">
        <v>187427.94</v>
      </c>
      <c r="O1652">
        <v>161783.07999999999</v>
      </c>
      <c r="P1652">
        <v>25644.86</v>
      </c>
      <c r="Q1652" t="s">
        <v>31</v>
      </c>
      <c r="R1652">
        <v>0.13682517131650701</v>
      </c>
      <c r="S1652">
        <v>2025</v>
      </c>
      <c r="T1652" t="s">
        <v>877</v>
      </c>
      <c r="U1652">
        <v>4</v>
      </c>
      <c r="V1652" t="s">
        <v>878</v>
      </c>
    </row>
    <row r="1653" spans="1:22" x14ac:dyDescent="0.3">
      <c r="A1653" t="s">
        <v>2642</v>
      </c>
      <c r="B1653" s="1">
        <v>45771</v>
      </c>
      <c r="C1653" t="s">
        <v>280</v>
      </c>
      <c r="D1653" t="s">
        <v>1490</v>
      </c>
      <c r="E1653" t="s">
        <v>61</v>
      </c>
      <c r="F1653" t="s">
        <v>71</v>
      </c>
      <c r="G1653" t="s">
        <v>100</v>
      </c>
      <c r="H1653" t="s">
        <v>84</v>
      </c>
      <c r="I1653" t="s">
        <v>85</v>
      </c>
      <c r="J1653" t="s">
        <v>145</v>
      </c>
      <c r="K1653">
        <v>3</v>
      </c>
      <c r="L1653">
        <v>3394.73</v>
      </c>
      <c r="M1653">
        <v>0.05</v>
      </c>
      <c r="N1653">
        <v>9674.98</v>
      </c>
      <c r="O1653">
        <v>5683.27</v>
      </c>
      <c r="P1653">
        <v>3991.71</v>
      </c>
      <c r="Q1653" t="s">
        <v>31</v>
      </c>
      <c r="R1653">
        <v>0.41258069784123591</v>
      </c>
      <c r="S1653">
        <v>2025</v>
      </c>
      <c r="T1653" t="s">
        <v>877</v>
      </c>
      <c r="U1653">
        <v>4</v>
      </c>
      <c r="V1653" t="s">
        <v>878</v>
      </c>
    </row>
    <row r="1654" spans="1:22" x14ac:dyDescent="0.3">
      <c r="A1654" t="s">
        <v>2643</v>
      </c>
      <c r="B1654" s="1">
        <v>45771</v>
      </c>
      <c r="C1654" t="s">
        <v>656</v>
      </c>
      <c r="D1654" t="s">
        <v>103</v>
      </c>
      <c r="E1654" t="s">
        <v>61</v>
      </c>
      <c r="F1654" t="s">
        <v>78</v>
      </c>
      <c r="G1654" t="s">
        <v>104</v>
      </c>
      <c r="H1654" t="s">
        <v>64</v>
      </c>
      <c r="I1654" t="s">
        <v>108</v>
      </c>
      <c r="J1654" t="s">
        <v>109</v>
      </c>
      <c r="K1654">
        <v>1</v>
      </c>
      <c r="L1654">
        <v>7355</v>
      </c>
      <c r="M1654">
        <v>0.05</v>
      </c>
      <c r="N1654">
        <v>6987.25</v>
      </c>
      <c r="O1654">
        <v>4747.82</v>
      </c>
      <c r="P1654">
        <v>2239.4299999999998</v>
      </c>
      <c r="Q1654" t="s">
        <v>67</v>
      </c>
      <c r="R1654">
        <v>0.3205023435543311</v>
      </c>
      <c r="S1654">
        <v>2025</v>
      </c>
      <c r="T1654" t="s">
        <v>877</v>
      </c>
      <c r="U1654">
        <v>4</v>
      </c>
      <c r="V1654" t="s">
        <v>878</v>
      </c>
    </row>
    <row r="1655" spans="1:22" x14ac:dyDescent="0.3">
      <c r="A1655" t="s">
        <v>2644</v>
      </c>
      <c r="B1655" s="1">
        <v>45771</v>
      </c>
      <c r="C1655" t="s">
        <v>819</v>
      </c>
      <c r="D1655" t="s">
        <v>390</v>
      </c>
      <c r="E1655" t="s">
        <v>120</v>
      </c>
      <c r="F1655" t="s">
        <v>121</v>
      </c>
      <c r="G1655" t="s">
        <v>122</v>
      </c>
      <c r="H1655" t="s">
        <v>28</v>
      </c>
      <c r="I1655" t="s">
        <v>29</v>
      </c>
      <c r="J1655" t="s">
        <v>30</v>
      </c>
      <c r="K1655">
        <v>1</v>
      </c>
      <c r="L1655">
        <v>60475.01</v>
      </c>
      <c r="M1655">
        <v>0.05</v>
      </c>
      <c r="N1655">
        <v>57451.26</v>
      </c>
      <c r="O1655">
        <v>51343.89</v>
      </c>
      <c r="P1655">
        <v>6107.37</v>
      </c>
      <c r="Q1655" t="s">
        <v>31</v>
      </c>
      <c r="R1655">
        <v>0.10630524030282359</v>
      </c>
      <c r="S1655">
        <v>2025</v>
      </c>
      <c r="T1655" t="s">
        <v>877</v>
      </c>
      <c r="U1655">
        <v>4</v>
      </c>
      <c r="V1655" t="s">
        <v>878</v>
      </c>
    </row>
    <row r="1656" spans="1:22" x14ac:dyDescent="0.3">
      <c r="A1656" t="s">
        <v>2645</v>
      </c>
      <c r="B1656" s="1">
        <v>45771</v>
      </c>
      <c r="C1656" t="s">
        <v>69</v>
      </c>
      <c r="D1656" t="s">
        <v>36</v>
      </c>
      <c r="E1656" t="s">
        <v>61</v>
      </c>
      <c r="F1656" t="s">
        <v>62</v>
      </c>
      <c r="G1656" t="s">
        <v>90</v>
      </c>
      <c r="H1656" t="s">
        <v>43</v>
      </c>
      <c r="I1656" t="s">
        <v>44</v>
      </c>
      <c r="J1656" t="s">
        <v>248</v>
      </c>
      <c r="K1656">
        <v>2</v>
      </c>
      <c r="L1656">
        <v>306.87</v>
      </c>
      <c r="M1656">
        <v>0.1</v>
      </c>
      <c r="N1656">
        <v>552.37</v>
      </c>
      <c r="O1656">
        <v>263.10000000000002</v>
      </c>
      <c r="P1656">
        <v>289.27</v>
      </c>
      <c r="Q1656" t="s">
        <v>31</v>
      </c>
      <c r="R1656">
        <v>0.52368883176131942</v>
      </c>
      <c r="S1656">
        <v>2025</v>
      </c>
      <c r="T1656" t="s">
        <v>877</v>
      </c>
      <c r="U1656">
        <v>4</v>
      </c>
      <c r="V1656" t="s">
        <v>878</v>
      </c>
    </row>
    <row r="1657" spans="1:22" x14ac:dyDescent="0.3">
      <c r="A1657" t="s">
        <v>2646</v>
      </c>
      <c r="B1657" s="1">
        <v>45771</v>
      </c>
      <c r="C1657" t="s">
        <v>2647</v>
      </c>
      <c r="D1657" t="s">
        <v>901</v>
      </c>
      <c r="E1657" t="s">
        <v>61</v>
      </c>
      <c r="F1657" t="s">
        <v>71</v>
      </c>
      <c r="G1657" t="s">
        <v>201</v>
      </c>
      <c r="H1657" t="s">
        <v>28</v>
      </c>
      <c r="I1657" t="s">
        <v>29</v>
      </c>
      <c r="J1657" t="s">
        <v>30</v>
      </c>
      <c r="K1657">
        <v>4</v>
      </c>
      <c r="L1657">
        <v>57875.8</v>
      </c>
      <c r="M1657">
        <v>0.1</v>
      </c>
      <c r="N1657">
        <v>208352.88</v>
      </c>
      <c r="O1657">
        <v>199096.06</v>
      </c>
      <c r="P1657">
        <v>9256.82</v>
      </c>
      <c r="Q1657" t="s">
        <v>31</v>
      </c>
      <c r="R1657">
        <v>4.4428567534079678E-2</v>
      </c>
      <c r="S1657">
        <v>2025</v>
      </c>
      <c r="T1657" t="s">
        <v>877</v>
      </c>
      <c r="U1657">
        <v>4</v>
      </c>
      <c r="V1657" t="s">
        <v>878</v>
      </c>
    </row>
    <row r="1658" spans="1:22" x14ac:dyDescent="0.3">
      <c r="A1658" t="s">
        <v>2648</v>
      </c>
      <c r="B1658" s="1">
        <v>45772</v>
      </c>
      <c r="C1658" t="s">
        <v>561</v>
      </c>
      <c r="D1658" t="s">
        <v>1285</v>
      </c>
      <c r="E1658" t="s">
        <v>61</v>
      </c>
      <c r="F1658" t="s">
        <v>78</v>
      </c>
      <c r="G1658" t="s">
        <v>79</v>
      </c>
      <c r="H1658" t="s">
        <v>64</v>
      </c>
      <c r="I1658" t="s">
        <v>108</v>
      </c>
      <c r="J1658" t="s">
        <v>155</v>
      </c>
      <c r="K1658">
        <v>4</v>
      </c>
      <c r="L1658">
        <v>8548.2199999999993</v>
      </c>
      <c r="M1658">
        <v>0.05</v>
      </c>
      <c r="N1658">
        <v>32483.24</v>
      </c>
      <c r="O1658">
        <v>23397.29</v>
      </c>
      <c r="P1658">
        <v>9085.9500000000007</v>
      </c>
      <c r="Q1658" t="s">
        <v>31</v>
      </c>
      <c r="R1658">
        <v>0.27971193760228352</v>
      </c>
      <c r="S1658">
        <v>2025</v>
      </c>
      <c r="T1658" t="s">
        <v>877</v>
      </c>
      <c r="U1658">
        <v>4</v>
      </c>
      <c r="V1658" t="s">
        <v>878</v>
      </c>
    </row>
    <row r="1659" spans="1:22" x14ac:dyDescent="0.3">
      <c r="A1659" t="s">
        <v>2649</v>
      </c>
      <c r="B1659" s="1">
        <v>45772</v>
      </c>
      <c r="C1659" t="s">
        <v>927</v>
      </c>
      <c r="D1659" t="s">
        <v>137</v>
      </c>
      <c r="E1659" t="s">
        <v>61</v>
      </c>
      <c r="F1659" t="s">
        <v>78</v>
      </c>
      <c r="G1659" t="s">
        <v>79</v>
      </c>
      <c r="H1659" t="s">
        <v>43</v>
      </c>
      <c r="I1659" t="s">
        <v>44</v>
      </c>
      <c r="J1659" t="s">
        <v>248</v>
      </c>
      <c r="K1659">
        <v>1</v>
      </c>
      <c r="L1659">
        <v>284.08999999999997</v>
      </c>
      <c r="M1659">
        <v>0.1</v>
      </c>
      <c r="N1659">
        <v>255.68</v>
      </c>
      <c r="O1659">
        <v>121.94</v>
      </c>
      <c r="P1659">
        <v>133.74</v>
      </c>
      <c r="Q1659" t="s">
        <v>31</v>
      </c>
      <c r="R1659">
        <v>0.52307571964956201</v>
      </c>
      <c r="S1659">
        <v>2025</v>
      </c>
      <c r="T1659" t="s">
        <v>877</v>
      </c>
      <c r="U1659">
        <v>4</v>
      </c>
      <c r="V1659" t="s">
        <v>878</v>
      </c>
    </row>
    <row r="1660" spans="1:22" x14ac:dyDescent="0.3">
      <c r="A1660" t="s">
        <v>2650</v>
      </c>
      <c r="B1660" s="1">
        <v>45772</v>
      </c>
      <c r="C1660" t="s">
        <v>379</v>
      </c>
      <c r="D1660" t="s">
        <v>844</v>
      </c>
      <c r="E1660" t="s">
        <v>61</v>
      </c>
      <c r="F1660" t="s">
        <v>78</v>
      </c>
      <c r="G1660" t="s">
        <v>83</v>
      </c>
      <c r="H1660" t="s">
        <v>64</v>
      </c>
      <c r="I1660" t="s">
        <v>108</v>
      </c>
      <c r="J1660" t="s">
        <v>155</v>
      </c>
      <c r="K1660">
        <v>3</v>
      </c>
      <c r="L1660">
        <v>8722.01</v>
      </c>
      <c r="M1660">
        <v>0.1</v>
      </c>
      <c r="N1660">
        <v>23549.43</v>
      </c>
      <c r="O1660">
        <v>17203.419999999998</v>
      </c>
      <c r="P1660">
        <v>6346.01</v>
      </c>
      <c r="Q1660" t="s">
        <v>67</v>
      </c>
      <c r="R1660">
        <v>0.26947616141876901</v>
      </c>
      <c r="S1660">
        <v>2025</v>
      </c>
      <c r="T1660" t="s">
        <v>877</v>
      </c>
      <c r="U1660">
        <v>4</v>
      </c>
      <c r="V1660" t="s">
        <v>878</v>
      </c>
    </row>
    <row r="1661" spans="1:22" x14ac:dyDescent="0.3">
      <c r="A1661" t="s">
        <v>2651</v>
      </c>
      <c r="B1661" s="1">
        <v>45772</v>
      </c>
      <c r="C1661" t="s">
        <v>1008</v>
      </c>
      <c r="D1661" t="s">
        <v>1373</v>
      </c>
      <c r="E1661" t="s">
        <v>25</v>
      </c>
      <c r="F1661" t="s">
        <v>26</v>
      </c>
      <c r="G1661" t="s">
        <v>37</v>
      </c>
      <c r="H1661" t="s">
        <v>28</v>
      </c>
      <c r="I1661" t="s">
        <v>73</v>
      </c>
      <c r="J1661" t="s">
        <v>74</v>
      </c>
      <c r="K1661">
        <v>2</v>
      </c>
      <c r="L1661">
        <v>2549</v>
      </c>
      <c r="M1661">
        <v>0.1</v>
      </c>
      <c r="N1661">
        <v>4588.2</v>
      </c>
      <c r="O1661">
        <v>2827.54</v>
      </c>
      <c r="P1661">
        <v>1760.66</v>
      </c>
      <c r="Q1661" t="s">
        <v>31</v>
      </c>
      <c r="R1661">
        <v>0.38373654156314019</v>
      </c>
      <c r="S1661">
        <v>2025</v>
      </c>
      <c r="T1661" t="s">
        <v>877</v>
      </c>
      <c r="U1661">
        <v>4</v>
      </c>
      <c r="V1661" t="s">
        <v>878</v>
      </c>
    </row>
    <row r="1662" spans="1:22" x14ac:dyDescent="0.3">
      <c r="A1662" t="s">
        <v>2652</v>
      </c>
      <c r="B1662" s="1">
        <v>45773</v>
      </c>
      <c r="C1662" t="s">
        <v>1691</v>
      </c>
      <c r="D1662" t="s">
        <v>185</v>
      </c>
      <c r="E1662" t="s">
        <v>61</v>
      </c>
      <c r="F1662" t="s">
        <v>62</v>
      </c>
      <c r="G1662" t="s">
        <v>63</v>
      </c>
      <c r="H1662" t="s">
        <v>64</v>
      </c>
      <c r="I1662" t="s">
        <v>65</v>
      </c>
      <c r="J1662" t="s">
        <v>66</v>
      </c>
      <c r="K1662">
        <v>2</v>
      </c>
      <c r="L1662">
        <v>4760.93</v>
      </c>
      <c r="M1662">
        <v>0.15</v>
      </c>
      <c r="N1662">
        <v>8093.58</v>
      </c>
      <c r="O1662">
        <v>5645.56</v>
      </c>
      <c r="P1662">
        <v>2448.02</v>
      </c>
      <c r="Q1662" t="s">
        <v>53</v>
      </c>
      <c r="R1662">
        <v>0.3024644224187566</v>
      </c>
      <c r="S1662">
        <v>2025</v>
      </c>
      <c r="T1662" t="s">
        <v>877</v>
      </c>
      <c r="U1662">
        <v>4</v>
      </c>
      <c r="V1662" t="s">
        <v>878</v>
      </c>
    </row>
    <row r="1663" spans="1:22" x14ac:dyDescent="0.3">
      <c r="A1663" t="s">
        <v>2653</v>
      </c>
      <c r="B1663" s="1">
        <v>45773</v>
      </c>
      <c r="C1663" t="s">
        <v>1903</v>
      </c>
      <c r="D1663" t="s">
        <v>587</v>
      </c>
      <c r="E1663" t="s">
        <v>61</v>
      </c>
      <c r="F1663" t="s">
        <v>62</v>
      </c>
      <c r="G1663" t="s">
        <v>63</v>
      </c>
      <c r="H1663" t="s">
        <v>28</v>
      </c>
      <c r="I1663" t="s">
        <v>29</v>
      </c>
      <c r="J1663" t="s">
        <v>57</v>
      </c>
      <c r="K1663">
        <v>4</v>
      </c>
      <c r="L1663">
        <v>15461.74</v>
      </c>
      <c r="M1663">
        <v>0</v>
      </c>
      <c r="N1663">
        <v>61846.96</v>
      </c>
      <c r="O1663">
        <v>47171.61</v>
      </c>
      <c r="P1663">
        <v>14675.35</v>
      </c>
      <c r="Q1663" t="s">
        <v>31</v>
      </c>
      <c r="R1663">
        <v>0.23728490454502529</v>
      </c>
      <c r="S1663">
        <v>2025</v>
      </c>
      <c r="T1663" t="s">
        <v>877</v>
      </c>
      <c r="U1663">
        <v>4</v>
      </c>
      <c r="V1663" t="s">
        <v>878</v>
      </c>
    </row>
    <row r="1664" spans="1:22" x14ac:dyDescent="0.3">
      <c r="A1664" t="s">
        <v>2654</v>
      </c>
      <c r="B1664" s="1">
        <v>45774</v>
      </c>
      <c r="C1664" t="s">
        <v>881</v>
      </c>
      <c r="D1664" t="s">
        <v>841</v>
      </c>
      <c r="E1664" t="s">
        <v>61</v>
      </c>
      <c r="F1664" t="s">
        <v>78</v>
      </c>
      <c r="G1664" t="s">
        <v>216</v>
      </c>
      <c r="H1664" t="s">
        <v>84</v>
      </c>
      <c r="I1664" t="s">
        <v>138</v>
      </c>
      <c r="J1664" t="s">
        <v>139</v>
      </c>
      <c r="K1664">
        <v>1</v>
      </c>
      <c r="L1664">
        <v>12242.27</v>
      </c>
      <c r="M1664">
        <v>0.1</v>
      </c>
      <c r="N1664">
        <v>11018.04</v>
      </c>
      <c r="O1664">
        <v>8820.67</v>
      </c>
      <c r="P1664">
        <v>2197.37</v>
      </c>
      <c r="Q1664" t="s">
        <v>46</v>
      </c>
      <c r="R1664">
        <v>0.19943383759724961</v>
      </c>
      <c r="S1664">
        <v>2025</v>
      </c>
      <c r="T1664" t="s">
        <v>877</v>
      </c>
      <c r="U1664">
        <v>4</v>
      </c>
      <c r="V1664" t="s">
        <v>878</v>
      </c>
    </row>
    <row r="1665" spans="1:22" x14ac:dyDescent="0.3">
      <c r="A1665" t="s">
        <v>2655</v>
      </c>
      <c r="B1665" s="1">
        <v>45774</v>
      </c>
      <c r="C1665" t="s">
        <v>643</v>
      </c>
      <c r="D1665" t="s">
        <v>1200</v>
      </c>
      <c r="E1665" t="s">
        <v>120</v>
      </c>
      <c r="F1665" t="s">
        <v>121</v>
      </c>
      <c r="G1665" t="s">
        <v>130</v>
      </c>
      <c r="H1665" t="s">
        <v>28</v>
      </c>
      <c r="I1665" t="s">
        <v>29</v>
      </c>
      <c r="J1665" t="s">
        <v>57</v>
      </c>
      <c r="K1665">
        <v>4</v>
      </c>
      <c r="L1665">
        <v>16618.72</v>
      </c>
      <c r="M1665">
        <v>0.1</v>
      </c>
      <c r="N1665">
        <v>59827.39</v>
      </c>
      <c r="O1665">
        <v>50049.06</v>
      </c>
      <c r="P1665">
        <v>9778.33</v>
      </c>
      <c r="Q1665" t="s">
        <v>67</v>
      </c>
      <c r="R1665">
        <v>0.16344236310492569</v>
      </c>
      <c r="S1665">
        <v>2025</v>
      </c>
      <c r="T1665" t="s">
        <v>877</v>
      </c>
      <c r="U1665">
        <v>4</v>
      </c>
      <c r="V1665" t="s">
        <v>878</v>
      </c>
    </row>
    <row r="1666" spans="1:22" x14ac:dyDescent="0.3">
      <c r="A1666" t="s">
        <v>2656</v>
      </c>
      <c r="B1666" s="1">
        <v>45774</v>
      </c>
      <c r="C1666" t="s">
        <v>193</v>
      </c>
      <c r="D1666" t="s">
        <v>587</v>
      </c>
      <c r="E1666" t="s">
        <v>25</v>
      </c>
      <c r="F1666" t="s">
        <v>26</v>
      </c>
      <c r="G1666" t="s">
        <v>171</v>
      </c>
      <c r="H1666" t="s">
        <v>64</v>
      </c>
      <c r="I1666" t="s">
        <v>65</v>
      </c>
      <c r="J1666" t="s">
        <v>232</v>
      </c>
      <c r="K1666">
        <v>2</v>
      </c>
      <c r="L1666">
        <v>4049.5</v>
      </c>
      <c r="M1666">
        <v>0.05</v>
      </c>
      <c r="N1666">
        <v>7694.05</v>
      </c>
      <c r="O1666">
        <v>5208.6099999999997</v>
      </c>
      <c r="P1666">
        <v>2485.44</v>
      </c>
      <c r="Q1666" t="s">
        <v>46</v>
      </c>
      <c r="R1666">
        <v>0.32303403279157272</v>
      </c>
      <c r="S1666">
        <v>2025</v>
      </c>
      <c r="T1666" t="s">
        <v>877</v>
      </c>
      <c r="U1666">
        <v>4</v>
      </c>
      <c r="V1666" t="s">
        <v>878</v>
      </c>
    </row>
    <row r="1667" spans="1:22" x14ac:dyDescent="0.3">
      <c r="A1667" t="s">
        <v>2657</v>
      </c>
      <c r="B1667" s="1">
        <v>45774</v>
      </c>
      <c r="C1667" t="s">
        <v>2658</v>
      </c>
      <c r="D1667" t="s">
        <v>56</v>
      </c>
      <c r="E1667" t="s">
        <v>61</v>
      </c>
      <c r="F1667" t="s">
        <v>71</v>
      </c>
      <c r="G1667" t="s">
        <v>317</v>
      </c>
      <c r="H1667" t="s">
        <v>28</v>
      </c>
      <c r="I1667" t="s">
        <v>29</v>
      </c>
      <c r="J1667" t="s">
        <v>30</v>
      </c>
      <c r="K1667">
        <v>6</v>
      </c>
      <c r="L1667">
        <v>62347.11</v>
      </c>
      <c r="M1667">
        <v>0.15</v>
      </c>
      <c r="N1667">
        <v>317970.26</v>
      </c>
      <c r="O1667">
        <v>342279.33</v>
      </c>
      <c r="P1667">
        <v>-24309.07</v>
      </c>
      <c r="Q1667" t="s">
        <v>113</v>
      </c>
      <c r="R1667">
        <v>-7.6450766181717741E-2</v>
      </c>
      <c r="S1667">
        <v>2025</v>
      </c>
      <c r="T1667" t="s">
        <v>877</v>
      </c>
      <c r="U1667">
        <v>4</v>
      </c>
      <c r="V1667" t="s">
        <v>878</v>
      </c>
    </row>
    <row r="1668" spans="1:22" x14ac:dyDescent="0.3">
      <c r="A1668" t="s">
        <v>2659</v>
      </c>
      <c r="B1668" s="1">
        <v>45775</v>
      </c>
      <c r="C1668" t="s">
        <v>291</v>
      </c>
      <c r="D1668" t="s">
        <v>604</v>
      </c>
      <c r="E1668" t="s">
        <v>41</v>
      </c>
      <c r="F1668" t="s">
        <v>42</v>
      </c>
      <c r="G1668" t="s">
        <v>42</v>
      </c>
      <c r="H1668" t="s">
        <v>64</v>
      </c>
      <c r="I1668" t="s">
        <v>65</v>
      </c>
      <c r="J1668" t="s">
        <v>232</v>
      </c>
      <c r="K1668">
        <v>1</v>
      </c>
      <c r="L1668">
        <v>4110.5200000000004</v>
      </c>
      <c r="M1668">
        <v>0.1</v>
      </c>
      <c r="N1668">
        <v>3699.47</v>
      </c>
      <c r="O1668">
        <v>2525.04</v>
      </c>
      <c r="P1668">
        <v>1174.43</v>
      </c>
      <c r="Q1668" t="s">
        <v>46</v>
      </c>
      <c r="R1668">
        <v>0.3174589873684609</v>
      </c>
      <c r="S1668">
        <v>2025</v>
      </c>
      <c r="T1668" t="s">
        <v>877</v>
      </c>
      <c r="U1668">
        <v>4</v>
      </c>
      <c r="V1668" t="s">
        <v>878</v>
      </c>
    </row>
    <row r="1669" spans="1:22" x14ac:dyDescent="0.3">
      <c r="A1669" t="s">
        <v>2660</v>
      </c>
      <c r="B1669" s="1">
        <v>45775</v>
      </c>
      <c r="C1669" t="s">
        <v>1920</v>
      </c>
      <c r="D1669" t="s">
        <v>1946</v>
      </c>
      <c r="E1669" t="s">
        <v>61</v>
      </c>
      <c r="F1669" t="s">
        <v>71</v>
      </c>
      <c r="G1669" t="s">
        <v>317</v>
      </c>
      <c r="H1669" t="s">
        <v>84</v>
      </c>
      <c r="I1669" t="s">
        <v>138</v>
      </c>
      <c r="J1669" t="s">
        <v>220</v>
      </c>
      <c r="K1669">
        <v>6</v>
      </c>
      <c r="L1669">
        <v>7230.83</v>
      </c>
      <c r="M1669">
        <v>0.15</v>
      </c>
      <c r="N1669">
        <v>36877.230000000003</v>
      </c>
      <c r="O1669">
        <v>29204.06</v>
      </c>
      <c r="P1669">
        <v>7673.17</v>
      </c>
      <c r="Q1669" t="s">
        <v>113</v>
      </c>
      <c r="R1669">
        <v>0.2080733829520276</v>
      </c>
      <c r="S1669">
        <v>2025</v>
      </c>
      <c r="T1669" t="s">
        <v>877</v>
      </c>
      <c r="U1669">
        <v>4</v>
      </c>
      <c r="V1669" t="s">
        <v>878</v>
      </c>
    </row>
    <row r="1670" spans="1:22" x14ac:dyDescent="0.3">
      <c r="A1670" t="s">
        <v>2661</v>
      </c>
      <c r="B1670" s="1">
        <v>45775</v>
      </c>
      <c r="C1670" t="s">
        <v>1027</v>
      </c>
      <c r="D1670" t="s">
        <v>747</v>
      </c>
      <c r="E1670" t="s">
        <v>120</v>
      </c>
      <c r="F1670" t="s">
        <v>121</v>
      </c>
      <c r="G1670" t="s">
        <v>224</v>
      </c>
      <c r="H1670" t="s">
        <v>28</v>
      </c>
      <c r="I1670" t="s">
        <v>91</v>
      </c>
      <c r="J1670" t="s">
        <v>126</v>
      </c>
      <c r="K1670">
        <v>2</v>
      </c>
      <c r="L1670">
        <v>1913.74</v>
      </c>
      <c r="M1670">
        <v>0.15</v>
      </c>
      <c r="N1670">
        <v>3253.36</v>
      </c>
      <c r="O1670">
        <v>2286.61</v>
      </c>
      <c r="P1670">
        <v>966.75</v>
      </c>
      <c r="Q1670" t="s">
        <v>31</v>
      </c>
      <c r="R1670">
        <v>0.2971543266038803</v>
      </c>
      <c r="S1670">
        <v>2025</v>
      </c>
      <c r="T1670" t="s">
        <v>877</v>
      </c>
      <c r="U1670">
        <v>4</v>
      </c>
      <c r="V1670" t="s">
        <v>878</v>
      </c>
    </row>
    <row r="1671" spans="1:22" x14ac:dyDescent="0.3">
      <c r="A1671" t="s">
        <v>2662</v>
      </c>
      <c r="B1671" s="1">
        <v>45775</v>
      </c>
      <c r="C1671" t="s">
        <v>319</v>
      </c>
      <c r="D1671" t="s">
        <v>1585</v>
      </c>
      <c r="E1671" t="s">
        <v>41</v>
      </c>
      <c r="F1671" t="s">
        <v>42</v>
      </c>
      <c r="G1671" t="s">
        <v>42</v>
      </c>
      <c r="H1671" t="s">
        <v>43</v>
      </c>
      <c r="I1671" t="s">
        <v>51</v>
      </c>
      <c r="J1671" t="s">
        <v>96</v>
      </c>
      <c r="K1671">
        <v>4</v>
      </c>
      <c r="L1671">
        <v>483.31</v>
      </c>
      <c r="M1671">
        <v>0</v>
      </c>
      <c r="N1671">
        <v>1933.24</v>
      </c>
      <c r="O1671">
        <v>889.38</v>
      </c>
      <c r="P1671">
        <v>1043.8599999999999</v>
      </c>
      <c r="Q1671" t="s">
        <v>53</v>
      </c>
      <c r="R1671">
        <v>0.53995365293496922</v>
      </c>
      <c r="S1671">
        <v>2025</v>
      </c>
      <c r="T1671" t="s">
        <v>877</v>
      </c>
      <c r="U1671">
        <v>4</v>
      </c>
      <c r="V1671" t="s">
        <v>878</v>
      </c>
    </row>
    <row r="1672" spans="1:22" x14ac:dyDescent="0.3">
      <c r="A1672" t="s">
        <v>2663</v>
      </c>
      <c r="B1672" s="1">
        <v>45775</v>
      </c>
      <c r="C1672" t="s">
        <v>661</v>
      </c>
      <c r="D1672" t="s">
        <v>191</v>
      </c>
      <c r="E1672" t="s">
        <v>25</v>
      </c>
      <c r="F1672" t="s">
        <v>26</v>
      </c>
      <c r="G1672" t="s">
        <v>171</v>
      </c>
      <c r="H1672" t="s">
        <v>28</v>
      </c>
      <c r="I1672" t="s">
        <v>73</v>
      </c>
      <c r="J1672" t="s">
        <v>74</v>
      </c>
      <c r="K1672">
        <v>4</v>
      </c>
      <c r="L1672">
        <v>2358.9699999999998</v>
      </c>
      <c r="M1672">
        <v>0</v>
      </c>
      <c r="N1672">
        <v>9435.8799999999992</v>
      </c>
      <c r="O1672">
        <v>5219.92</v>
      </c>
      <c r="P1672">
        <v>4215.96</v>
      </c>
      <c r="Q1672" t="s">
        <v>46</v>
      </c>
      <c r="R1672">
        <v>0.44680093430607432</v>
      </c>
      <c r="S1672">
        <v>2025</v>
      </c>
      <c r="T1672" t="s">
        <v>877</v>
      </c>
      <c r="U1672">
        <v>4</v>
      </c>
      <c r="V1672" t="s">
        <v>878</v>
      </c>
    </row>
    <row r="1673" spans="1:22" x14ac:dyDescent="0.3">
      <c r="A1673" t="s">
        <v>2664</v>
      </c>
      <c r="B1673" s="1">
        <v>45776</v>
      </c>
      <c r="C1673" t="s">
        <v>1150</v>
      </c>
      <c r="D1673" t="s">
        <v>298</v>
      </c>
      <c r="E1673" t="s">
        <v>61</v>
      </c>
      <c r="F1673" t="s">
        <v>78</v>
      </c>
      <c r="G1673" t="s">
        <v>83</v>
      </c>
      <c r="H1673" t="s">
        <v>64</v>
      </c>
      <c r="I1673" t="s">
        <v>65</v>
      </c>
      <c r="J1673" t="s">
        <v>232</v>
      </c>
      <c r="K1673">
        <v>6</v>
      </c>
      <c r="L1673">
        <v>4202.8599999999997</v>
      </c>
      <c r="M1673">
        <v>0.05</v>
      </c>
      <c r="N1673">
        <v>23956.3</v>
      </c>
      <c r="O1673">
        <v>15282.93</v>
      </c>
      <c r="P1673">
        <v>8673.3700000000008</v>
      </c>
      <c r="Q1673" t="s">
        <v>31</v>
      </c>
      <c r="R1673">
        <v>0.36204964873540568</v>
      </c>
      <c r="S1673">
        <v>2025</v>
      </c>
      <c r="T1673" t="s">
        <v>877</v>
      </c>
      <c r="U1673">
        <v>4</v>
      </c>
      <c r="V1673" t="s">
        <v>878</v>
      </c>
    </row>
    <row r="1674" spans="1:22" x14ac:dyDescent="0.3">
      <c r="A1674" t="s">
        <v>2665</v>
      </c>
      <c r="B1674" s="1">
        <v>45777</v>
      </c>
      <c r="C1674" t="s">
        <v>333</v>
      </c>
      <c r="D1674" t="s">
        <v>137</v>
      </c>
      <c r="E1674" t="s">
        <v>61</v>
      </c>
      <c r="F1674" t="s">
        <v>71</v>
      </c>
      <c r="G1674" t="s">
        <v>317</v>
      </c>
      <c r="H1674" t="s">
        <v>28</v>
      </c>
      <c r="I1674" t="s">
        <v>29</v>
      </c>
      <c r="J1674" t="s">
        <v>57</v>
      </c>
      <c r="K1674">
        <v>2</v>
      </c>
      <c r="L1674">
        <v>16738.099999999999</v>
      </c>
      <c r="M1674">
        <v>0.05</v>
      </c>
      <c r="N1674">
        <v>31802.39</v>
      </c>
      <c r="O1674">
        <v>25655.14</v>
      </c>
      <c r="P1674">
        <v>6147.25</v>
      </c>
      <c r="Q1674" t="s">
        <v>53</v>
      </c>
      <c r="R1674">
        <v>0.1932952208937756</v>
      </c>
      <c r="S1674">
        <v>2025</v>
      </c>
      <c r="T1674" t="s">
        <v>877</v>
      </c>
      <c r="U1674">
        <v>4</v>
      </c>
      <c r="V1674" t="s">
        <v>878</v>
      </c>
    </row>
    <row r="1675" spans="1:22" x14ac:dyDescent="0.3">
      <c r="A1675" t="s">
        <v>2666</v>
      </c>
      <c r="B1675" s="1">
        <v>45777</v>
      </c>
      <c r="C1675" t="s">
        <v>968</v>
      </c>
      <c r="D1675" t="s">
        <v>847</v>
      </c>
      <c r="E1675" t="s">
        <v>61</v>
      </c>
      <c r="F1675" t="s">
        <v>71</v>
      </c>
      <c r="G1675" t="s">
        <v>72</v>
      </c>
      <c r="H1675" t="s">
        <v>43</v>
      </c>
      <c r="I1675" t="s">
        <v>51</v>
      </c>
      <c r="J1675" t="s">
        <v>96</v>
      </c>
      <c r="K1675">
        <v>2</v>
      </c>
      <c r="L1675">
        <v>489.9</v>
      </c>
      <c r="M1675">
        <v>0</v>
      </c>
      <c r="N1675">
        <v>979.8</v>
      </c>
      <c r="O1675">
        <v>426.87</v>
      </c>
      <c r="P1675">
        <v>552.92999999999995</v>
      </c>
      <c r="Q1675" t="s">
        <v>46</v>
      </c>
      <c r="R1675">
        <v>0.56432945499081444</v>
      </c>
      <c r="S1675">
        <v>2025</v>
      </c>
      <c r="T1675" t="s">
        <v>877</v>
      </c>
      <c r="U1675">
        <v>4</v>
      </c>
      <c r="V1675" t="s">
        <v>878</v>
      </c>
    </row>
    <row r="1676" spans="1:22" x14ac:dyDescent="0.3">
      <c r="A1676" t="s">
        <v>2667</v>
      </c>
      <c r="B1676" s="1">
        <v>45777</v>
      </c>
      <c r="C1676" t="s">
        <v>353</v>
      </c>
      <c r="D1676" t="s">
        <v>119</v>
      </c>
      <c r="E1676" t="s">
        <v>61</v>
      </c>
      <c r="F1676" t="s">
        <v>71</v>
      </c>
      <c r="G1676" t="s">
        <v>201</v>
      </c>
      <c r="H1676" t="s">
        <v>84</v>
      </c>
      <c r="I1676" t="s">
        <v>138</v>
      </c>
      <c r="J1676" t="s">
        <v>220</v>
      </c>
      <c r="K1676">
        <v>4</v>
      </c>
      <c r="L1676">
        <v>7603.56</v>
      </c>
      <c r="M1676">
        <v>0.15</v>
      </c>
      <c r="N1676">
        <v>25852.1</v>
      </c>
      <c r="O1676">
        <v>20382.830000000002</v>
      </c>
      <c r="P1676">
        <v>5469.27</v>
      </c>
      <c r="Q1676" t="s">
        <v>53</v>
      </c>
      <c r="R1676">
        <v>0.2115599893238847</v>
      </c>
      <c r="S1676">
        <v>2025</v>
      </c>
      <c r="T1676" t="s">
        <v>877</v>
      </c>
      <c r="U1676">
        <v>4</v>
      </c>
      <c r="V1676" t="s">
        <v>878</v>
      </c>
    </row>
    <row r="1677" spans="1:22" x14ac:dyDescent="0.3">
      <c r="A1677" t="s">
        <v>2668</v>
      </c>
      <c r="B1677" s="1">
        <v>45777</v>
      </c>
      <c r="C1677" t="s">
        <v>2669</v>
      </c>
      <c r="D1677" t="s">
        <v>707</v>
      </c>
      <c r="E1677" t="s">
        <v>120</v>
      </c>
      <c r="F1677" t="s">
        <v>121</v>
      </c>
      <c r="G1677" t="s">
        <v>122</v>
      </c>
      <c r="H1677" t="s">
        <v>28</v>
      </c>
      <c r="I1677" t="s">
        <v>73</v>
      </c>
      <c r="J1677" t="s">
        <v>80</v>
      </c>
      <c r="K1677">
        <v>2</v>
      </c>
      <c r="L1677">
        <v>824.27</v>
      </c>
      <c r="M1677">
        <v>0.1</v>
      </c>
      <c r="N1677">
        <v>1483.69</v>
      </c>
      <c r="O1677">
        <v>1008.46</v>
      </c>
      <c r="P1677">
        <v>475.23</v>
      </c>
      <c r="Q1677" t="s">
        <v>67</v>
      </c>
      <c r="R1677">
        <v>0.32030275866252378</v>
      </c>
      <c r="S1677">
        <v>2025</v>
      </c>
      <c r="T1677" t="s">
        <v>877</v>
      </c>
      <c r="U1677">
        <v>4</v>
      </c>
      <c r="V1677" t="s">
        <v>878</v>
      </c>
    </row>
    <row r="1678" spans="1:22" x14ac:dyDescent="0.3">
      <c r="A1678" t="s">
        <v>2670</v>
      </c>
      <c r="B1678" s="1">
        <v>45778</v>
      </c>
      <c r="C1678" t="s">
        <v>815</v>
      </c>
      <c r="D1678" t="s">
        <v>1338</v>
      </c>
      <c r="E1678" t="s">
        <v>120</v>
      </c>
      <c r="F1678" t="s">
        <v>121</v>
      </c>
      <c r="G1678" t="s">
        <v>122</v>
      </c>
      <c r="H1678" t="s">
        <v>43</v>
      </c>
      <c r="I1678" t="s">
        <v>51</v>
      </c>
      <c r="J1678" t="s">
        <v>52</v>
      </c>
      <c r="K1678">
        <v>2</v>
      </c>
      <c r="L1678">
        <v>724.57</v>
      </c>
      <c r="M1678">
        <v>0.1</v>
      </c>
      <c r="N1678">
        <v>1304.23</v>
      </c>
      <c r="O1678">
        <v>702.15</v>
      </c>
      <c r="P1678">
        <v>602.08000000000004</v>
      </c>
      <c r="Q1678" t="s">
        <v>31</v>
      </c>
      <c r="R1678">
        <v>0.46163636781855971</v>
      </c>
      <c r="S1678">
        <v>2025</v>
      </c>
      <c r="T1678" t="s">
        <v>1092</v>
      </c>
      <c r="U1678">
        <v>5</v>
      </c>
      <c r="V1678" t="s">
        <v>878</v>
      </c>
    </row>
    <row r="1679" spans="1:22" x14ac:dyDescent="0.3">
      <c r="A1679" t="s">
        <v>2671</v>
      </c>
      <c r="B1679" s="1">
        <v>45778</v>
      </c>
      <c r="C1679" t="s">
        <v>2672</v>
      </c>
      <c r="D1679" t="s">
        <v>599</v>
      </c>
      <c r="E1679" t="s">
        <v>120</v>
      </c>
      <c r="F1679" t="s">
        <v>121</v>
      </c>
      <c r="G1679" t="s">
        <v>130</v>
      </c>
      <c r="H1679" t="s">
        <v>84</v>
      </c>
      <c r="I1679" t="s">
        <v>138</v>
      </c>
      <c r="J1679" t="s">
        <v>220</v>
      </c>
      <c r="K1679">
        <v>2</v>
      </c>
      <c r="L1679">
        <v>7081.11</v>
      </c>
      <c r="M1679">
        <v>0.1</v>
      </c>
      <c r="N1679">
        <v>12746</v>
      </c>
      <c r="O1679">
        <v>8870.7999999999993</v>
      </c>
      <c r="P1679">
        <v>3875.2</v>
      </c>
      <c r="Q1679" t="s">
        <v>31</v>
      </c>
      <c r="R1679">
        <v>0.30403263769025568</v>
      </c>
      <c r="S1679">
        <v>2025</v>
      </c>
      <c r="T1679" t="s">
        <v>1092</v>
      </c>
      <c r="U1679">
        <v>5</v>
      </c>
      <c r="V1679" t="s">
        <v>878</v>
      </c>
    </row>
    <row r="1680" spans="1:22" x14ac:dyDescent="0.3">
      <c r="A1680" t="s">
        <v>2673</v>
      </c>
      <c r="B1680" s="1">
        <v>45778</v>
      </c>
      <c r="C1680" t="s">
        <v>2260</v>
      </c>
      <c r="D1680" t="s">
        <v>1033</v>
      </c>
      <c r="E1680" t="s">
        <v>61</v>
      </c>
      <c r="F1680" t="s">
        <v>78</v>
      </c>
      <c r="G1680" t="s">
        <v>104</v>
      </c>
      <c r="H1680" t="s">
        <v>28</v>
      </c>
      <c r="I1680" t="s">
        <v>91</v>
      </c>
      <c r="J1680" t="s">
        <v>126</v>
      </c>
      <c r="K1680">
        <v>3</v>
      </c>
      <c r="L1680">
        <v>1979.47</v>
      </c>
      <c r="M1680">
        <v>0.05</v>
      </c>
      <c r="N1680">
        <v>5641.49</v>
      </c>
      <c r="O1680">
        <v>3407.52</v>
      </c>
      <c r="P1680">
        <v>2233.9699999999998</v>
      </c>
      <c r="Q1680" t="s">
        <v>31</v>
      </c>
      <c r="R1680">
        <v>0.39598935742153218</v>
      </c>
      <c r="S1680">
        <v>2025</v>
      </c>
      <c r="T1680" t="s">
        <v>1092</v>
      </c>
      <c r="U1680">
        <v>5</v>
      </c>
      <c r="V1680" t="s">
        <v>878</v>
      </c>
    </row>
    <row r="1681" spans="1:22" x14ac:dyDescent="0.3">
      <c r="A1681" t="s">
        <v>2674</v>
      </c>
      <c r="B1681" s="1">
        <v>45779</v>
      </c>
      <c r="C1681" t="s">
        <v>2675</v>
      </c>
      <c r="D1681" t="s">
        <v>606</v>
      </c>
      <c r="E1681" t="s">
        <v>41</v>
      </c>
      <c r="F1681" t="s">
        <v>42</v>
      </c>
      <c r="G1681" t="s">
        <v>42</v>
      </c>
      <c r="H1681" t="s">
        <v>43</v>
      </c>
      <c r="I1681" t="s">
        <v>51</v>
      </c>
      <c r="J1681" t="s">
        <v>52</v>
      </c>
      <c r="K1681">
        <v>2</v>
      </c>
      <c r="L1681">
        <v>684.29</v>
      </c>
      <c r="M1681">
        <v>0.05</v>
      </c>
      <c r="N1681">
        <v>1300.1500000000001</v>
      </c>
      <c r="O1681">
        <v>653.79999999999995</v>
      </c>
      <c r="P1681">
        <v>646.35</v>
      </c>
      <c r="Q1681" t="s">
        <v>53</v>
      </c>
      <c r="R1681">
        <v>0.49713494596777291</v>
      </c>
      <c r="S1681">
        <v>2025</v>
      </c>
      <c r="T1681" t="s">
        <v>1092</v>
      </c>
      <c r="U1681">
        <v>5</v>
      </c>
      <c r="V1681" t="s">
        <v>878</v>
      </c>
    </row>
    <row r="1682" spans="1:22" x14ac:dyDescent="0.3">
      <c r="A1682" t="s">
        <v>2676</v>
      </c>
      <c r="B1682" s="1">
        <v>45779</v>
      </c>
      <c r="C1682" t="s">
        <v>1548</v>
      </c>
      <c r="D1682" t="s">
        <v>1280</v>
      </c>
      <c r="E1682" t="s">
        <v>120</v>
      </c>
      <c r="F1682" t="s">
        <v>121</v>
      </c>
      <c r="G1682" t="s">
        <v>130</v>
      </c>
      <c r="H1682" t="s">
        <v>64</v>
      </c>
      <c r="I1682" t="s">
        <v>108</v>
      </c>
      <c r="J1682" t="s">
        <v>109</v>
      </c>
      <c r="K1682">
        <v>6</v>
      </c>
      <c r="L1682">
        <v>6827.83</v>
      </c>
      <c r="M1682">
        <v>0.1</v>
      </c>
      <c r="N1682">
        <v>36870.28</v>
      </c>
      <c r="O1682">
        <v>25986.03</v>
      </c>
      <c r="P1682">
        <v>10884.25</v>
      </c>
      <c r="Q1682" t="s">
        <v>53</v>
      </c>
      <c r="R1682">
        <v>0.29520388779255269</v>
      </c>
      <c r="S1682">
        <v>2025</v>
      </c>
      <c r="T1682" t="s">
        <v>1092</v>
      </c>
      <c r="U1682">
        <v>5</v>
      </c>
      <c r="V1682" t="s">
        <v>878</v>
      </c>
    </row>
    <row r="1683" spans="1:22" x14ac:dyDescent="0.3">
      <c r="A1683" t="s">
        <v>2677</v>
      </c>
      <c r="B1683" s="1">
        <v>45779</v>
      </c>
      <c r="C1683" t="s">
        <v>414</v>
      </c>
      <c r="D1683" t="s">
        <v>304</v>
      </c>
      <c r="E1683" t="s">
        <v>61</v>
      </c>
      <c r="F1683" t="s">
        <v>78</v>
      </c>
      <c r="G1683" t="s">
        <v>216</v>
      </c>
      <c r="H1683" t="s">
        <v>43</v>
      </c>
      <c r="I1683" t="s">
        <v>51</v>
      </c>
      <c r="J1683" t="s">
        <v>96</v>
      </c>
      <c r="K1683">
        <v>4</v>
      </c>
      <c r="L1683">
        <v>495.17</v>
      </c>
      <c r="M1683">
        <v>0.05</v>
      </c>
      <c r="N1683">
        <v>1881.65</v>
      </c>
      <c r="O1683">
        <v>867.66</v>
      </c>
      <c r="P1683">
        <v>1013.99</v>
      </c>
      <c r="Q1683" t="s">
        <v>46</v>
      </c>
      <c r="R1683">
        <v>0.53888342677968804</v>
      </c>
      <c r="S1683">
        <v>2025</v>
      </c>
      <c r="T1683" t="s">
        <v>1092</v>
      </c>
      <c r="U1683">
        <v>5</v>
      </c>
      <c r="V1683" t="s">
        <v>878</v>
      </c>
    </row>
    <row r="1684" spans="1:22" x14ac:dyDescent="0.3">
      <c r="A1684" t="s">
        <v>2678</v>
      </c>
      <c r="B1684" s="1">
        <v>45779</v>
      </c>
      <c r="C1684" t="s">
        <v>556</v>
      </c>
      <c r="D1684" t="s">
        <v>380</v>
      </c>
      <c r="E1684" t="s">
        <v>61</v>
      </c>
      <c r="F1684" t="s">
        <v>78</v>
      </c>
      <c r="G1684" t="s">
        <v>83</v>
      </c>
      <c r="H1684" t="s">
        <v>28</v>
      </c>
      <c r="I1684" t="s">
        <v>29</v>
      </c>
      <c r="J1684" t="s">
        <v>30</v>
      </c>
      <c r="K1684">
        <v>6</v>
      </c>
      <c r="L1684">
        <v>60858.68</v>
      </c>
      <c r="M1684">
        <v>0.05</v>
      </c>
      <c r="N1684">
        <v>346894.48</v>
      </c>
      <c r="O1684">
        <v>318421.40000000002</v>
      </c>
      <c r="P1684">
        <v>28473.08</v>
      </c>
      <c r="Q1684" t="s">
        <v>31</v>
      </c>
      <c r="R1684">
        <v>8.2079945463531173E-2</v>
      </c>
      <c r="S1684">
        <v>2025</v>
      </c>
      <c r="T1684" t="s">
        <v>1092</v>
      </c>
      <c r="U1684">
        <v>5</v>
      </c>
      <c r="V1684" t="s">
        <v>878</v>
      </c>
    </row>
    <row r="1685" spans="1:22" x14ac:dyDescent="0.3">
      <c r="A1685" t="s">
        <v>2679</v>
      </c>
      <c r="B1685" s="1">
        <v>45779</v>
      </c>
      <c r="C1685" t="s">
        <v>69</v>
      </c>
      <c r="D1685" t="s">
        <v>1988</v>
      </c>
      <c r="E1685" t="s">
        <v>25</v>
      </c>
      <c r="F1685" t="s">
        <v>26</v>
      </c>
      <c r="G1685" t="s">
        <v>37</v>
      </c>
      <c r="H1685" t="s">
        <v>84</v>
      </c>
      <c r="I1685" t="s">
        <v>85</v>
      </c>
      <c r="J1685" t="s">
        <v>86</v>
      </c>
      <c r="K1685">
        <v>3</v>
      </c>
      <c r="L1685">
        <v>1728.35</v>
      </c>
      <c r="M1685">
        <v>0.15</v>
      </c>
      <c r="N1685">
        <v>4407.29</v>
      </c>
      <c r="O1685">
        <v>2867.08</v>
      </c>
      <c r="P1685">
        <v>1540.21</v>
      </c>
      <c r="Q1685" t="s">
        <v>31</v>
      </c>
      <c r="R1685">
        <v>0.34946872114156319</v>
      </c>
      <c r="S1685">
        <v>2025</v>
      </c>
      <c r="T1685" t="s">
        <v>1092</v>
      </c>
      <c r="U1685">
        <v>5</v>
      </c>
      <c r="V1685" t="s">
        <v>878</v>
      </c>
    </row>
    <row r="1686" spans="1:22" x14ac:dyDescent="0.3">
      <c r="A1686" t="s">
        <v>2680</v>
      </c>
      <c r="B1686" s="1">
        <v>45779</v>
      </c>
      <c r="C1686" t="s">
        <v>1741</v>
      </c>
      <c r="D1686" t="s">
        <v>270</v>
      </c>
      <c r="E1686" t="s">
        <v>25</v>
      </c>
      <c r="F1686" t="s">
        <v>26</v>
      </c>
      <c r="G1686" t="s">
        <v>171</v>
      </c>
      <c r="H1686" t="s">
        <v>64</v>
      </c>
      <c r="I1686" t="s">
        <v>65</v>
      </c>
      <c r="J1686" t="s">
        <v>66</v>
      </c>
      <c r="K1686">
        <v>2</v>
      </c>
      <c r="L1686">
        <v>4821.78</v>
      </c>
      <c r="M1686">
        <v>0</v>
      </c>
      <c r="N1686">
        <v>9643.56</v>
      </c>
      <c r="O1686">
        <v>5731.5</v>
      </c>
      <c r="P1686">
        <v>3912.06</v>
      </c>
      <c r="Q1686" t="s">
        <v>113</v>
      </c>
      <c r="R1686">
        <v>0.40566554260045051</v>
      </c>
      <c r="S1686">
        <v>2025</v>
      </c>
      <c r="T1686" t="s">
        <v>1092</v>
      </c>
      <c r="U1686">
        <v>5</v>
      </c>
      <c r="V1686" t="s">
        <v>878</v>
      </c>
    </row>
    <row r="1687" spans="1:22" x14ac:dyDescent="0.3">
      <c r="A1687" t="s">
        <v>2681</v>
      </c>
      <c r="B1687" s="1">
        <v>45779</v>
      </c>
      <c r="C1687" t="s">
        <v>1124</v>
      </c>
      <c r="D1687" t="s">
        <v>606</v>
      </c>
      <c r="E1687" t="s">
        <v>61</v>
      </c>
      <c r="F1687" t="s">
        <v>78</v>
      </c>
      <c r="G1687" t="s">
        <v>216</v>
      </c>
      <c r="H1687" t="s">
        <v>28</v>
      </c>
      <c r="I1687" t="s">
        <v>91</v>
      </c>
      <c r="J1687" t="s">
        <v>92</v>
      </c>
      <c r="K1687">
        <v>2</v>
      </c>
      <c r="L1687">
        <v>3048.42</v>
      </c>
      <c r="M1687">
        <v>0.05</v>
      </c>
      <c r="N1687">
        <v>5792</v>
      </c>
      <c r="O1687">
        <v>3097.5</v>
      </c>
      <c r="P1687">
        <v>2694.5</v>
      </c>
      <c r="Q1687" t="s">
        <v>67</v>
      </c>
      <c r="R1687">
        <v>0.465210635359116</v>
      </c>
      <c r="S1687">
        <v>2025</v>
      </c>
      <c r="T1687" t="s">
        <v>1092</v>
      </c>
      <c r="U1687">
        <v>5</v>
      </c>
      <c r="V1687" t="s">
        <v>878</v>
      </c>
    </row>
    <row r="1688" spans="1:22" x14ac:dyDescent="0.3">
      <c r="A1688" t="s">
        <v>2682</v>
      </c>
      <c r="B1688" s="1">
        <v>45779</v>
      </c>
      <c r="C1688" t="s">
        <v>1927</v>
      </c>
      <c r="D1688" t="s">
        <v>2198</v>
      </c>
      <c r="E1688" t="s">
        <v>61</v>
      </c>
      <c r="F1688" t="s">
        <v>78</v>
      </c>
      <c r="G1688" t="s">
        <v>216</v>
      </c>
      <c r="H1688" t="s">
        <v>43</v>
      </c>
      <c r="I1688" t="s">
        <v>51</v>
      </c>
      <c r="J1688" t="s">
        <v>52</v>
      </c>
      <c r="K1688">
        <v>4</v>
      </c>
      <c r="L1688">
        <v>723.46</v>
      </c>
      <c r="M1688">
        <v>0.15</v>
      </c>
      <c r="N1688">
        <v>2459.7600000000002</v>
      </c>
      <c r="O1688">
        <v>1352.69</v>
      </c>
      <c r="P1688">
        <v>1107.07</v>
      </c>
      <c r="Q1688" t="s">
        <v>67</v>
      </c>
      <c r="R1688">
        <v>0.45007236478355611</v>
      </c>
      <c r="S1688">
        <v>2025</v>
      </c>
      <c r="T1688" t="s">
        <v>1092</v>
      </c>
      <c r="U1688">
        <v>5</v>
      </c>
      <c r="V1688" t="s">
        <v>878</v>
      </c>
    </row>
    <row r="1689" spans="1:22" x14ac:dyDescent="0.3">
      <c r="A1689" t="s">
        <v>2683</v>
      </c>
      <c r="B1689" s="1">
        <v>45780</v>
      </c>
      <c r="C1689" t="s">
        <v>470</v>
      </c>
      <c r="D1689" t="s">
        <v>316</v>
      </c>
      <c r="E1689" t="s">
        <v>61</v>
      </c>
      <c r="F1689" t="s">
        <v>78</v>
      </c>
      <c r="G1689" t="s">
        <v>83</v>
      </c>
      <c r="H1689" t="s">
        <v>84</v>
      </c>
      <c r="I1689" t="s">
        <v>138</v>
      </c>
      <c r="J1689" t="s">
        <v>139</v>
      </c>
      <c r="K1689">
        <v>5</v>
      </c>
      <c r="L1689">
        <v>13274.11</v>
      </c>
      <c r="M1689">
        <v>0.1</v>
      </c>
      <c r="N1689">
        <v>59733.5</v>
      </c>
      <c r="O1689">
        <v>46170.42</v>
      </c>
      <c r="P1689">
        <v>13563.08</v>
      </c>
      <c r="Q1689" t="s">
        <v>31</v>
      </c>
      <c r="R1689">
        <v>0.22705985753387961</v>
      </c>
      <c r="S1689">
        <v>2025</v>
      </c>
      <c r="T1689" t="s">
        <v>1092</v>
      </c>
      <c r="U1689">
        <v>5</v>
      </c>
      <c r="V1689" t="s">
        <v>878</v>
      </c>
    </row>
    <row r="1690" spans="1:22" x14ac:dyDescent="0.3">
      <c r="A1690" t="s">
        <v>2684</v>
      </c>
      <c r="B1690" s="1">
        <v>45780</v>
      </c>
      <c r="C1690" t="s">
        <v>1309</v>
      </c>
      <c r="D1690" t="s">
        <v>1449</v>
      </c>
      <c r="E1690" t="s">
        <v>41</v>
      </c>
      <c r="F1690" t="s">
        <v>42</v>
      </c>
      <c r="G1690" t="s">
        <v>42</v>
      </c>
      <c r="H1690" t="s">
        <v>28</v>
      </c>
      <c r="I1690" t="s">
        <v>29</v>
      </c>
      <c r="J1690" t="s">
        <v>30</v>
      </c>
      <c r="K1690">
        <v>2</v>
      </c>
      <c r="L1690">
        <v>55724.95</v>
      </c>
      <c r="M1690">
        <v>0.05</v>
      </c>
      <c r="N1690">
        <v>105877.4</v>
      </c>
      <c r="O1690">
        <v>99706.52</v>
      </c>
      <c r="P1690">
        <v>6170.88</v>
      </c>
      <c r="Q1690" t="s">
        <v>31</v>
      </c>
      <c r="R1690">
        <v>5.82832596947035E-2</v>
      </c>
      <c r="S1690">
        <v>2025</v>
      </c>
      <c r="T1690" t="s">
        <v>1092</v>
      </c>
      <c r="U1690">
        <v>5</v>
      </c>
      <c r="V1690" t="s">
        <v>878</v>
      </c>
    </row>
    <row r="1691" spans="1:22" x14ac:dyDescent="0.3">
      <c r="A1691" t="s">
        <v>2685</v>
      </c>
      <c r="B1691" s="1">
        <v>45780</v>
      </c>
      <c r="C1691" t="s">
        <v>485</v>
      </c>
      <c r="D1691" t="s">
        <v>24</v>
      </c>
      <c r="E1691" t="s">
        <v>61</v>
      </c>
      <c r="F1691" t="s">
        <v>78</v>
      </c>
      <c r="G1691" t="s">
        <v>216</v>
      </c>
      <c r="H1691" t="s">
        <v>28</v>
      </c>
      <c r="I1691" t="s">
        <v>73</v>
      </c>
      <c r="J1691" t="s">
        <v>80</v>
      </c>
      <c r="K1691">
        <v>4</v>
      </c>
      <c r="L1691">
        <v>773.22</v>
      </c>
      <c r="M1691">
        <v>0.15</v>
      </c>
      <c r="N1691">
        <v>2628.95</v>
      </c>
      <c r="O1691">
        <v>1976.2</v>
      </c>
      <c r="P1691">
        <v>652.75</v>
      </c>
      <c r="Q1691" t="s">
        <v>31</v>
      </c>
      <c r="R1691">
        <v>0.24829304475170699</v>
      </c>
      <c r="S1691">
        <v>2025</v>
      </c>
      <c r="T1691" t="s">
        <v>1092</v>
      </c>
      <c r="U1691">
        <v>5</v>
      </c>
      <c r="V1691" t="s">
        <v>878</v>
      </c>
    </row>
    <row r="1692" spans="1:22" x14ac:dyDescent="0.3">
      <c r="A1692" t="s">
        <v>2686</v>
      </c>
      <c r="B1692" s="1">
        <v>45780</v>
      </c>
      <c r="C1692" t="s">
        <v>82</v>
      </c>
      <c r="D1692" t="s">
        <v>1044</v>
      </c>
      <c r="E1692" t="s">
        <v>61</v>
      </c>
      <c r="F1692" t="s">
        <v>78</v>
      </c>
      <c r="G1692" t="s">
        <v>104</v>
      </c>
      <c r="H1692" t="s">
        <v>43</v>
      </c>
      <c r="I1692" t="s">
        <v>51</v>
      </c>
      <c r="J1692" t="s">
        <v>52</v>
      </c>
      <c r="K1692">
        <v>3</v>
      </c>
      <c r="L1692">
        <v>662.34</v>
      </c>
      <c r="M1692">
        <v>0.05</v>
      </c>
      <c r="N1692">
        <v>1887.67</v>
      </c>
      <c r="O1692">
        <v>960.19</v>
      </c>
      <c r="P1692">
        <v>927.48</v>
      </c>
      <c r="Q1692" t="s">
        <v>113</v>
      </c>
      <c r="R1692">
        <v>0.4913358796823597</v>
      </c>
      <c r="S1692">
        <v>2025</v>
      </c>
      <c r="T1692" t="s">
        <v>1092</v>
      </c>
      <c r="U1692">
        <v>5</v>
      </c>
      <c r="V1692" t="s">
        <v>878</v>
      </c>
    </row>
    <row r="1693" spans="1:22" x14ac:dyDescent="0.3">
      <c r="A1693" t="s">
        <v>2687</v>
      </c>
      <c r="B1693" s="1">
        <v>45780</v>
      </c>
      <c r="C1693" t="s">
        <v>2314</v>
      </c>
      <c r="D1693" t="s">
        <v>780</v>
      </c>
      <c r="E1693" t="s">
        <v>61</v>
      </c>
      <c r="F1693" t="s">
        <v>62</v>
      </c>
      <c r="G1693" t="s">
        <v>63</v>
      </c>
      <c r="H1693" t="s">
        <v>28</v>
      </c>
      <c r="I1693" t="s">
        <v>91</v>
      </c>
      <c r="J1693" t="s">
        <v>92</v>
      </c>
      <c r="K1693">
        <v>3</v>
      </c>
      <c r="L1693">
        <v>3121.24</v>
      </c>
      <c r="M1693">
        <v>0.1</v>
      </c>
      <c r="N1693">
        <v>8427.35</v>
      </c>
      <c r="O1693">
        <v>4863.29</v>
      </c>
      <c r="P1693">
        <v>3564.06</v>
      </c>
      <c r="Q1693" t="s">
        <v>31</v>
      </c>
      <c r="R1693">
        <v>0.42291586323102748</v>
      </c>
      <c r="S1693">
        <v>2025</v>
      </c>
      <c r="T1693" t="s">
        <v>1092</v>
      </c>
      <c r="U1693">
        <v>5</v>
      </c>
      <c r="V1693" t="s">
        <v>878</v>
      </c>
    </row>
    <row r="1694" spans="1:22" x14ac:dyDescent="0.3">
      <c r="A1694" t="s">
        <v>2688</v>
      </c>
      <c r="B1694" s="1">
        <v>45780</v>
      </c>
      <c r="C1694" t="s">
        <v>1927</v>
      </c>
      <c r="D1694" t="s">
        <v>182</v>
      </c>
      <c r="E1694" t="s">
        <v>41</v>
      </c>
      <c r="F1694" t="s">
        <v>42</v>
      </c>
      <c r="G1694" t="s">
        <v>50</v>
      </c>
      <c r="H1694" t="s">
        <v>84</v>
      </c>
      <c r="I1694" t="s">
        <v>85</v>
      </c>
      <c r="J1694" t="s">
        <v>145</v>
      </c>
      <c r="K1694">
        <v>4</v>
      </c>
      <c r="L1694">
        <v>3161.87</v>
      </c>
      <c r="M1694">
        <v>0.05</v>
      </c>
      <c r="N1694">
        <v>12015.11</v>
      </c>
      <c r="O1694">
        <v>7267.22</v>
      </c>
      <c r="P1694">
        <v>4747.8900000000003</v>
      </c>
      <c r="Q1694" t="s">
        <v>67</v>
      </c>
      <c r="R1694">
        <v>0.39515992779092329</v>
      </c>
      <c r="S1694">
        <v>2025</v>
      </c>
      <c r="T1694" t="s">
        <v>1092</v>
      </c>
      <c r="U1694">
        <v>5</v>
      </c>
      <c r="V1694" t="s">
        <v>878</v>
      </c>
    </row>
    <row r="1695" spans="1:22" x14ac:dyDescent="0.3">
      <c r="A1695" t="s">
        <v>2689</v>
      </c>
      <c r="B1695" s="1">
        <v>45780</v>
      </c>
      <c r="C1695" t="s">
        <v>2690</v>
      </c>
      <c r="D1695" t="s">
        <v>241</v>
      </c>
      <c r="E1695" t="s">
        <v>120</v>
      </c>
      <c r="F1695" t="s">
        <v>121</v>
      </c>
      <c r="G1695" t="s">
        <v>224</v>
      </c>
      <c r="H1695" t="s">
        <v>43</v>
      </c>
      <c r="I1695" t="s">
        <v>51</v>
      </c>
      <c r="J1695" t="s">
        <v>96</v>
      </c>
      <c r="K1695">
        <v>1</v>
      </c>
      <c r="L1695">
        <v>528.29</v>
      </c>
      <c r="M1695">
        <v>0.1</v>
      </c>
      <c r="N1695">
        <v>475.46</v>
      </c>
      <c r="O1695">
        <v>246.23</v>
      </c>
      <c r="P1695">
        <v>229.23</v>
      </c>
      <c r="Q1695" t="s">
        <v>31</v>
      </c>
      <c r="R1695">
        <v>0.4821225760316325</v>
      </c>
      <c r="S1695">
        <v>2025</v>
      </c>
      <c r="T1695" t="s">
        <v>1092</v>
      </c>
      <c r="U1695">
        <v>5</v>
      </c>
      <c r="V1695" t="s">
        <v>878</v>
      </c>
    </row>
    <row r="1696" spans="1:22" x14ac:dyDescent="0.3">
      <c r="A1696" t="s">
        <v>2691</v>
      </c>
      <c r="B1696" s="1">
        <v>45781</v>
      </c>
      <c r="C1696" t="s">
        <v>2545</v>
      </c>
      <c r="D1696" t="s">
        <v>206</v>
      </c>
      <c r="E1696" t="s">
        <v>25</v>
      </c>
      <c r="F1696" t="s">
        <v>26</v>
      </c>
      <c r="G1696" t="s">
        <v>27</v>
      </c>
      <c r="H1696" t="s">
        <v>28</v>
      </c>
      <c r="I1696" t="s">
        <v>29</v>
      </c>
      <c r="J1696" t="s">
        <v>30</v>
      </c>
      <c r="K1696">
        <v>2</v>
      </c>
      <c r="L1696">
        <v>61601.55</v>
      </c>
      <c r="M1696">
        <v>0.1</v>
      </c>
      <c r="N1696">
        <v>110882.79</v>
      </c>
      <c r="O1696">
        <v>110659.72</v>
      </c>
      <c r="P1696">
        <v>223.07</v>
      </c>
      <c r="Q1696" t="s">
        <v>113</v>
      </c>
      <c r="R1696">
        <v>2.0117639536306759E-3</v>
      </c>
      <c r="S1696">
        <v>2025</v>
      </c>
      <c r="T1696" t="s">
        <v>1092</v>
      </c>
      <c r="U1696">
        <v>5</v>
      </c>
      <c r="V1696" t="s">
        <v>878</v>
      </c>
    </row>
    <row r="1697" spans="1:22" x14ac:dyDescent="0.3">
      <c r="A1697" t="s">
        <v>2692</v>
      </c>
      <c r="B1697" s="1">
        <v>45781</v>
      </c>
      <c r="C1697" t="s">
        <v>1889</v>
      </c>
      <c r="D1697" t="s">
        <v>963</v>
      </c>
      <c r="E1697" t="s">
        <v>61</v>
      </c>
      <c r="F1697" t="s">
        <v>78</v>
      </c>
      <c r="G1697" t="s">
        <v>216</v>
      </c>
      <c r="H1697" t="s">
        <v>28</v>
      </c>
      <c r="I1697" t="s">
        <v>29</v>
      </c>
      <c r="J1697" t="s">
        <v>57</v>
      </c>
      <c r="K1697">
        <v>4</v>
      </c>
      <c r="L1697">
        <v>16289.33</v>
      </c>
      <c r="M1697">
        <v>0.15</v>
      </c>
      <c r="N1697">
        <v>55383.72</v>
      </c>
      <c r="O1697">
        <v>49252.29</v>
      </c>
      <c r="P1697">
        <v>6131.43</v>
      </c>
      <c r="Q1697" t="s">
        <v>46</v>
      </c>
      <c r="R1697">
        <v>0.1107081647819973</v>
      </c>
      <c r="S1697">
        <v>2025</v>
      </c>
      <c r="T1697" t="s">
        <v>1092</v>
      </c>
      <c r="U1697">
        <v>5</v>
      </c>
      <c r="V1697" t="s">
        <v>878</v>
      </c>
    </row>
    <row r="1698" spans="1:22" x14ac:dyDescent="0.3">
      <c r="A1698" t="s">
        <v>2693</v>
      </c>
      <c r="B1698" s="1">
        <v>45782</v>
      </c>
      <c r="C1698" t="s">
        <v>341</v>
      </c>
      <c r="D1698" t="s">
        <v>1988</v>
      </c>
      <c r="E1698" t="s">
        <v>61</v>
      </c>
      <c r="F1698" t="s">
        <v>78</v>
      </c>
      <c r="G1698" t="s">
        <v>83</v>
      </c>
      <c r="H1698" t="s">
        <v>64</v>
      </c>
      <c r="I1698" t="s">
        <v>108</v>
      </c>
      <c r="J1698" t="s">
        <v>155</v>
      </c>
      <c r="K1698">
        <v>3</v>
      </c>
      <c r="L1698">
        <v>8222.0499999999993</v>
      </c>
      <c r="M1698">
        <v>0.1</v>
      </c>
      <c r="N1698">
        <v>22199.53</v>
      </c>
      <c r="O1698">
        <v>16291.88</v>
      </c>
      <c r="P1698">
        <v>5907.65</v>
      </c>
      <c r="Q1698" t="s">
        <v>46</v>
      </c>
      <c r="R1698">
        <v>0.26611599434762812</v>
      </c>
      <c r="S1698">
        <v>2025</v>
      </c>
      <c r="T1698" t="s">
        <v>1092</v>
      </c>
      <c r="U1698">
        <v>5</v>
      </c>
      <c r="V1698" t="s">
        <v>878</v>
      </c>
    </row>
    <row r="1699" spans="1:22" x14ac:dyDescent="0.3">
      <c r="A1699" t="s">
        <v>2694</v>
      </c>
      <c r="B1699" s="1">
        <v>45782</v>
      </c>
      <c r="C1699" t="s">
        <v>2439</v>
      </c>
      <c r="D1699" t="s">
        <v>188</v>
      </c>
      <c r="E1699" t="s">
        <v>25</v>
      </c>
      <c r="F1699" t="s">
        <v>26</v>
      </c>
      <c r="G1699" t="s">
        <v>37</v>
      </c>
      <c r="H1699" t="s">
        <v>43</v>
      </c>
      <c r="I1699" t="s">
        <v>44</v>
      </c>
      <c r="J1699" t="s">
        <v>248</v>
      </c>
      <c r="K1699">
        <v>1</v>
      </c>
      <c r="L1699">
        <v>284.02</v>
      </c>
      <c r="M1699">
        <v>0</v>
      </c>
      <c r="N1699">
        <v>284.02</v>
      </c>
      <c r="O1699">
        <v>118</v>
      </c>
      <c r="P1699">
        <v>166.02</v>
      </c>
      <c r="Q1699" t="s">
        <v>46</v>
      </c>
      <c r="R1699">
        <v>0.58453630026054515</v>
      </c>
      <c r="S1699">
        <v>2025</v>
      </c>
      <c r="T1699" t="s">
        <v>1092</v>
      </c>
      <c r="U1699">
        <v>5</v>
      </c>
      <c r="V1699" t="s">
        <v>878</v>
      </c>
    </row>
    <row r="1700" spans="1:22" x14ac:dyDescent="0.3">
      <c r="A1700" t="s">
        <v>2695</v>
      </c>
      <c r="B1700" s="1">
        <v>45782</v>
      </c>
      <c r="C1700" t="s">
        <v>711</v>
      </c>
      <c r="D1700" t="s">
        <v>1647</v>
      </c>
      <c r="E1700" t="s">
        <v>61</v>
      </c>
      <c r="F1700" t="s">
        <v>71</v>
      </c>
      <c r="G1700" t="s">
        <v>72</v>
      </c>
      <c r="H1700" t="s">
        <v>43</v>
      </c>
      <c r="I1700" t="s">
        <v>51</v>
      </c>
      <c r="J1700" t="s">
        <v>52</v>
      </c>
      <c r="K1700">
        <v>1</v>
      </c>
      <c r="L1700">
        <v>736.63</v>
      </c>
      <c r="M1700">
        <v>0.1</v>
      </c>
      <c r="N1700">
        <v>662.97</v>
      </c>
      <c r="O1700">
        <v>342.93</v>
      </c>
      <c r="P1700">
        <v>320.04000000000002</v>
      </c>
      <c r="Q1700" t="s">
        <v>113</v>
      </c>
      <c r="R1700">
        <v>0.48273677541970228</v>
      </c>
      <c r="S1700">
        <v>2025</v>
      </c>
      <c r="T1700" t="s">
        <v>1092</v>
      </c>
      <c r="U1700">
        <v>5</v>
      </c>
      <c r="V1700" t="s">
        <v>878</v>
      </c>
    </row>
    <row r="1701" spans="1:22" x14ac:dyDescent="0.3">
      <c r="A1701" t="s">
        <v>2696</v>
      </c>
      <c r="B1701" s="1">
        <v>45782</v>
      </c>
      <c r="C1701" t="s">
        <v>656</v>
      </c>
      <c r="D1701" t="s">
        <v>437</v>
      </c>
      <c r="E1701" t="s">
        <v>61</v>
      </c>
      <c r="F1701" t="s">
        <v>71</v>
      </c>
      <c r="G1701" t="s">
        <v>201</v>
      </c>
      <c r="H1701" t="s">
        <v>28</v>
      </c>
      <c r="I1701" t="s">
        <v>29</v>
      </c>
      <c r="J1701" t="s">
        <v>57</v>
      </c>
      <c r="K1701">
        <v>2</v>
      </c>
      <c r="L1701">
        <v>15609.03</v>
      </c>
      <c r="M1701">
        <v>0.1</v>
      </c>
      <c r="N1701">
        <v>28096.25</v>
      </c>
      <c r="O1701">
        <v>24254.29</v>
      </c>
      <c r="P1701">
        <v>3841.96</v>
      </c>
      <c r="Q1701" t="s">
        <v>31</v>
      </c>
      <c r="R1701">
        <v>0.13674280375494949</v>
      </c>
      <c r="S1701">
        <v>2025</v>
      </c>
      <c r="T1701" t="s">
        <v>1092</v>
      </c>
      <c r="U1701">
        <v>5</v>
      </c>
      <c r="V1701" t="s">
        <v>878</v>
      </c>
    </row>
    <row r="1702" spans="1:22" x14ac:dyDescent="0.3">
      <c r="A1702" t="s">
        <v>2697</v>
      </c>
      <c r="B1702" s="1">
        <v>45783</v>
      </c>
      <c r="C1702" t="s">
        <v>1167</v>
      </c>
      <c r="D1702" t="s">
        <v>680</v>
      </c>
      <c r="E1702" t="s">
        <v>61</v>
      </c>
      <c r="F1702" t="s">
        <v>62</v>
      </c>
      <c r="G1702" t="s">
        <v>90</v>
      </c>
      <c r="H1702" t="s">
        <v>28</v>
      </c>
      <c r="I1702" t="s">
        <v>73</v>
      </c>
      <c r="J1702" t="s">
        <v>80</v>
      </c>
      <c r="K1702">
        <v>1</v>
      </c>
      <c r="L1702">
        <v>826.1</v>
      </c>
      <c r="M1702">
        <v>0</v>
      </c>
      <c r="N1702">
        <v>826.1</v>
      </c>
      <c r="O1702">
        <v>515.41</v>
      </c>
      <c r="P1702">
        <v>310.69</v>
      </c>
      <c r="Q1702" t="s">
        <v>46</v>
      </c>
      <c r="R1702">
        <v>0.37609248275027229</v>
      </c>
      <c r="S1702">
        <v>2025</v>
      </c>
      <c r="T1702" t="s">
        <v>1092</v>
      </c>
      <c r="U1702">
        <v>5</v>
      </c>
      <c r="V1702" t="s">
        <v>878</v>
      </c>
    </row>
    <row r="1703" spans="1:22" x14ac:dyDescent="0.3">
      <c r="A1703" t="s">
        <v>2698</v>
      </c>
      <c r="B1703" s="1">
        <v>45783</v>
      </c>
      <c r="C1703" t="s">
        <v>2699</v>
      </c>
      <c r="D1703" t="s">
        <v>2509</v>
      </c>
      <c r="E1703" t="s">
        <v>61</v>
      </c>
      <c r="F1703" t="s">
        <v>62</v>
      </c>
      <c r="G1703" t="s">
        <v>63</v>
      </c>
      <c r="H1703" t="s">
        <v>64</v>
      </c>
      <c r="I1703" t="s">
        <v>108</v>
      </c>
      <c r="J1703" t="s">
        <v>155</v>
      </c>
      <c r="K1703">
        <v>4</v>
      </c>
      <c r="L1703">
        <v>8757.5400000000009</v>
      </c>
      <c r="M1703">
        <v>0.05</v>
      </c>
      <c r="N1703">
        <v>33278.65</v>
      </c>
      <c r="O1703">
        <v>23125.49</v>
      </c>
      <c r="P1703">
        <v>10153.16</v>
      </c>
      <c r="Q1703" t="s">
        <v>31</v>
      </c>
      <c r="R1703">
        <v>0.30509530885417518</v>
      </c>
      <c r="S1703">
        <v>2025</v>
      </c>
      <c r="T1703" t="s">
        <v>1092</v>
      </c>
      <c r="U1703">
        <v>5</v>
      </c>
      <c r="V1703" t="s">
        <v>878</v>
      </c>
    </row>
    <row r="1704" spans="1:22" x14ac:dyDescent="0.3">
      <c r="A1704" t="s">
        <v>2700</v>
      </c>
      <c r="B1704" s="1">
        <v>45784</v>
      </c>
      <c r="C1704" t="s">
        <v>892</v>
      </c>
      <c r="D1704" t="s">
        <v>256</v>
      </c>
      <c r="E1704" t="s">
        <v>61</v>
      </c>
      <c r="F1704" t="s">
        <v>78</v>
      </c>
      <c r="G1704" t="s">
        <v>83</v>
      </c>
      <c r="H1704" t="s">
        <v>28</v>
      </c>
      <c r="I1704" t="s">
        <v>29</v>
      </c>
      <c r="J1704" t="s">
        <v>57</v>
      </c>
      <c r="K1704">
        <v>1</v>
      </c>
      <c r="L1704">
        <v>16890.54</v>
      </c>
      <c r="M1704">
        <v>0.05</v>
      </c>
      <c r="N1704">
        <v>16046.01</v>
      </c>
      <c r="O1704">
        <v>12256.74</v>
      </c>
      <c r="P1704">
        <v>3789.27</v>
      </c>
      <c r="Q1704" t="s">
        <v>113</v>
      </c>
      <c r="R1704">
        <v>0.23615029530705761</v>
      </c>
      <c r="S1704">
        <v>2025</v>
      </c>
      <c r="T1704" t="s">
        <v>1092</v>
      </c>
      <c r="U1704">
        <v>5</v>
      </c>
      <c r="V1704" t="s">
        <v>878</v>
      </c>
    </row>
    <row r="1705" spans="1:22" x14ac:dyDescent="0.3">
      <c r="A1705" t="s">
        <v>2701</v>
      </c>
      <c r="B1705" s="1">
        <v>45784</v>
      </c>
      <c r="C1705" t="s">
        <v>946</v>
      </c>
      <c r="D1705" t="s">
        <v>382</v>
      </c>
      <c r="E1705" t="s">
        <v>61</v>
      </c>
      <c r="F1705" t="s">
        <v>62</v>
      </c>
      <c r="G1705" t="s">
        <v>63</v>
      </c>
      <c r="H1705" t="s">
        <v>64</v>
      </c>
      <c r="I1705" t="s">
        <v>108</v>
      </c>
      <c r="J1705" t="s">
        <v>155</v>
      </c>
      <c r="K1705">
        <v>2</v>
      </c>
      <c r="L1705">
        <v>8216.81</v>
      </c>
      <c r="M1705">
        <v>0.1</v>
      </c>
      <c r="N1705">
        <v>14790.26</v>
      </c>
      <c r="O1705">
        <v>11051.82</v>
      </c>
      <c r="P1705">
        <v>3738.44</v>
      </c>
      <c r="Q1705" t="s">
        <v>46</v>
      </c>
      <c r="R1705">
        <v>0.25276364310025651</v>
      </c>
      <c r="S1705">
        <v>2025</v>
      </c>
      <c r="T1705" t="s">
        <v>1092</v>
      </c>
      <c r="U1705">
        <v>5</v>
      </c>
      <c r="V1705" t="s">
        <v>878</v>
      </c>
    </row>
    <row r="1706" spans="1:22" x14ac:dyDescent="0.3">
      <c r="A1706" t="s">
        <v>2702</v>
      </c>
      <c r="B1706" s="1">
        <v>45784</v>
      </c>
      <c r="C1706" t="s">
        <v>169</v>
      </c>
      <c r="D1706" t="s">
        <v>997</v>
      </c>
      <c r="E1706" t="s">
        <v>41</v>
      </c>
      <c r="F1706" t="s">
        <v>42</v>
      </c>
      <c r="G1706" t="s">
        <v>42</v>
      </c>
      <c r="H1706" t="s">
        <v>84</v>
      </c>
      <c r="I1706" t="s">
        <v>138</v>
      </c>
      <c r="J1706" t="s">
        <v>139</v>
      </c>
      <c r="K1706">
        <v>2</v>
      </c>
      <c r="L1706">
        <v>12686.13</v>
      </c>
      <c r="M1706">
        <v>0.1</v>
      </c>
      <c r="N1706">
        <v>22835.03</v>
      </c>
      <c r="O1706">
        <v>17662.43</v>
      </c>
      <c r="P1706">
        <v>5172.6000000000004</v>
      </c>
      <c r="Q1706" t="s">
        <v>46</v>
      </c>
      <c r="R1706">
        <v>0.2265203943239838</v>
      </c>
      <c r="S1706">
        <v>2025</v>
      </c>
      <c r="T1706" t="s">
        <v>1092</v>
      </c>
      <c r="U1706">
        <v>5</v>
      </c>
      <c r="V1706" t="s">
        <v>878</v>
      </c>
    </row>
    <row r="1707" spans="1:22" x14ac:dyDescent="0.3">
      <c r="A1707" t="s">
        <v>2703</v>
      </c>
      <c r="B1707" s="1">
        <v>45784</v>
      </c>
      <c r="C1707" t="s">
        <v>697</v>
      </c>
      <c r="D1707" t="s">
        <v>326</v>
      </c>
      <c r="E1707" t="s">
        <v>61</v>
      </c>
      <c r="F1707" t="s">
        <v>71</v>
      </c>
      <c r="G1707" t="s">
        <v>72</v>
      </c>
      <c r="H1707" t="s">
        <v>28</v>
      </c>
      <c r="I1707" t="s">
        <v>29</v>
      </c>
      <c r="J1707" t="s">
        <v>57</v>
      </c>
      <c r="K1707">
        <v>2</v>
      </c>
      <c r="L1707">
        <v>15929.52</v>
      </c>
      <c r="M1707">
        <v>0</v>
      </c>
      <c r="N1707">
        <v>31859.040000000001</v>
      </c>
      <c r="O1707">
        <v>23805.37</v>
      </c>
      <c r="P1707">
        <v>8053.67</v>
      </c>
      <c r="Q1707" t="s">
        <v>53</v>
      </c>
      <c r="R1707">
        <v>0.25279073066859509</v>
      </c>
      <c r="S1707">
        <v>2025</v>
      </c>
      <c r="T1707" t="s">
        <v>1092</v>
      </c>
      <c r="U1707">
        <v>5</v>
      </c>
      <c r="V1707" t="s">
        <v>878</v>
      </c>
    </row>
    <row r="1708" spans="1:22" x14ac:dyDescent="0.3">
      <c r="A1708" t="s">
        <v>2704</v>
      </c>
      <c r="B1708" s="1">
        <v>45785</v>
      </c>
      <c r="C1708" t="s">
        <v>1927</v>
      </c>
      <c r="D1708" t="s">
        <v>1415</v>
      </c>
      <c r="E1708" t="s">
        <v>61</v>
      </c>
      <c r="F1708" t="s">
        <v>78</v>
      </c>
      <c r="G1708" t="s">
        <v>216</v>
      </c>
      <c r="H1708" t="s">
        <v>28</v>
      </c>
      <c r="I1708" t="s">
        <v>73</v>
      </c>
      <c r="J1708" t="s">
        <v>80</v>
      </c>
      <c r="K1708">
        <v>2</v>
      </c>
      <c r="L1708">
        <v>813.77</v>
      </c>
      <c r="M1708">
        <v>0.1</v>
      </c>
      <c r="N1708">
        <v>1464.79</v>
      </c>
      <c r="O1708">
        <v>973.92</v>
      </c>
      <c r="P1708">
        <v>490.87</v>
      </c>
      <c r="Q1708" t="s">
        <v>53</v>
      </c>
      <c r="R1708">
        <v>0.33511288307538972</v>
      </c>
      <c r="S1708">
        <v>2025</v>
      </c>
      <c r="T1708" t="s">
        <v>1092</v>
      </c>
      <c r="U1708">
        <v>5</v>
      </c>
      <c r="V1708" t="s">
        <v>878</v>
      </c>
    </row>
    <row r="1709" spans="1:22" x14ac:dyDescent="0.3">
      <c r="A1709" t="s">
        <v>2705</v>
      </c>
      <c r="B1709" s="1">
        <v>45785</v>
      </c>
      <c r="C1709" t="s">
        <v>1006</v>
      </c>
      <c r="D1709" t="s">
        <v>206</v>
      </c>
      <c r="E1709" t="s">
        <v>61</v>
      </c>
      <c r="F1709" t="s">
        <v>62</v>
      </c>
      <c r="G1709" t="s">
        <v>228</v>
      </c>
      <c r="H1709" t="s">
        <v>28</v>
      </c>
      <c r="I1709" t="s">
        <v>29</v>
      </c>
      <c r="J1709" t="s">
        <v>57</v>
      </c>
      <c r="K1709">
        <v>5</v>
      </c>
      <c r="L1709">
        <v>16079.79</v>
      </c>
      <c r="M1709">
        <v>0.05</v>
      </c>
      <c r="N1709">
        <v>76379</v>
      </c>
      <c r="O1709">
        <v>61270.71</v>
      </c>
      <c r="P1709">
        <v>15108.29</v>
      </c>
      <c r="Q1709" t="s">
        <v>31</v>
      </c>
      <c r="R1709">
        <v>0.19780685790596891</v>
      </c>
      <c r="S1709">
        <v>2025</v>
      </c>
      <c r="T1709" t="s">
        <v>1092</v>
      </c>
      <c r="U1709">
        <v>5</v>
      </c>
      <c r="V1709" t="s">
        <v>878</v>
      </c>
    </row>
    <row r="1710" spans="1:22" x14ac:dyDescent="0.3">
      <c r="A1710" t="s">
        <v>2706</v>
      </c>
      <c r="B1710" s="1">
        <v>45786</v>
      </c>
      <c r="C1710" t="s">
        <v>1568</v>
      </c>
      <c r="D1710" t="s">
        <v>1516</v>
      </c>
      <c r="E1710" t="s">
        <v>61</v>
      </c>
      <c r="F1710" t="s">
        <v>78</v>
      </c>
      <c r="G1710" t="s">
        <v>104</v>
      </c>
      <c r="H1710" t="s">
        <v>43</v>
      </c>
      <c r="I1710" t="s">
        <v>44</v>
      </c>
      <c r="J1710" t="s">
        <v>248</v>
      </c>
      <c r="K1710">
        <v>4</v>
      </c>
      <c r="L1710">
        <v>306.11</v>
      </c>
      <c r="M1710">
        <v>0.15</v>
      </c>
      <c r="N1710">
        <v>1040.77</v>
      </c>
      <c r="O1710">
        <v>509.52</v>
      </c>
      <c r="P1710">
        <v>531.25</v>
      </c>
      <c r="Q1710" t="s">
        <v>46</v>
      </c>
      <c r="R1710">
        <v>0.51043938622366136</v>
      </c>
      <c r="S1710">
        <v>2025</v>
      </c>
      <c r="T1710" t="s">
        <v>1092</v>
      </c>
      <c r="U1710">
        <v>5</v>
      </c>
      <c r="V1710" t="s">
        <v>878</v>
      </c>
    </row>
    <row r="1711" spans="1:22" x14ac:dyDescent="0.3">
      <c r="A1711" t="s">
        <v>2707</v>
      </c>
      <c r="B1711" s="1">
        <v>45786</v>
      </c>
      <c r="C1711" t="s">
        <v>989</v>
      </c>
      <c r="D1711" t="s">
        <v>1203</v>
      </c>
      <c r="E1711" t="s">
        <v>61</v>
      </c>
      <c r="F1711" t="s">
        <v>62</v>
      </c>
      <c r="G1711" t="s">
        <v>63</v>
      </c>
      <c r="H1711" t="s">
        <v>64</v>
      </c>
      <c r="I1711" t="s">
        <v>108</v>
      </c>
      <c r="J1711" t="s">
        <v>155</v>
      </c>
      <c r="K1711">
        <v>1</v>
      </c>
      <c r="L1711">
        <v>8306.7199999999993</v>
      </c>
      <c r="M1711">
        <v>0.15</v>
      </c>
      <c r="N1711">
        <v>7060.71</v>
      </c>
      <c r="O1711">
        <v>5464.79</v>
      </c>
      <c r="P1711">
        <v>1595.92</v>
      </c>
      <c r="Q1711" t="s">
        <v>113</v>
      </c>
      <c r="R1711">
        <v>0.2260282606140176</v>
      </c>
      <c r="S1711">
        <v>2025</v>
      </c>
      <c r="T1711" t="s">
        <v>1092</v>
      </c>
      <c r="U1711">
        <v>5</v>
      </c>
      <c r="V1711" t="s">
        <v>878</v>
      </c>
    </row>
    <row r="1712" spans="1:22" x14ac:dyDescent="0.3">
      <c r="A1712" t="s">
        <v>2708</v>
      </c>
      <c r="B1712" s="1">
        <v>45786</v>
      </c>
      <c r="C1712" t="s">
        <v>824</v>
      </c>
      <c r="D1712" t="s">
        <v>527</v>
      </c>
      <c r="E1712" t="s">
        <v>61</v>
      </c>
      <c r="F1712" t="s">
        <v>62</v>
      </c>
      <c r="G1712" t="s">
        <v>63</v>
      </c>
      <c r="H1712" t="s">
        <v>28</v>
      </c>
      <c r="I1712" t="s">
        <v>91</v>
      </c>
      <c r="J1712" t="s">
        <v>92</v>
      </c>
      <c r="K1712">
        <v>3</v>
      </c>
      <c r="L1712">
        <v>2998.42</v>
      </c>
      <c r="M1712">
        <v>0.05</v>
      </c>
      <c r="N1712">
        <v>8545.5</v>
      </c>
      <c r="O1712">
        <v>4710.57</v>
      </c>
      <c r="P1712">
        <v>3834.93</v>
      </c>
      <c r="Q1712" t="s">
        <v>46</v>
      </c>
      <c r="R1712">
        <v>0.44876601720203613</v>
      </c>
      <c r="S1712">
        <v>2025</v>
      </c>
      <c r="T1712" t="s">
        <v>1092</v>
      </c>
      <c r="U1712">
        <v>5</v>
      </c>
      <c r="V1712" t="s">
        <v>878</v>
      </c>
    </row>
    <row r="1713" spans="1:22" x14ac:dyDescent="0.3">
      <c r="A1713" t="s">
        <v>2709</v>
      </c>
      <c r="B1713" s="1">
        <v>45786</v>
      </c>
      <c r="C1713" t="s">
        <v>674</v>
      </c>
      <c r="D1713" t="s">
        <v>203</v>
      </c>
      <c r="E1713" t="s">
        <v>25</v>
      </c>
      <c r="F1713" t="s">
        <v>26</v>
      </c>
      <c r="G1713" t="s">
        <v>37</v>
      </c>
      <c r="H1713" t="s">
        <v>64</v>
      </c>
      <c r="I1713" t="s">
        <v>65</v>
      </c>
      <c r="J1713" t="s">
        <v>232</v>
      </c>
      <c r="K1713">
        <v>3</v>
      </c>
      <c r="L1713">
        <v>3939.29</v>
      </c>
      <c r="M1713">
        <v>0.05</v>
      </c>
      <c r="N1713">
        <v>11226.98</v>
      </c>
      <c r="O1713">
        <v>7276.3</v>
      </c>
      <c r="P1713">
        <v>3950.68</v>
      </c>
      <c r="Q1713" t="s">
        <v>31</v>
      </c>
      <c r="R1713">
        <v>0.35189160397542352</v>
      </c>
      <c r="S1713">
        <v>2025</v>
      </c>
      <c r="T1713" t="s">
        <v>1092</v>
      </c>
      <c r="U1713">
        <v>5</v>
      </c>
      <c r="V1713" t="s">
        <v>878</v>
      </c>
    </row>
    <row r="1714" spans="1:22" x14ac:dyDescent="0.3">
      <c r="A1714" t="s">
        <v>2710</v>
      </c>
      <c r="B1714" s="1">
        <v>45786</v>
      </c>
      <c r="C1714" t="s">
        <v>1668</v>
      </c>
      <c r="D1714" t="s">
        <v>1118</v>
      </c>
      <c r="E1714" t="s">
        <v>61</v>
      </c>
      <c r="F1714" t="s">
        <v>62</v>
      </c>
      <c r="G1714" t="s">
        <v>134</v>
      </c>
      <c r="H1714" t="s">
        <v>28</v>
      </c>
      <c r="I1714" t="s">
        <v>73</v>
      </c>
      <c r="J1714" t="s">
        <v>80</v>
      </c>
      <c r="K1714">
        <v>3</v>
      </c>
      <c r="L1714">
        <v>822.66</v>
      </c>
      <c r="M1714">
        <v>0.1</v>
      </c>
      <c r="N1714">
        <v>2221.1799999999998</v>
      </c>
      <c r="O1714">
        <v>1532.18</v>
      </c>
      <c r="P1714">
        <v>689</v>
      </c>
      <c r="Q1714" t="s">
        <v>31</v>
      </c>
      <c r="R1714">
        <v>0.31019548168090838</v>
      </c>
      <c r="S1714">
        <v>2025</v>
      </c>
      <c r="T1714" t="s">
        <v>1092</v>
      </c>
      <c r="U1714">
        <v>5</v>
      </c>
      <c r="V1714" t="s">
        <v>878</v>
      </c>
    </row>
    <row r="1715" spans="1:22" x14ac:dyDescent="0.3">
      <c r="A1715" t="s">
        <v>2711</v>
      </c>
      <c r="B1715" s="1">
        <v>45787</v>
      </c>
      <c r="C1715" t="s">
        <v>1608</v>
      </c>
      <c r="D1715" t="s">
        <v>615</v>
      </c>
      <c r="E1715" t="s">
        <v>25</v>
      </c>
      <c r="F1715" t="s">
        <v>26</v>
      </c>
      <c r="G1715" t="s">
        <v>171</v>
      </c>
      <c r="H1715" t="s">
        <v>64</v>
      </c>
      <c r="I1715" t="s">
        <v>65</v>
      </c>
      <c r="J1715" t="s">
        <v>232</v>
      </c>
      <c r="K1715">
        <v>4</v>
      </c>
      <c r="L1715">
        <v>3884.52</v>
      </c>
      <c r="M1715">
        <v>0.05</v>
      </c>
      <c r="N1715">
        <v>14761.18</v>
      </c>
      <c r="O1715">
        <v>9465.4599999999991</v>
      </c>
      <c r="P1715">
        <v>5295.72</v>
      </c>
      <c r="Q1715" t="s">
        <v>53</v>
      </c>
      <c r="R1715">
        <v>0.358759936536239</v>
      </c>
      <c r="S1715">
        <v>2025</v>
      </c>
      <c r="T1715" t="s">
        <v>1092</v>
      </c>
      <c r="U1715">
        <v>5</v>
      </c>
      <c r="V1715" t="s">
        <v>878</v>
      </c>
    </row>
    <row r="1716" spans="1:22" x14ac:dyDescent="0.3">
      <c r="A1716" t="s">
        <v>2712</v>
      </c>
      <c r="B1716" s="1">
        <v>45787</v>
      </c>
      <c r="C1716" t="s">
        <v>1124</v>
      </c>
      <c r="D1716" t="s">
        <v>116</v>
      </c>
      <c r="E1716" t="s">
        <v>61</v>
      </c>
      <c r="F1716" t="s">
        <v>71</v>
      </c>
      <c r="G1716" t="s">
        <v>100</v>
      </c>
      <c r="H1716" t="s">
        <v>84</v>
      </c>
      <c r="I1716" t="s">
        <v>138</v>
      </c>
      <c r="J1716" t="s">
        <v>139</v>
      </c>
      <c r="K1716">
        <v>1</v>
      </c>
      <c r="L1716">
        <v>13349.09</v>
      </c>
      <c r="M1716">
        <v>0.1</v>
      </c>
      <c r="N1716">
        <v>12014.18</v>
      </c>
      <c r="O1716">
        <v>9348.7800000000007</v>
      </c>
      <c r="P1716">
        <v>2665.4</v>
      </c>
      <c r="Q1716" t="s">
        <v>31</v>
      </c>
      <c r="R1716">
        <v>0.22185450858901731</v>
      </c>
      <c r="S1716">
        <v>2025</v>
      </c>
      <c r="T1716" t="s">
        <v>1092</v>
      </c>
      <c r="U1716">
        <v>5</v>
      </c>
      <c r="V1716" t="s">
        <v>878</v>
      </c>
    </row>
    <row r="1717" spans="1:22" x14ac:dyDescent="0.3">
      <c r="A1717" t="s">
        <v>2713</v>
      </c>
      <c r="B1717" s="1">
        <v>45788</v>
      </c>
      <c r="C1717" t="s">
        <v>98</v>
      </c>
      <c r="D1717" t="s">
        <v>2187</v>
      </c>
      <c r="E1717" t="s">
        <v>61</v>
      </c>
      <c r="F1717" t="s">
        <v>71</v>
      </c>
      <c r="G1717" t="s">
        <v>317</v>
      </c>
      <c r="H1717" t="s">
        <v>43</v>
      </c>
      <c r="I1717" t="s">
        <v>44</v>
      </c>
      <c r="J1717" t="s">
        <v>248</v>
      </c>
      <c r="K1717">
        <v>2</v>
      </c>
      <c r="L1717">
        <v>293.14999999999998</v>
      </c>
      <c r="M1717">
        <v>0.05</v>
      </c>
      <c r="N1717">
        <v>556.98</v>
      </c>
      <c r="O1717">
        <v>253.27</v>
      </c>
      <c r="P1717">
        <v>303.70999999999998</v>
      </c>
      <c r="Q1717" t="s">
        <v>67</v>
      </c>
      <c r="R1717">
        <v>0.54527990233042478</v>
      </c>
      <c r="S1717">
        <v>2025</v>
      </c>
      <c r="T1717" t="s">
        <v>1092</v>
      </c>
      <c r="U1717">
        <v>5</v>
      </c>
      <c r="V1717" t="s">
        <v>878</v>
      </c>
    </row>
    <row r="1718" spans="1:22" x14ac:dyDescent="0.3">
      <c r="A1718" t="s">
        <v>2714</v>
      </c>
      <c r="B1718" s="1">
        <v>45788</v>
      </c>
      <c r="C1718" t="s">
        <v>214</v>
      </c>
      <c r="D1718" t="s">
        <v>894</v>
      </c>
      <c r="E1718" t="s">
        <v>120</v>
      </c>
      <c r="F1718" t="s">
        <v>121</v>
      </c>
      <c r="G1718" t="s">
        <v>224</v>
      </c>
      <c r="H1718" t="s">
        <v>84</v>
      </c>
      <c r="I1718" t="s">
        <v>85</v>
      </c>
      <c r="J1718" t="s">
        <v>145</v>
      </c>
      <c r="K1718">
        <v>2</v>
      </c>
      <c r="L1718">
        <v>3491.34</v>
      </c>
      <c r="M1718">
        <v>0.1</v>
      </c>
      <c r="N1718">
        <v>6284.41</v>
      </c>
      <c r="O1718">
        <v>4029.16</v>
      </c>
      <c r="P1718">
        <v>2255.25</v>
      </c>
      <c r="Q1718" t="s">
        <v>31</v>
      </c>
      <c r="R1718">
        <v>0.35886423705646198</v>
      </c>
      <c r="S1718">
        <v>2025</v>
      </c>
      <c r="T1718" t="s">
        <v>1092</v>
      </c>
      <c r="U1718">
        <v>5</v>
      </c>
      <c r="V1718" t="s">
        <v>878</v>
      </c>
    </row>
    <row r="1719" spans="1:22" x14ac:dyDescent="0.3">
      <c r="A1719" t="s">
        <v>2715</v>
      </c>
      <c r="B1719" s="1">
        <v>45788</v>
      </c>
      <c r="C1719" t="s">
        <v>574</v>
      </c>
      <c r="D1719" t="s">
        <v>562</v>
      </c>
      <c r="E1719" t="s">
        <v>61</v>
      </c>
      <c r="F1719" t="s">
        <v>62</v>
      </c>
      <c r="G1719" t="s">
        <v>134</v>
      </c>
      <c r="H1719" t="s">
        <v>84</v>
      </c>
      <c r="I1719" t="s">
        <v>85</v>
      </c>
      <c r="J1719" t="s">
        <v>86</v>
      </c>
      <c r="K1719">
        <v>4</v>
      </c>
      <c r="L1719">
        <v>1817.25</v>
      </c>
      <c r="M1719">
        <v>0.2</v>
      </c>
      <c r="N1719">
        <v>5815.2</v>
      </c>
      <c r="O1719">
        <v>4052.22</v>
      </c>
      <c r="P1719">
        <v>1762.98</v>
      </c>
      <c r="Q1719" t="s">
        <v>46</v>
      </c>
      <c r="R1719">
        <v>0.30316756087494839</v>
      </c>
      <c r="S1719">
        <v>2025</v>
      </c>
      <c r="T1719" t="s">
        <v>1092</v>
      </c>
      <c r="U1719">
        <v>5</v>
      </c>
      <c r="V1719" t="s">
        <v>878</v>
      </c>
    </row>
    <row r="1720" spans="1:22" x14ac:dyDescent="0.3">
      <c r="A1720" t="s">
        <v>2716</v>
      </c>
      <c r="B1720" s="1">
        <v>45789</v>
      </c>
      <c r="C1720" t="s">
        <v>881</v>
      </c>
      <c r="D1720" t="s">
        <v>884</v>
      </c>
      <c r="E1720" t="s">
        <v>25</v>
      </c>
      <c r="F1720" t="s">
        <v>26</v>
      </c>
      <c r="G1720" t="s">
        <v>260</v>
      </c>
      <c r="H1720" t="s">
        <v>64</v>
      </c>
      <c r="I1720" t="s">
        <v>108</v>
      </c>
      <c r="J1720" t="s">
        <v>109</v>
      </c>
      <c r="K1720">
        <v>1</v>
      </c>
      <c r="L1720">
        <v>6710.93</v>
      </c>
      <c r="M1720">
        <v>0.15</v>
      </c>
      <c r="N1720">
        <v>5704.29</v>
      </c>
      <c r="O1720">
        <v>4390.62</v>
      </c>
      <c r="P1720">
        <v>1313.67</v>
      </c>
      <c r="Q1720" t="s">
        <v>31</v>
      </c>
      <c r="R1720">
        <v>0.23029509369264189</v>
      </c>
      <c r="S1720">
        <v>2025</v>
      </c>
      <c r="T1720" t="s">
        <v>1092</v>
      </c>
      <c r="U1720">
        <v>5</v>
      </c>
      <c r="V1720" t="s">
        <v>878</v>
      </c>
    </row>
    <row r="1721" spans="1:22" x14ac:dyDescent="0.3">
      <c r="A1721" t="s">
        <v>2717</v>
      </c>
      <c r="B1721" s="1">
        <v>45789</v>
      </c>
      <c r="C1721" t="s">
        <v>169</v>
      </c>
      <c r="D1721" t="s">
        <v>532</v>
      </c>
      <c r="E1721" t="s">
        <v>61</v>
      </c>
      <c r="F1721" t="s">
        <v>62</v>
      </c>
      <c r="G1721" t="s">
        <v>63</v>
      </c>
      <c r="H1721" t="s">
        <v>84</v>
      </c>
      <c r="I1721" t="s">
        <v>85</v>
      </c>
      <c r="J1721" t="s">
        <v>86</v>
      </c>
      <c r="K1721">
        <v>4</v>
      </c>
      <c r="L1721">
        <v>1894.59</v>
      </c>
      <c r="M1721">
        <v>0</v>
      </c>
      <c r="N1721">
        <v>7578.36</v>
      </c>
      <c r="O1721">
        <v>3943.89</v>
      </c>
      <c r="P1721">
        <v>3634.47</v>
      </c>
      <c r="Q1721" t="s">
        <v>46</v>
      </c>
      <c r="R1721">
        <v>0.47958529286019658</v>
      </c>
      <c r="S1721">
        <v>2025</v>
      </c>
      <c r="T1721" t="s">
        <v>1092</v>
      </c>
      <c r="U1721">
        <v>5</v>
      </c>
      <c r="V1721" t="s">
        <v>878</v>
      </c>
    </row>
    <row r="1722" spans="1:22" x14ac:dyDescent="0.3">
      <c r="A1722" t="s">
        <v>2718</v>
      </c>
      <c r="B1722" s="1">
        <v>45790</v>
      </c>
      <c r="C1722" t="s">
        <v>1657</v>
      </c>
      <c r="D1722" t="s">
        <v>822</v>
      </c>
      <c r="E1722" t="s">
        <v>41</v>
      </c>
      <c r="F1722" t="s">
        <v>42</v>
      </c>
      <c r="G1722" t="s">
        <v>50</v>
      </c>
      <c r="H1722" t="s">
        <v>43</v>
      </c>
      <c r="I1722" t="s">
        <v>44</v>
      </c>
      <c r="J1722" t="s">
        <v>248</v>
      </c>
      <c r="K1722">
        <v>1</v>
      </c>
      <c r="L1722">
        <v>289.66000000000003</v>
      </c>
      <c r="M1722">
        <v>0.1</v>
      </c>
      <c r="N1722">
        <v>260.69</v>
      </c>
      <c r="O1722">
        <v>117.31</v>
      </c>
      <c r="P1722">
        <v>143.38</v>
      </c>
      <c r="Q1722" t="s">
        <v>46</v>
      </c>
      <c r="R1722">
        <v>0.55000191798688092</v>
      </c>
      <c r="S1722">
        <v>2025</v>
      </c>
      <c r="T1722" t="s">
        <v>1092</v>
      </c>
      <c r="U1722">
        <v>5</v>
      </c>
      <c r="V1722" t="s">
        <v>878</v>
      </c>
    </row>
    <row r="1723" spans="1:22" x14ac:dyDescent="0.3">
      <c r="A1723" t="s">
        <v>2719</v>
      </c>
      <c r="B1723" s="1">
        <v>45790</v>
      </c>
      <c r="C1723" t="s">
        <v>910</v>
      </c>
      <c r="D1723" t="s">
        <v>901</v>
      </c>
      <c r="E1723" t="s">
        <v>61</v>
      </c>
      <c r="F1723" t="s">
        <v>78</v>
      </c>
      <c r="G1723" t="s">
        <v>104</v>
      </c>
      <c r="H1723" t="s">
        <v>43</v>
      </c>
      <c r="I1723" t="s">
        <v>44</v>
      </c>
      <c r="J1723" t="s">
        <v>248</v>
      </c>
      <c r="K1723">
        <v>1</v>
      </c>
      <c r="L1723">
        <v>291.22000000000003</v>
      </c>
      <c r="M1723">
        <v>0.1</v>
      </c>
      <c r="N1723">
        <v>262.10000000000002</v>
      </c>
      <c r="O1723">
        <v>118.1</v>
      </c>
      <c r="P1723">
        <v>144</v>
      </c>
      <c r="Q1723" t="s">
        <v>53</v>
      </c>
      <c r="R1723">
        <v>0.54940862266310564</v>
      </c>
      <c r="S1723">
        <v>2025</v>
      </c>
      <c r="T1723" t="s">
        <v>1092</v>
      </c>
      <c r="U1723">
        <v>5</v>
      </c>
      <c r="V1723" t="s">
        <v>878</v>
      </c>
    </row>
    <row r="1724" spans="1:22" x14ac:dyDescent="0.3">
      <c r="A1724" t="s">
        <v>2720</v>
      </c>
      <c r="B1724" s="1">
        <v>45791</v>
      </c>
      <c r="C1724" t="s">
        <v>1348</v>
      </c>
      <c r="D1724" t="s">
        <v>1138</v>
      </c>
      <c r="E1724" t="s">
        <v>61</v>
      </c>
      <c r="F1724" t="s">
        <v>62</v>
      </c>
      <c r="G1724" t="s">
        <v>63</v>
      </c>
      <c r="H1724" t="s">
        <v>28</v>
      </c>
      <c r="I1724" t="s">
        <v>91</v>
      </c>
      <c r="J1724" t="s">
        <v>126</v>
      </c>
      <c r="K1724">
        <v>2</v>
      </c>
      <c r="L1724">
        <v>1988.01</v>
      </c>
      <c r="M1724">
        <v>0.05</v>
      </c>
      <c r="N1724">
        <v>3777.22</v>
      </c>
      <c r="O1724">
        <v>2248.98</v>
      </c>
      <c r="P1724">
        <v>1528.24</v>
      </c>
      <c r="Q1724" t="s">
        <v>31</v>
      </c>
      <c r="R1724">
        <v>0.40459385473972931</v>
      </c>
      <c r="S1724">
        <v>2025</v>
      </c>
      <c r="T1724" t="s">
        <v>1092</v>
      </c>
      <c r="U1724">
        <v>5</v>
      </c>
      <c r="V1724" t="s">
        <v>878</v>
      </c>
    </row>
    <row r="1725" spans="1:22" x14ac:dyDescent="0.3">
      <c r="A1725" t="s">
        <v>2721</v>
      </c>
      <c r="B1725" s="1">
        <v>45791</v>
      </c>
      <c r="C1725" t="s">
        <v>1428</v>
      </c>
      <c r="D1725" t="s">
        <v>1148</v>
      </c>
      <c r="E1725" t="s">
        <v>61</v>
      </c>
      <c r="F1725" t="s">
        <v>78</v>
      </c>
      <c r="G1725" t="s">
        <v>216</v>
      </c>
      <c r="H1725" t="s">
        <v>64</v>
      </c>
      <c r="I1725" t="s">
        <v>65</v>
      </c>
      <c r="J1725" t="s">
        <v>232</v>
      </c>
      <c r="K1725">
        <v>2</v>
      </c>
      <c r="L1725">
        <v>4096.5</v>
      </c>
      <c r="M1725">
        <v>0.05</v>
      </c>
      <c r="N1725">
        <v>7783.35</v>
      </c>
      <c r="O1725">
        <v>5181</v>
      </c>
      <c r="P1725">
        <v>2602.35</v>
      </c>
      <c r="Q1725" t="s">
        <v>53</v>
      </c>
      <c r="R1725">
        <v>0.33434832045327523</v>
      </c>
      <c r="S1725">
        <v>2025</v>
      </c>
      <c r="T1725" t="s">
        <v>1092</v>
      </c>
      <c r="U1725">
        <v>5</v>
      </c>
      <c r="V1725" t="s">
        <v>878</v>
      </c>
    </row>
    <row r="1726" spans="1:22" x14ac:dyDescent="0.3">
      <c r="A1726" t="s">
        <v>2722</v>
      </c>
      <c r="B1726" s="1">
        <v>45792</v>
      </c>
      <c r="C1726" t="s">
        <v>1189</v>
      </c>
      <c r="D1726" t="s">
        <v>562</v>
      </c>
      <c r="E1726" t="s">
        <v>61</v>
      </c>
      <c r="F1726" t="s">
        <v>78</v>
      </c>
      <c r="G1726" t="s">
        <v>216</v>
      </c>
      <c r="H1726" t="s">
        <v>28</v>
      </c>
      <c r="I1726" t="s">
        <v>73</v>
      </c>
      <c r="J1726" t="s">
        <v>74</v>
      </c>
      <c r="K1726">
        <v>4</v>
      </c>
      <c r="L1726">
        <v>2620.67</v>
      </c>
      <c r="M1726">
        <v>0.15</v>
      </c>
      <c r="N1726">
        <v>8910.2800000000007</v>
      </c>
      <c r="O1726">
        <v>5691.34</v>
      </c>
      <c r="P1726">
        <v>3218.94</v>
      </c>
      <c r="Q1726" t="s">
        <v>31</v>
      </c>
      <c r="R1726">
        <v>0.36126137450226031</v>
      </c>
      <c r="S1726">
        <v>2025</v>
      </c>
      <c r="T1726" t="s">
        <v>1092</v>
      </c>
      <c r="U1726">
        <v>5</v>
      </c>
      <c r="V1726" t="s">
        <v>878</v>
      </c>
    </row>
    <row r="1727" spans="1:22" x14ac:dyDescent="0.3">
      <c r="A1727" t="s">
        <v>2723</v>
      </c>
      <c r="B1727" s="1">
        <v>45792</v>
      </c>
      <c r="C1727" t="s">
        <v>974</v>
      </c>
      <c r="D1727" t="s">
        <v>256</v>
      </c>
      <c r="E1727" t="s">
        <v>61</v>
      </c>
      <c r="F1727" t="s">
        <v>71</v>
      </c>
      <c r="G1727" t="s">
        <v>317</v>
      </c>
      <c r="H1727" t="s">
        <v>64</v>
      </c>
      <c r="I1727" t="s">
        <v>65</v>
      </c>
      <c r="J1727" t="s">
        <v>232</v>
      </c>
      <c r="K1727">
        <v>3</v>
      </c>
      <c r="L1727">
        <v>3912.57</v>
      </c>
      <c r="M1727">
        <v>0.15</v>
      </c>
      <c r="N1727">
        <v>9977.0499999999993</v>
      </c>
      <c r="O1727">
        <v>7537.85</v>
      </c>
      <c r="P1727">
        <v>2439.1999999999998</v>
      </c>
      <c r="Q1727" t="s">
        <v>53</v>
      </c>
      <c r="R1727">
        <v>0.24448108408798189</v>
      </c>
      <c r="S1727">
        <v>2025</v>
      </c>
      <c r="T1727" t="s">
        <v>1092</v>
      </c>
      <c r="U1727">
        <v>5</v>
      </c>
      <c r="V1727" t="s">
        <v>878</v>
      </c>
    </row>
    <row r="1728" spans="1:22" x14ac:dyDescent="0.3">
      <c r="A1728" t="s">
        <v>2724</v>
      </c>
      <c r="B1728" s="1">
        <v>45792</v>
      </c>
      <c r="C1728" t="s">
        <v>1027</v>
      </c>
      <c r="D1728" t="s">
        <v>170</v>
      </c>
      <c r="E1728" t="s">
        <v>61</v>
      </c>
      <c r="F1728" t="s">
        <v>62</v>
      </c>
      <c r="G1728" t="s">
        <v>90</v>
      </c>
      <c r="H1728" t="s">
        <v>28</v>
      </c>
      <c r="I1728" t="s">
        <v>29</v>
      </c>
      <c r="J1728" t="s">
        <v>30</v>
      </c>
      <c r="K1728">
        <v>6</v>
      </c>
      <c r="L1728">
        <v>56954.75</v>
      </c>
      <c r="M1728">
        <v>0.05</v>
      </c>
      <c r="N1728">
        <v>324642.08</v>
      </c>
      <c r="O1728">
        <v>300617.96999999997</v>
      </c>
      <c r="P1728">
        <v>24024.11</v>
      </c>
      <c r="Q1728" t="s">
        <v>53</v>
      </c>
      <c r="R1728">
        <v>7.4001836114406361E-2</v>
      </c>
      <c r="S1728">
        <v>2025</v>
      </c>
      <c r="T1728" t="s">
        <v>1092</v>
      </c>
      <c r="U1728">
        <v>5</v>
      </c>
      <c r="V1728" t="s">
        <v>878</v>
      </c>
    </row>
    <row r="1729" spans="1:22" x14ac:dyDescent="0.3">
      <c r="A1729" t="s">
        <v>2725</v>
      </c>
      <c r="B1729" s="1">
        <v>45792</v>
      </c>
      <c r="C1729" t="s">
        <v>1772</v>
      </c>
      <c r="D1729" t="s">
        <v>698</v>
      </c>
      <c r="E1729" t="s">
        <v>41</v>
      </c>
      <c r="F1729" t="s">
        <v>42</v>
      </c>
      <c r="G1729" t="s">
        <v>50</v>
      </c>
      <c r="H1729" t="s">
        <v>84</v>
      </c>
      <c r="I1729" t="s">
        <v>85</v>
      </c>
      <c r="J1729" t="s">
        <v>86</v>
      </c>
      <c r="K1729">
        <v>5</v>
      </c>
      <c r="L1729">
        <v>1901.37</v>
      </c>
      <c r="M1729">
        <v>0.05</v>
      </c>
      <c r="N1729">
        <v>9031.51</v>
      </c>
      <c r="O1729">
        <v>5275.2</v>
      </c>
      <c r="P1729">
        <v>3756.31</v>
      </c>
      <c r="Q1729" t="s">
        <v>46</v>
      </c>
      <c r="R1729">
        <v>0.41591162496636769</v>
      </c>
      <c r="S1729">
        <v>2025</v>
      </c>
      <c r="T1729" t="s">
        <v>1092</v>
      </c>
      <c r="U1729">
        <v>5</v>
      </c>
      <c r="V1729" t="s">
        <v>878</v>
      </c>
    </row>
    <row r="1730" spans="1:22" x14ac:dyDescent="0.3">
      <c r="A1730" t="s">
        <v>2726</v>
      </c>
      <c r="B1730" s="1">
        <v>45793</v>
      </c>
      <c r="C1730" t="s">
        <v>387</v>
      </c>
      <c r="D1730" t="s">
        <v>1108</v>
      </c>
      <c r="E1730" t="s">
        <v>61</v>
      </c>
      <c r="F1730" t="s">
        <v>62</v>
      </c>
      <c r="G1730" t="s">
        <v>134</v>
      </c>
      <c r="H1730" t="s">
        <v>84</v>
      </c>
      <c r="I1730" t="s">
        <v>138</v>
      </c>
      <c r="J1730" t="s">
        <v>139</v>
      </c>
      <c r="K1730">
        <v>1</v>
      </c>
      <c r="L1730">
        <v>13507.9</v>
      </c>
      <c r="M1730">
        <v>0</v>
      </c>
      <c r="N1730">
        <v>13507.9</v>
      </c>
      <c r="O1730">
        <v>10112.19</v>
      </c>
      <c r="P1730">
        <v>3395.71</v>
      </c>
      <c r="Q1730" t="s">
        <v>46</v>
      </c>
      <c r="R1730">
        <v>0.25138696614573702</v>
      </c>
      <c r="S1730">
        <v>2025</v>
      </c>
      <c r="T1730" t="s">
        <v>1092</v>
      </c>
      <c r="U1730">
        <v>5</v>
      </c>
      <c r="V1730" t="s">
        <v>878</v>
      </c>
    </row>
    <row r="1731" spans="1:22" x14ac:dyDescent="0.3">
      <c r="A1731" t="s">
        <v>2727</v>
      </c>
      <c r="B1731" s="1">
        <v>45793</v>
      </c>
      <c r="C1731" t="s">
        <v>1892</v>
      </c>
      <c r="D1731" t="s">
        <v>403</v>
      </c>
      <c r="E1731" t="s">
        <v>120</v>
      </c>
      <c r="F1731" t="s">
        <v>121</v>
      </c>
      <c r="G1731" t="s">
        <v>122</v>
      </c>
      <c r="H1731" t="s">
        <v>84</v>
      </c>
      <c r="I1731" t="s">
        <v>85</v>
      </c>
      <c r="J1731" t="s">
        <v>86</v>
      </c>
      <c r="K1731">
        <v>2</v>
      </c>
      <c r="L1731">
        <v>1846.65</v>
      </c>
      <c r="M1731">
        <v>0.15</v>
      </c>
      <c r="N1731">
        <v>3139.31</v>
      </c>
      <c r="O1731">
        <v>1957.06</v>
      </c>
      <c r="P1731">
        <v>1182.25</v>
      </c>
      <c r="Q1731" t="s">
        <v>31</v>
      </c>
      <c r="R1731">
        <v>0.37659549391426778</v>
      </c>
      <c r="S1731">
        <v>2025</v>
      </c>
      <c r="T1731" t="s">
        <v>1092</v>
      </c>
      <c r="U1731">
        <v>5</v>
      </c>
      <c r="V1731" t="s">
        <v>878</v>
      </c>
    </row>
    <row r="1732" spans="1:22" x14ac:dyDescent="0.3">
      <c r="A1732" t="s">
        <v>2728</v>
      </c>
      <c r="B1732" s="1">
        <v>45793</v>
      </c>
      <c r="C1732" t="s">
        <v>2260</v>
      </c>
      <c r="D1732" t="s">
        <v>782</v>
      </c>
      <c r="E1732" t="s">
        <v>25</v>
      </c>
      <c r="F1732" t="s">
        <v>26</v>
      </c>
      <c r="G1732" t="s">
        <v>37</v>
      </c>
      <c r="H1732" t="s">
        <v>28</v>
      </c>
      <c r="I1732" t="s">
        <v>29</v>
      </c>
      <c r="J1732" t="s">
        <v>30</v>
      </c>
      <c r="K1732">
        <v>4</v>
      </c>
      <c r="L1732">
        <v>59777.51</v>
      </c>
      <c r="M1732">
        <v>0</v>
      </c>
      <c r="N1732">
        <v>239110.04</v>
      </c>
      <c r="O1732">
        <v>215305.74</v>
      </c>
      <c r="P1732">
        <v>23804.3</v>
      </c>
      <c r="Q1732" t="s">
        <v>53</v>
      </c>
      <c r="R1732">
        <v>9.9553745212873537E-2</v>
      </c>
      <c r="S1732">
        <v>2025</v>
      </c>
      <c r="T1732" t="s">
        <v>1092</v>
      </c>
      <c r="U1732">
        <v>5</v>
      </c>
      <c r="V1732" t="s">
        <v>878</v>
      </c>
    </row>
    <row r="1733" spans="1:22" x14ac:dyDescent="0.3">
      <c r="A1733" t="s">
        <v>2729</v>
      </c>
      <c r="B1733" s="1">
        <v>45794</v>
      </c>
      <c r="C1733" t="s">
        <v>1155</v>
      </c>
      <c r="D1733" t="s">
        <v>932</v>
      </c>
      <c r="E1733" t="s">
        <v>61</v>
      </c>
      <c r="F1733" t="s">
        <v>78</v>
      </c>
      <c r="G1733" t="s">
        <v>79</v>
      </c>
      <c r="H1733" t="s">
        <v>64</v>
      </c>
      <c r="I1733" t="s">
        <v>108</v>
      </c>
      <c r="J1733" t="s">
        <v>155</v>
      </c>
      <c r="K1733">
        <v>5</v>
      </c>
      <c r="L1733">
        <v>8660.92</v>
      </c>
      <c r="M1733">
        <v>0.05</v>
      </c>
      <c r="N1733">
        <v>41139.370000000003</v>
      </c>
      <c r="O1733">
        <v>29587.82</v>
      </c>
      <c r="P1733">
        <v>11551.55</v>
      </c>
      <c r="Q1733" t="s">
        <v>31</v>
      </c>
      <c r="R1733">
        <v>0.28079063923438791</v>
      </c>
      <c r="S1733">
        <v>2025</v>
      </c>
      <c r="T1733" t="s">
        <v>1092</v>
      </c>
      <c r="U1733">
        <v>5</v>
      </c>
      <c r="V1733" t="s">
        <v>878</v>
      </c>
    </row>
    <row r="1734" spans="1:22" x14ac:dyDescent="0.3">
      <c r="A1734" t="s">
        <v>2730</v>
      </c>
      <c r="B1734" s="1">
        <v>45794</v>
      </c>
      <c r="C1734" t="s">
        <v>410</v>
      </c>
      <c r="D1734" t="s">
        <v>2012</v>
      </c>
      <c r="E1734" t="s">
        <v>61</v>
      </c>
      <c r="F1734" t="s">
        <v>78</v>
      </c>
      <c r="G1734" t="s">
        <v>216</v>
      </c>
      <c r="H1734" t="s">
        <v>43</v>
      </c>
      <c r="I1734" t="s">
        <v>44</v>
      </c>
      <c r="J1734" t="s">
        <v>248</v>
      </c>
      <c r="K1734">
        <v>2</v>
      </c>
      <c r="L1734">
        <v>289.7</v>
      </c>
      <c r="M1734">
        <v>0.15</v>
      </c>
      <c r="N1734">
        <v>492.49</v>
      </c>
      <c r="O1734">
        <v>236.93</v>
      </c>
      <c r="P1734">
        <v>255.56</v>
      </c>
      <c r="Q1734" t="s">
        <v>67</v>
      </c>
      <c r="R1734">
        <v>0.51891408962618535</v>
      </c>
      <c r="S1734">
        <v>2025</v>
      </c>
      <c r="T1734" t="s">
        <v>1092</v>
      </c>
      <c r="U1734">
        <v>5</v>
      </c>
      <c r="V1734" t="s">
        <v>878</v>
      </c>
    </row>
    <row r="1735" spans="1:22" x14ac:dyDescent="0.3">
      <c r="A1735" t="s">
        <v>2731</v>
      </c>
      <c r="B1735" s="1">
        <v>45795</v>
      </c>
      <c r="C1735" t="s">
        <v>2247</v>
      </c>
      <c r="D1735" t="s">
        <v>223</v>
      </c>
      <c r="E1735" t="s">
        <v>61</v>
      </c>
      <c r="F1735" t="s">
        <v>71</v>
      </c>
      <c r="G1735" t="s">
        <v>317</v>
      </c>
      <c r="H1735" t="s">
        <v>28</v>
      </c>
      <c r="I1735" t="s">
        <v>29</v>
      </c>
      <c r="J1735" t="s">
        <v>57</v>
      </c>
      <c r="K1735">
        <v>1</v>
      </c>
      <c r="L1735">
        <v>16702.11</v>
      </c>
      <c r="M1735">
        <v>0.15</v>
      </c>
      <c r="N1735">
        <v>14196.79</v>
      </c>
      <c r="O1735">
        <v>12512.03</v>
      </c>
      <c r="P1735">
        <v>1684.76</v>
      </c>
      <c r="Q1735" t="s">
        <v>31</v>
      </c>
      <c r="R1735">
        <v>0.1186718969569882</v>
      </c>
      <c r="S1735">
        <v>2025</v>
      </c>
      <c r="T1735" t="s">
        <v>1092</v>
      </c>
      <c r="U1735">
        <v>5</v>
      </c>
      <c r="V1735" t="s">
        <v>878</v>
      </c>
    </row>
    <row r="1736" spans="1:22" x14ac:dyDescent="0.3">
      <c r="A1736" t="s">
        <v>2732</v>
      </c>
      <c r="B1736" s="1">
        <v>45795</v>
      </c>
      <c r="C1736" t="s">
        <v>1752</v>
      </c>
      <c r="D1736" t="s">
        <v>957</v>
      </c>
      <c r="E1736" t="s">
        <v>61</v>
      </c>
      <c r="F1736" t="s">
        <v>78</v>
      </c>
      <c r="G1736" t="s">
        <v>79</v>
      </c>
      <c r="H1736" t="s">
        <v>28</v>
      </c>
      <c r="I1736" t="s">
        <v>29</v>
      </c>
      <c r="J1736" t="s">
        <v>30</v>
      </c>
      <c r="K1736">
        <v>4</v>
      </c>
      <c r="L1736">
        <v>56872.31</v>
      </c>
      <c r="M1736">
        <v>0.05</v>
      </c>
      <c r="N1736">
        <v>216114.78</v>
      </c>
      <c r="O1736">
        <v>199677.2</v>
      </c>
      <c r="P1736">
        <v>16437.580000000002</v>
      </c>
      <c r="Q1736" t="s">
        <v>53</v>
      </c>
      <c r="R1736">
        <v>7.6059490239399646E-2</v>
      </c>
      <c r="S1736">
        <v>2025</v>
      </c>
      <c r="T1736" t="s">
        <v>1092</v>
      </c>
      <c r="U1736">
        <v>5</v>
      </c>
      <c r="V1736" t="s">
        <v>878</v>
      </c>
    </row>
    <row r="1737" spans="1:22" x14ac:dyDescent="0.3">
      <c r="A1737" t="s">
        <v>2733</v>
      </c>
      <c r="B1737" s="1">
        <v>45796</v>
      </c>
      <c r="C1737" t="s">
        <v>2734</v>
      </c>
      <c r="D1737" t="s">
        <v>575</v>
      </c>
      <c r="E1737" t="s">
        <v>61</v>
      </c>
      <c r="F1737" t="s">
        <v>78</v>
      </c>
      <c r="G1737" t="s">
        <v>79</v>
      </c>
      <c r="H1737" t="s">
        <v>28</v>
      </c>
      <c r="I1737" t="s">
        <v>73</v>
      </c>
      <c r="J1737" t="s">
        <v>74</v>
      </c>
      <c r="K1737">
        <v>3</v>
      </c>
      <c r="L1737">
        <v>2513.83</v>
      </c>
      <c r="M1737">
        <v>0.15</v>
      </c>
      <c r="N1737">
        <v>6410.27</v>
      </c>
      <c r="O1737">
        <v>4278.34</v>
      </c>
      <c r="P1737">
        <v>2131.9299999999998</v>
      </c>
      <c r="Q1737" t="s">
        <v>31</v>
      </c>
      <c r="R1737">
        <v>0.33258037492960513</v>
      </c>
      <c r="S1737">
        <v>2025</v>
      </c>
      <c r="T1737" t="s">
        <v>1092</v>
      </c>
      <c r="U1737">
        <v>5</v>
      </c>
      <c r="V1737" t="s">
        <v>878</v>
      </c>
    </row>
    <row r="1738" spans="1:22" x14ac:dyDescent="0.3">
      <c r="A1738" t="s">
        <v>2735</v>
      </c>
      <c r="B1738" s="1">
        <v>45796</v>
      </c>
      <c r="C1738" t="s">
        <v>328</v>
      </c>
      <c r="D1738" t="s">
        <v>1433</v>
      </c>
      <c r="E1738" t="s">
        <v>25</v>
      </c>
      <c r="F1738" t="s">
        <v>26</v>
      </c>
      <c r="G1738" t="s">
        <v>260</v>
      </c>
      <c r="H1738" t="s">
        <v>43</v>
      </c>
      <c r="I1738" t="s">
        <v>51</v>
      </c>
      <c r="J1738" t="s">
        <v>52</v>
      </c>
      <c r="K1738">
        <v>6</v>
      </c>
      <c r="L1738">
        <v>690.89</v>
      </c>
      <c r="M1738">
        <v>0.05</v>
      </c>
      <c r="N1738">
        <v>3938.07</v>
      </c>
      <c r="O1738">
        <v>2014.29</v>
      </c>
      <c r="P1738">
        <v>1923.78</v>
      </c>
      <c r="Q1738" t="s">
        <v>46</v>
      </c>
      <c r="R1738">
        <v>0.48850833022267248</v>
      </c>
      <c r="S1738">
        <v>2025</v>
      </c>
      <c r="T1738" t="s">
        <v>1092</v>
      </c>
      <c r="U1738">
        <v>5</v>
      </c>
      <c r="V1738" t="s">
        <v>878</v>
      </c>
    </row>
    <row r="1739" spans="1:22" x14ac:dyDescent="0.3">
      <c r="A1739" t="s">
        <v>2736</v>
      </c>
      <c r="B1739" s="1">
        <v>45796</v>
      </c>
      <c r="C1739" t="s">
        <v>962</v>
      </c>
      <c r="D1739" t="s">
        <v>227</v>
      </c>
      <c r="E1739" t="s">
        <v>25</v>
      </c>
      <c r="F1739" t="s">
        <v>26</v>
      </c>
      <c r="G1739" t="s">
        <v>27</v>
      </c>
      <c r="H1739" t="s">
        <v>64</v>
      </c>
      <c r="I1739" t="s">
        <v>65</v>
      </c>
      <c r="J1739" t="s">
        <v>66</v>
      </c>
      <c r="K1739">
        <v>2</v>
      </c>
      <c r="L1739">
        <v>4933.09</v>
      </c>
      <c r="M1739">
        <v>0.15</v>
      </c>
      <c r="N1739">
        <v>8386.25</v>
      </c>
      <c r="O1739">
        <v>6035.53</v>
      </c>
      <c r="P1739">
        <v>2350.7199999999998</v>
      </c>
      <c r="Q1739" t="s">
        <v>46</v>
      </c>
      <c r="R1739">
        <v>0.28030645401699211</v>
      </c>
      <c r="S1739">
        <v>2025</v>
      </c>
      <c r="T1739" t="s">
        <v>1092</v>
      </c>
      <c r="U1739">
        <v>5</v>
      </c>
      <c r="V1739" t="s">
        <v>878</v>
      </c>
    </row>
    <row r="1740" spans="1:22" x14ac:dyDescent="0.3">
      <c r="A1740" t="s">
        <v>2737</v>
      </c>
      <c r="B1740" s="1">
        <v>45797</v>
      </c>
      <c r="C1740" t="s">
        <v>824</v>
      </c>
      <c r="D1740" t="s">
        <v>223</v>
      </c>
      <c r="E1740" t="s">
        <v>61</v>
      </c>
      <c r="F1740" t="s">
        <v>78</v>
      </c>
      <c r="G1740" t="s">
        <v>79</v>
      </c>
      <c r="H1740" t="s">
        <v>28</v>
      </c>
      <c r="I1740" t="s">
        <v>91</v>
      </c>
      <c r="J1740" t="s">
        <v>92</v>
      </c>
      <c r="K1740">
        <v>2</v>
      </c>
      <c r="L1740">
        <v>3088.52</v>
      </c>
      <c r="M1740">
        <v>0.1</v>
      </c>
      <c r="N1740">
        <v>5559.34</v>
      </c>
      <c r="O1740">
        <v>3131.56</v>
      </c>
      <c r="P1740">
        <v>2427.7800000000002</v>
      </c>
      <c r="Q1740" t="s">
        <v>53</v>
      </c>
      <c r="R1740">
        <v>0.43670291797227728</v>
      </c>
      <c r="S1740">
        <v>2025</v>
      </c>
      <c r="T1740" t="s">
        <v>1092</v>
      </c>
      <c r="U1740">
        <v>5</v>
      </c>
      <c r="V1740" t="s">
        <v>878</v>
      </c>
    </row>
    <row r="1741" spans="1:22" x14ac:dyDescent="0.3">
      <c r="A1741" t="s">
        <v>2738</v>
      </c>
      <c r="B1741" s="1">
        <v>45798</v>
      </c>
      <c r="C1741" t="s">
        <v>173</v>
      </c>
      <c r="D1741" t="s">
        <v>641</v>
      </c>
      <c r="E1741" t="s">
        <v>41</v>
      </c>
      <c r="F1741" t="s">
        <v>42</v>
      </c>
      <c r="G1741" t="s">
        <v>50</v>
      </c>
      <c r="H1741" t="s">
        <v>64</v>
      </c>
      <c r="I1741" t="s">
        <v>108</v>
      </c>
      <c r="J1741" t="s">
        <v>155</v>
      </c>
      <c r="K1741">
        <v>4</v>
      </c>
      <c r="L1741">
        <v>8064.68</v>
      </c>
      <c r="M1741">
        <v>0</v>
      </c>
      <c r="N1741">
        <v>32258.720000000001</v>
      </c>
      <c r="O1741">
        <v>22614.23</v>
      </c>
      <c r="P1741">
        <v>9644.49</v>
      </c>
      <c r="Q1741" t="s">
        <v>46</v>
      </c>
      <c r="R1741">
        <v>0.2989731148663059</v>
      </c>
      <c r="S1741">
        <v>2025</v>
      </c>
      <c r="T1741" t="s">
        <v>1092</v>
      </c>
      <c r="U1741">
        <v>5</v>
      </c>
      <c r="V1741" t="s">
        <v>878</v>
      </c>
    </row>
    <row r="1742" spans="1:22" x14ac:dyDescent="0.3">
      <c r="A1742" t="s">
        <v>2739</v>
      </c>
      <c r="B1742" s="1">
        <v>45798</v>
      </c>
      <c r="C1742" t="s">
        <v>788</v>
      </c>
      <c r="D1742" t="s">
        <v>1230</v>
      </c>
      <c r="E1742" t="s">
        <v>61</v>
      </c>
      <c r="F1742" t="s">
        <v>78</v>
      </c>
      <c r="G1742" t="s">
        <v>79</v>
      </c>
      <c r="H1742" t="s">
        <v>43</v>
      </c>
      <c r="I1742" t="s">
        <v>51</v>
      </c>
      <c r="J1742" t="s">
        <v>96</v>
      </c>
      <c r="K1742">
        <v>1</v>
      </c>
      <c r="L1742">
        <v>489.06</v>
      </c>
      <c r="M1742">
        <v>0.1</v>
      </c>
      <c r="N1742">
        <v>440.15</v>
      </c>
      <c r="O1742">
        <v>225.95</v>
      </c>
      <c r="P1742">
        <v>214.2</v>
      </c>
      <c r="Q1742" t="s">
        <v>53</v>
      </c>
      <c r="R1742">
        <v>0.48665227763262531</v>
      </c>
      <c r="S1742">
        <v>2025</v>
      </c>
      <c r="T1742" t="s">
        <v>1092</v>
      </c>
      <c r="U1742">
        <v>5</v>
      </c>
      <c r="V1742" t="s">
        <v>878</v>
      </c>
    </row>
    <row r="1743" spans="1:22" x14ac:dyDescent="0.3">
      <c r="A1743" t="s">
        <v>2740</v>
      </c>
      <c r="B1743" s="1">
        <v>45798</v>
      </c>
      <c r="C1743" t="s">
        <v>264</v>
      </c>
      <c r="D1743" t="s">
        <v>119</v>
      </c>
      <c r="E1743" t="s">
        <v>41</v>
      </c>
      <c r="F1743" t="s">
        <v>42</v>
      </c>
      <c r="G1743" t="s">
        <v>50</v>
      </c>
      <c r="H1743" t="s">
        <v>64</v>
      </c>
      <c r="I1743" t="s">
        <v>108</v>
      </c>
      <c r="J1743" t="s">
        <v>109</v>
      </c>
      <c r="K1743">
        <v>3</v>
      </c>
      <c r="L1743">
        <v>7288.49</v>
      </c>
      <c r="M1743">
        <v>0.15</v>
      </c>
      <c r="N1743">
        <v>18585.650000000001</v>
      </c>
      <c r="O1743">
        <v>14140.6</v>
      </c>
      <c r="P1743">
        <v>4445.05</v>
      </c>
      <c r="Q1743" t="s">
        <v>46</v>
      </c>
      <c r="R1743">
        <v>0.2391657004194096</v>
      </c>
      <c r="S1743">
        <v>2025</v>
      </c>
      <c r="T1743" t="s">
        <v>1092</v>
      </c>
      <c r="U1743">
        <v>5</v>
      </c>
      <c r="V1743" t="s">
        <v>878</v>
      </c>
    </row>
    <row r="1744" spans="1:22" x14ac:dyDescent="0.3">
      <c r="A1744" t="s">
        <v>2741</v>
      </c>
      <c r="B1744" s="1">
        <v>45798</v>
      </c>
      <c r="C1744" t="s">
        <v>2529</v>
      </c>
      <c r="D1744" t="s">
        <v>623</v>
      </c>
      <c r="E1744" t="s">
        <v>120</v>
      </c>
      <c r="F1744" t="s">
        <v>121</v>
      </c>
      <c r="G1744" t="s">
        <v>122</v>
      </c>
      <c r="H1744" t="s">
        <v>43</v>
      </c>
      <c r="I1744" t="s">
        <v>51</v>
      </c>
      <c r="J1744" t="s">
        <v>52</v>
      </c>
      <c r="K1744">
        <v>2</v>
      </c>
      <c r="L1744">
        <v>673.88</v>
      </c>
      <c r="M1744">
        <v>0.1</v>
      </c>
      <c r="N1744">
        <v>1212.98</v>
      </c>
      <c r="O1744">
        <v>650.07000000000005</v>
      </c>
      <c r="P1744">
        <v>562.91</v>
      </c>
      <c r="Q1744" t="s">
        <v>53</v>
      </c>
      <c r="R1744">
        <v>0.46407195501986842</v>
      </c>
      <c r="S1744">
        <v>2025</v>
      </c>
      <c r="T1744" t="s">
        <v>1092</v>
      </c>
      <c r="U1744">
        <v>5</v>
      </c>
      <c r="V1744" t="s">
        <v>878</v>
      </c>
    </row>
    <row r="1745" spans="1:22" x14ac:dyDescent="0.3">
      <c r="A1745" t="s">
        <v>2742</v>
      </c>
      <c r="B1745" s="1">
        <v>45798</v>
      </c>
      <c r="C1745" t="s">
        <v>1276</v>
      </c>
      <c r="D1745" t="s">
        <v>494</v>
      </c>
      <c r="E1745" t="s">
        <v>120</v>
      </c>
      <c r="F1745" t="s">
        <v>121</v>
      </c>
      <c r="G1745" t="s">
        <v>122</v>
      </c>
      <c r="H1745" t="s">
        <v>28</v>
      </c>
      <c r="I1745" t="s">
        <v>29</v>
      </c>
      <c r="J1745" t="s">
        <v>57</v>
      </c>
      <c r="K1745">
        <v>3</v>
      </c>
      <c r="L1745">
        <v>15181.27</v>
      </c>
      <c r="M1745">
        <v>0.1</v>
      </c>
      <c r="N1745">
        <v>40989.43</v>
      </c>
      <c r="O1745">
        <v>34012.589999999997</v>
      </c>
      <c r="P1745">
        <v>6976.84</v>
      </c>
      <c r="Q1745" t="s">
        <v>31</v>
      </c>
      <c r="R1745">
        <v>0.17021071041973501</v>
      </c>
      <c r="S1745">
        <v>2025</v>
      </c>
      <c r="T1745" t="s">
        <v>1092</v>
      </c>
      <c r="U1745">
        <v>5</v>
      </c>
      <c r="V1745" t="s">
        <v>878</v>
      </c>
    </row>
    <row r="1746" spans="1:22" x14ac:dyDescent="0.3">
      <c r="A1746" t="s">
        <v>2743</v>
      </c>
      <c r="B1746" s="1">
        <v>45799</v>
      </c>
      <c r="C1746" t="s">
        <v>1560</v>
      </c>
      <c r="D1746" t="s">
        <v>454</v>
      </c>
      <c r="E1746" t="s">
        <v>61</v>
      </c>
      <c r="F1746" t="s">
        <v>62</v>
      </c>
      <c r="G1746" t="s">
        <v>134</v>
      </c>
      <c r="H1746" t="s">
        <v>84</v>
      </c>
      <c r="I1746" t="s">
        <v>138</v>
      </c>
      <c r="J1746" t="s">
        <v>220</v>
      </c>
      <c r="K1746">
        <v>2</v>
      </c>
      <c r="L1746">
        <v>7378.46</v>
      </c>
      <c r="M1746">
        <v>0.05</v>
      </c>
      <c r="N1746">
        <v>14019.07</v>
      </c>
      <c r="O1746">
        <v>9677.35</v>
      </c>
      <c r="P1746">
        <v>4341.72</v>
      </c>
      <c r="Q1746" t="s">
        <v>46</v>
      </c>
      <c r="R1746">
        <v>0.30970100013766971</v>
      </c>
      <c r="S1746">
        <v>2025</v>
      </c>
      <c r="T1746" t="s">
        <v>1092</v>
      </c>
      <c r="U1746">
        <v>5</v>
      </c>
      <c r="V1746" t="s">
        <v>878</v>
      </c>
    </row>
    <row r="1747" spans="1:22" x14ac:dyDescent="0.3">
      <c r="A1747" t="s">
        <v>2744</v>
      </c>
      <c r="B1747" s="1">
        <v>45799</v>
      </c>
      <c r="C1747" t="s">
        <v>874</v>
      </c>
      <c r="D1747" t="s">
        <v>1798</v>
      </c>
      <c r="E1747" t="s">
        <v>120</v>
      </c>
      <c r="F1747" t="s">
        <v>121</v>
      </c>
      <c r="G1747" t="s">
        <v>122</v>
      </c>
      <c r="H1747" t="s">
        <v>84</v>
      </c>
      <c r="I1747" t="s">
        <v>138</v>
      </c>
      <c r="J1747" t="s">
        <v>139</v>
      </c>
      <c r="K1747">
        <v>4</v>
      </c>
      <c r="L1747">
        <v>13560.41</v>
      </c>
      <c r="M1747">
        <v>0.05</v>
      </c>
      <c r="N1747">
        <v>51529.56</v>
      </c>
      <c r="O1747">
        <v>40486.410000000003</v>
      </c>
      <c r="P1747">
        <v>11043.15</v>
      </c>
      <c r="Q1747" t="s">
        <v>31</v>
      </c>
      <c r="R1747">
        <v>0.21430708897960701</v>
      </c>
      <c r="S1747">
        <v>2025</v>
      </c>
      <c r="T1747" t="s">
        <v>1092</v>
      </c>
      <c r="U1747">
        <v>5</v>
      </c>
      <c r="V1747" t="s">
        <v>878</v>
      </c>
    </row>
    <row r="1748" spans="1:22" x14ac:dyDescent="0.3">
      <c r="A1748" t="s">
        <v>2745</v>
      </c>
      <c r="B1748" s="1">
        <v>45799</v>
      </c>
      <c r="C1748" t="s">
        <v>2127</v>
      </c>
      <c r="D1748" t="s">
        <v>1585</v>
      </c>
      <c r="E1748" t="s">
        <v>25</v>
      </c>
      <c r="F1748" t="s">
        <v>26</v>
      </c>
      <c r="G1748" t="s">
        <v>37</v>
      </c>
      <c r="H1748" t="s">
        <v>28</v>
      </c>
      <c r="I1748" t="s">
        <v>91</v>
      </c>
      <c r="J1748" t="s">
        <v>126</v>
      </c>
      <c r="K1748">
        <v>1</v>
      </c>
      <c r="L1748">
        <v>1900.74</v>
      </c>
      <c r="M1748">
        <v>0.05</v>
      </c>
      <c r="N1748">
        <v>1805.7</v>
      </c>
      <c r="O1748">
        <v>1102.25</v>
      </c>
      <c r="P1748">
        <v>703.45</v>
      </c>
      <c r="Q1748" t="s">
        <v>31</v>
      </c>
      <c r="R1748">
        <v>0.3895719111701833</v>
      </c>
      <c r="S1748">
        <v>2025</v>
      </c>
      <c r="T1748" t="s">
        <v>1092</v>
      </c>
      <c r="U1748">
        <v>5</v>
      </c>
      <c r="V1748" t="s">
        <v>878</v>
      </c>
    </row>
    <row r="1749" spans="1:22" x14ac:dyDescent="0.3">
      <c r="A1749" t="s">
        <v>2746</v>
      </c>
      <c r="B1749" s="1">
        <v>45800</v>
      </c>
      <c r="C1749" t="s">
        <v>2435</v>
      </c>
      <c r="D1749" t="s">
        <v>1020</v>
      </c>
      <c r="E1749" t="s">
        <v>25</v>
      </c>
      <c r="F1749" t="s">
        <v>26</v>
      </c>
      <c r="G1749" t="s">
        <v>171</v>
      </c>
      <c r="H1749" t="s">
        <v>64</v>
      </c>
      <c r="I1749" t="s">
        <v>108</v>
      </c>
      <c r="J1749" t="s">
        <v>109</v>
      </c>
      <c r="K1749">
        <v>1</v>
      </c>
      <c r="L1749">
        <v>6767.13</v>
      </c>
      <c r="M1749">
        <v>0.2</v>
      </c>
      <c r="N1749">
        <v>5413.7</v>
      </c>
      <c r="O1749">
        <v>4298.43</v>
      </c>
      <c r="P1749">
        <v>1115.27</v>
      </c>
      <c r="Q1749" t="s">
        <v>53</v>
      </c>
      <c r="R1749">
        <v>0.2060088294512071</v>
      </c>
      <c r="S1749">
        <v>2025</v>
      </c>
      <c r="T1749" t="s">
        <v>1092</v>
      </c>
      <c r="U1749">
        <v>5</v>
      </c>
      <c r="V1749" t="s">
        <v>878</v>
      </c>
    </row>
    <row r="1750" spans="1:22" x14ac:dyDescent="0.3">
      <c r="A1750" t="s">
        <v>2747</v>
      </c>
      <c r="B1750" s="1">
        <v>45800</v>
      </c>
      <c r="C1750" t="s">
        <v>778</v>
      </c>
      <c r="D1750" t="s">
        <v>623</v>
      </c>
      <c r="E1750" t="s">
        <v>41</v>
      </c>
      <c r="F1750" t="s">
        <v>42</v>
      </c>
      <c r="G1750" t="s">
        <v>50</v>
      </c>
      <c r="H1750" t="s">
        <v>64</v>
      </c>
      <c r="I1750" t="s">
        <v>108</v>
      </c>
      <c r="J1750" t="s">
        <v>109</v>
      </c>
      <c r="K1750">
        <v>1</v>
      </c>
      <c r="L1750">
        <v>7297.72</v>
      </c>
      <c r="M1750">
        <v>0.2</v>
      </c>
      <c r="N1750">
        <v>5838.18</v>
      </c>
      <c r="O1750">
        <v>4667.05</v>
      </c>
      <c r="P1750">
        <v>1171.1300000000001</v>
      </c>
      <c r="Q1750" t="s">
        <v>67</v>
      </c>
      <c r="R1750">
        <v>0.20059847418202251</v>
      </c>
      <c r="S1750">
        <v>2025</v>
      </c>
      <c r="T1750" t="s">
        <v>1092</v>
      </c>
      <c r="U1750">
        <v>5</v>
      </c>
      <c r="V1750" t="s">
        <v>878</v>
      </c>
    </row>
    <row r="1751" spans="1:22" x14ac:dyDescent="0.3">
      <c r="A1751" t="s">
        <v>2748</v>
      </c>
      <c r="B1751" s="1">
        <v>45800</v>
      </c>
      <c r="C1751" t="s">
        <v>1563</v>
      </c>
      <c r="D1751" t="s">
        <v>119</v>
      </c>
      <c r="E1751" t="s">
        <v>61</v>
      </c>
      <c r="F1751" t="s">
        <v>71</v>
      </c>
      <c r="G1751" t="s">
        <v>201</v>
      </c>
      <c r="H1751" t="s">
        <v>28</v>
      </c>
      <c r="I1751" t="s">
        <v>91</v>
      </c>
      <c r="J1751" t="s">
        <v>92</v>
      </c>
      <c r="K1751">
        <v>5</v>
      </c>
      <c r="L1751">
        <v>2856.4</v>
      </c>
      <c r="M1751">
        <v>0.05</v>
      </c>
      <c r="N1751">
        <v>13567.9</v>
      </c>
      <c r="O1751">
        <v>7384.33</v>
      </c>
      <c r="P1751">
        <v>6183.57</v>
      </c>
      <c r="Q1751" t="s">
        <v>113</v>
      </c>
      <c r="R1751">
        <v>0.45574996867606632</v>
      </c>
      <c r="S1751">
        <v>2025</v>
      </c>
      <c r="T1751" t="s">
        <v>1092</v>
      </c>
      <c r="U1751">
        <v>5</v>
      </c>
      <c r="V1751" t="s">
        <v>878</v>
      </c>
    </row>
    <row r="1752" spans="1:22" x14ac:dyDescent="0.3">
      <c r="A1752" t="s">
        <v>2749</v>
      </c>
      <c r="B1752" s="1">
        <v>45801</v>
      </c>
      <c r="C1752" t="s">
        <v>1351</v>
      </c>
      <c r="D1752" t="s">
        <v>1525</v>
      </c>
      <c r="E1752" t="s">
        <v>120</v>
      </c>
      <c r="F1752" t="s">
        <v>121</v>
      </c>
      <c r="G1752" t="s">
        <v>224</v>
      </c>
      <c r="H1752" t="s">
        <v>28</v>
      </c>
      <c r="I1752" t="s">
        <v>29</v>
      </c>
      <c r="J1752" t="s">
        <v>30</v>
      </c>
      <c r="K1752">
        <v>6</v>
      </c>
      <c r="L1752">
        <v>58089.23</v>
      </c>
      <c r="M1752">
        <v>0.05</v>
      </c>
      <c r="N1752">
        <v>331108.61</v>
      </c>
      <c r="O1752">
        <v>295300.53000000003</v>
      </c>
      <c r="P1752">
        <v>35808.080000000002</v>
      </c>
      <c r="Q1752" t="s">
        <v>53</v>
      </c>
      <c r="R1752">
        <v>0.1081460249553764</v>
      </c>
      <c r="S1752">
        <v>2025</v>
      </c>
      <c r="T1752" t="s">
        <v>1092</v>
      </c>
      <c r="U1752">
        <v>5</v>
      </c>
      <c r="V1752" t="s">
        <v>878</v>
      </c>
    </row>
    <row r="1753" spans="1:22" x14ac:dyDescent="0.3">
      <c r="A1753" t="s">
        <v>2750</v>
      </c>
      <c r="B1753" s="1">
        <v>45801</v>
      </c>
      <c r="C1753" t="s">
        <v>892</v>
      </c>
      <c r="D1753" t="s">
        <v>1218</v>
      </c>
      <c r="E1753" t="s">
        <v>61</v>
      </c>
      <c r="F1753" t="s">
        <v>78</v>
      </c>
      <c r="G1753" t="s">
        <v>104</v>
      </c>
      <c r="H1753" t="s">
        <v>84</v>
      </c>
      <c r="I1753" t="s">
        <v>85</v>
      </c>
      <c r="J1753" t="s">
        <v>145</v>
      </c>
      <c r="K1753">
        <v>2</v>
      </c>
      <c r="L1753">
        <v>3347.13</v>
      </c>
      <c r="M1753">
        <v>0.1</v>
      </c>
      <c r="N1753">
        <v>6024.83</v>
      </c>
      <c r="O1753">
        <v>3795.65</v>
      </c>
      <c r="P1753">
        <v>2229.1799999999998</v>
      </c>
      <c r="Q1753" t="s">
        <v>67</v>
      </c>
      <c r="R1753">
        <v>0.36999882154351238</v>
      </c>
      <c r="S1753">
        <v>2025</v>
      </c>
      <c r="T1753" t="s">
        <v>1092</v>
      </c>
      <c r="U1753">
        <v>5</v>
      </c>
      <c r="V1753" t="s">
        <v>878</v>
      </c>
    </row>
    <row r="1754" spans="1:22" x14ac:dyDescent="0.3">
      <c r="A1754" t="s">
        <v>2751</v>
      </c>
      <c r="B1754" s="1">
        <v>45801</v>
      </c>
      <c r="C1754" t="s">
        <v>815</v>
      </c>
      <c r="D1754" t="s">
        <v>1513</v>
      </c>
      <c r="E1754" t="s">
        <v>61</v>
      </c>
      <c r="F1754" t="s">
        <v>78</v>
      </c>
      <c r="G1754" t="s">
        <v>79</v>
      </c>
      <c r="H1754" t="s">
        <v>64</v>
      </c>
      <c r="I1754" t="s">
        <v>108</v>
      </c>
      <c r="J1754" t="s">
        <v>109</v>
      </c>
      <c r="K1754">
        <v>5</v>
      </c>
      <c r="L1754">
        <v>7345.07</v>
      </c>
      <c r="M1754">
        <v>0.15</v>
      </c>
      <c r="N1754">
        <v>31216.55</v>
      </c>
      <c r="O1754">
        <v>23567.75</v>
      </c>
      <c r="P1754">
        <v>7648.8</v>
      </c>
      <c r="Q1754" t="s">
        <v>31</v>
      </c>
      <c r="R1754">
        <v>0.24502387355425251</v>
      </c>
      <c r="S1754">
        <v>2025</v>
      </c>
      <c r="T1754" t="s">
        <v>1092</v>
      </c>
      <c r="U1754">
        <v>5</v>
      </c>
      <c r="V1754" t="s">
        <v>878</v>
      </c>
    </row>
    <row r="1755" spans="1:22" x14ac:dyDescent="0.3">
      <c r="A1755" t="s">
        <v>2752</v>
      </c>
      <c r="B1755" s="1">
        <v>45802</v>
      </c>
      <c r="C1755" t="s">
        <v>1757</v>
      </c>
      <c r="D1755" t="s">
        <v>89</v>
      </c>
      <c r="E1755" t="s">
        <v>25</v>
      </c>
      <c r="F1755" t="s">
        <v>26</v>
      </c>
      <c r="G1755" t="s">
        <v>27</v>
      </c>
      <c r="H1755" t="s">
        <v>64</v>
      </c>
      <c r="I1755" t="s">
        <v>65</v>
      </c>
      <c r="J1755" t="s">
        <v>66</v>
      </c>
      <c r="K1755">
        <v>2</v>
      </c>
      <c r="L1755">
        <v>4850.05</v>
      </c>
      <c r="M1755">
        <v>0.05</v>
      </c>
      <c r="N1755">
        <v>9215.09</v>
      </c>
      <c r="O1755">
        <v>5746.75</v>
      </c>
      <c r="P1755">
        <v>3468.34</v>
      </c>
      <c r="Q1755" t="s">
        <v>31</v>
      </c>
      <c r="R1755">
        <v>0.37637613957107308</v>
      </c>
      <c r="S1755">
        <v>2025</v>
      </c>
      <c r="T1755" t="s">
        <v>1092</v>
      </c>
      <c r="U1755">
        <v>5</v>
      </c>
      <c r="V1755" t="s">
        <v>878</v>
      </c>
    </row>
    <row r="1756" spans="1:22" x14ac:dyDescent="0.3">
      <c r="A1756" t="s">
        <v>2753</v>
      </c>
      <c r="B1756" s="1">
        <v>45802</v>
      </c>
      <c r="C1756" t="s">
        <v>826</v>
      </c>
      <c r="D1756" t="s">
        <v>752</v>
      </c>
      <c r="E1756" t="s">
        <v>61</v>
      </c>
      <c r="F1756" t="s">
        <v>71</v>
      </c>
      <c r="G1756" t="s">
        <v>317</v>
      </c>
      <c r="H1756" t="s">
        <v>84</v>
      </c>
      <c r="I1756" t="s">
        <v>85</v>
      </c>
      <c r="J1756" t="s">
        <v>145</v>
      </c>
      <c r="K1756">
        <v>3</v>
      </c>
      <c r="L1756">
        <v>3358.28</v>
      </c>
      <c r="M1756">
        <v>0.05</v>
      </c>
      <c r="N1756">
        <v>9571.1</v>
      </c>
      <c r="O1756">
        <v>5927.72</v>
      </c>
      <c r="P1756">
        <v>3643.38</v>
      </c>
      <c r="Q1756" t="s">
        <v>31</v>
      </c>
      <c r="R1756">
        <v>0.38066470938554609</v>
      </c>
      <c r="S1756">
        <v>2025</v>
      </c>
      <c r="T1756" t="s">
        <v>1092</v>
      </c>
      <c r="U1756">
        <v>5</v>
      </c>
      <c r="V1756" t="s">
        <v>878</v>
      </c>
    </row>
    <row r="1757" spans="1:22" x14ac:dyDescent="0.3">
      <c r="A1757" t="s">
        <v>2754</v>
      </c>
      <c r="B1757" s="1">
        <v>45802</v>
      </c>
      <c r="C1757" t="s">
        <v>1253</v>
      </c>
      <c r="D1757" t="s">
        <v>342</v>
      </c>
      <c r="E1757" t="s">
        <v>61</v>
      </c>
      <c r="F1757" t="s">
        <v>78</v>
      </c>
      <c r="G1757" t="s">
        <v>104</v>
      </c>
      <c r="H1757" t="s">
        <v>64</v>
      </c>
      <c r="I1757" t="s">
        <v>108</v>
      </c>
      <c r="J1757" t="s">
        <v>109</v>
      </c>
      <c r="K1757">
        <v>1</v>
      </c>
      <c r="L1757">
        <v>7319.5</v>
      </c>
      <c r="M1757">
        <v>0</v>
      </c>
      <c r="N1757">
        <v>7319.5</v>
      </c>
      <c r="O1757">
        <v>4829.75</v>
      </c>
      <c r="P1757">
        <v>2489.75</v>
      </c>
      <c r="Q1757" t="s">
        <v>31</v>
      </c>
      <c r="R1757">
        <v>0.34015301591638769</v>
      </c>
      <c r="S1757">
        <v>2025</v>
      </c>
      <c r="T1757" t="s">
        <v>1092</v>
      </c>
      <c r="U1757">
        <v>5</v>
      </c>
      <c r="V1757" t="s">
        <v>878</v>
      </c>
    </row>
    <row r="1758" spans="1:22" x14ac:dyDescent="0.3">
      <c r="A1758" t="s">
        <v>2755</v>
      </c>
      <c r="B1758" s="1">
        <v>45803</v>
      </c>
      <c r="C1758" t="s">
        <v>2568</v>
      </c>
      <c r="D1758" t="s">
        <v>167</v>
      </c>
      <c r="E1758" t="s">
        <v>41</v>
      </c>
      <c r="F1758" t="s">
        <v>42</v>
      </c>
      <c r="G1758" t="s">
        <v>42</v>
      </c>
      <c r="H1758" t="s">
        <v>28</v>
      </c>
      <c r="I1758" t="s">
        <v>73</v>
      </c>
      <c r="J1758" t="s">
        <v>74</v>
      </c>
      <c r="K1758">
        <v>1</v>
      </c>
      <c r="L1758">
        <v>2595.89</v>
      </c>
      <c r="M1758">
        <v>0</v>
      </c>
      <c r="N1758">
        <v>2595.89</v>
      </c>
      <c r="O1758">
        <v>1416.15</v>
      </c>
      <c r="P1758">
        <v>1179.74</v>
      </c>
      <c r="Q1758" t="s">
        <v>46</v>
      </c>
      <c r="R1758">
        <v>0.45446455743502229</v>
      </c>
      <c r="S1758">
        <v>2025</v>
      </c>
      <c r="T1758" t="s">
        <v>1092</v>
      </c>
      <c r="U1758">
        <v>5</v>
      </c>
      <c r="V1758" t="s">
        <v>878</v>
      </c>
    </row>
    <row r="1759" spans="1:22" x14ac:dyDescent="0.3">
      <c r="A1759" t="s">
        <v>2756</v>
      </c>
      <c r="B1759" s="1">
        <v>45803</v>
      </c>
      <c r="C1759" t="s">
        <v>574</v>
      </c>
      <c r="D1759" t="s">
        <v>1136</v>
      </c>
      <c r="E1759" t="s">
        <v>25</v>
      </c>
      <c r="F1759" t="s">
        <v>26</v>
      </c>
      <c r="G1759" t="s">
        <v>260</v>
      </c>
      <c r="H1759" t="s">
        <v>28</v>
      </c>
      <c r="I1759" t="s">
        <v>91</v>
      </c>
      <c r="J1759" t="s">
        <v>92</v>
      </c>
      <c r="K1759">
        <v>1</v>
      </c>
      <c r="L1759">
        <v>3143.95</v>
      </c>
      <c r="M1759">
        <v>0.15</v>
      </c>
      <c r="N1759">
        <v>2672.36</v>
      </c>
      <c r="O1759">
        <v>1658.78</v>
      </c>
      <c r="P1759">
        <v>1013.58</v>
      </c>
      <c r="Q1759" t="s">
        <v>46</v>
      </c>
      <c r="R1759">
        <v>0.37928273136852819</v>
      </c>
      <c r="S1759">
        <v>2025</v>
      </c>
      <c r="T1759" t="s">
        <v>1092</v>
      </c>
      <c r="U1759">
        <v>5</v>
      </c>
      <c r="V1759" t="s">
        <v>878</v>
      </c>
    </row>
    <row r="1760" spans="1:22" x14ac:dyDescent="0.3">
      <c r="A1760" t="s">
        <v>2757</v>
      </c>
      <c r="B1760" s="1">
        <v>45804</v>
      </c>
      <c r="C1760" t="s">
        <v>633</v>
      </c>
      <c r="D1760" t="s">
        <v>363</v>
      </c>
      <c r="E1760" t="s">
        <v>61</v>
      </c>
      <c r="F1760" t="s">
        <v>62</v>
      </c>
      <c r="G1760" t="s">
        <v>228</v>
      </c>
      <c r="H1760" t="s">
        <v>84</v>
      </c>
      <c r="I1760" t="s">
        <v>85</v>
      </c>
      <c r="J1760" t="s">
        <v>86</v>
      </c>
      <c r="K1760">
        <v>1</v>
      </c>
      <c r="L1760">
        <v>1845.34</v>
      </c>
      <c r="M1760">
        <v>0.05</v>
      </c>
      <c r="N1760">
        <v>1753.07</v>
      </c>
      <c r="O1760">
        <v>969.28</v>
      </c>
      <c r="P1760">
        <v>783.79</v>
      </c>
      <c r="Q1760" t="s">
        <v>31</v>
      </c>
      <c r="R1760">
        <v>0.44709566645941118</v>
      </c>
      <c r="S1760">
        <v>2025</v>
      </c>
      <c r="T1760" t="s">
        <v>1092</v>
      </c>
      <c r="U1760">
        <v>5</v>
      </c>
      <c r="V1760" t="s">
        <v>878</v>
      </c>
    </row>
    <row r="1761" spans="1:22" x14ac:dyDescent="0.3">
      <c r="A1761" t="s">
        <v>2758</v>
      </c>
      <c r="B1761" s="1">
        <v>45804</v>
      </c>
      <c r="C1761" t="s">
        <v>1760</v>
      </c>
      <c r="D1761" t="s">
        <v>406</v>
      </c>
      <c r="E1761" t="s">
        <v>61</v>
      </c>
      <c r="F1761" t="s">
        <v>71</v>
      </c>
      <c r="G1761" t="s">
        <v>317</v>
      </c>
      <c r="H1761" t="s">
        <v>43</v>
      </c>
      <c r="I1761" t="s">
        <v>44</v>
      </c>
      <c r="J1761" t="s">
        <v>248</v>
      </c>
      <c r="K1761">
        <v>4</v>
      </c>
      <c r="L1761">
        <v>286.94</v>
      </c>
      <c r="M1761">
        <v>0</v>
      </c>
      <c r="N1761">
        <v>1147.76</v>
      </c>
      <c r="O1761">
        <v>475.99</v>
      </c>
      <c r="P1761">
        <v>671.77</v>
      </c>
      <c r="Q1761" t="s">
        <v>67</v>
      </c>
      <c r="R1761">
        <v>0.58528786505889729</v>
      </c>
      <c r="S1761">
        <v>2025</v>
      </c>
      <c r="T1761" t="s">
        <v>1092</v>
      </c>
      <c r="U1761">
        <v>5</v>
      </c>
      <c r="V1761" t="s">
        <v>878</v>
      </c>
    </row>
    <row r="1762" spans="1:22" x14ac:dyDescent="0.3">
      <c r="A1762" t="s">
        <v>2759</v>
      </c>
      <c r="B1762" s="1">
        <v>45804</v>
      </c>
      <c r="C1762" t="s">
        <v>1418</v>
      </c>
      <c r="D1762" t="s">
        <v>773</v>
      </c>
      <c r="E1762" t="s">
        <v>25</v>
      </c>
      <c r="F1762" t="s">
        <v>26</v>
      </c>
      <c r="G1762" t="s">
        <v>27</v>
      </c>
      <c r="H1762" t="s">
        <v>84</v>
      </c>
      <c r="I1762" t="s">
        <v>138</v>
      </c>
      <c r="J1762" t="s">
        <v>139</v>
      </c>
      <c r="K1762">
        <v>4</v>
      </c>
      <c r="L1762">
        <v>13129.47</v>
      </c>
      <c r="M1762">
        <v>0.1</v>
      </c>
      <c r="N1762">
        <v>47266.09</v>
      </c>
      <c r="O1762">
        <v>38125.019999999997</v>
      </c>
      <c r="P1762">
        <v>9141.07</v>
      </c>
      <c r="Q1762" t="s">
        <v>46</v>
      </c>
      <c r="R1762">
        <v>0.19339594199562521</v>
      </c>
      <c r="S1762">
        <v>2025</v>
      </c>
      <c r="T1762" t="s">
        <v>1092</v>
      </c>
      <c r="U1762">
        <v>5</v>
      </c>
      <c r="V1762" t="s">
        <v>878</v>
      </c>
    </row>
    <row r="1763" spans="1:22" x14ac:dyDescent="0.3">
      <c r="A1763" t="s">
        <v>2760</v>
      </c>
      <c r="B1763" s="1">
        <v>45805</v>
      </c>
      <c r="C1763" t="s">
        <v>870</v>
      </c>
      <c r="D1763" t="s">
        <v>454</v>
      </c>
      <c r="E1763" t="s">
        <v>41</v>
      </c>
      <c r="F1763" t="s">
        <v>42</v>
      </c>
      <c r="G1763" t="s">
        <v>50</v>
      </c>
      <c r="H1763" t="s">
        <v>28</v>
      </c>
      <c r="I1763" t="s">
        <v>73</v>
      </c>
      <c r="J1763" t="s">
        <v>80</v>
      </c>
      <c r="K1763">
        <v>1</v>
      </c>
      <c r="L1763">
        <v>822.42</v>
      </c>
      <c r="M1763">
        <v>0</v>
      </c>
      <c r="N1763">
        <v>822.42</v>
      </c>
      <c r="O1763">
        <v>519.15</v>
      </c>
      <c r="P1763">
        <v>303.27</v>
      </c>
      <c r="Q1763" t="s">
        <v>67</v>
      </c>
      <c r="R1763">
        <v>0.36875319179981031</v>
      </c>
      <c r="S1763">
        <v>2025</v>
      </c>
      <c r="T1763" t="s">
        <v>1092</v>
      </c>
      <c r="U1763">
        <v>5</v>
      </c>
      <c r="V1763" t="s">
        <v>878</v>
      </c>
    </row>
    <row r="1764" spans="1:22" x14ac:dyDescent="0.3">
      <c r="A1764" t="s">
        <v>2761</v>
      </c>
      <c r="B1764" s="1">
        <v>45805</v>
      </c>
      <c r="C1764" t="s">
        <v>2762</v>
      </c>
      <c r="D1764" t="s">
        <v>209</v>
      </c>
      <c r="E1764" t="s">
        <v>25</v>
      </c>
      <c r="F1764" t="s">
        <v>26</v>
      </c>
      <c r="G1764" t="s">
        <v>37</v>
      </c>
      <c r="H1764" t="s">
        <v>43</v>
      </c>
      <c r="I1764" t="s">
        <v>51</v>
      </c>
      <c r="J1764" t="s">
        <v>96</v>
      </c>
      <c r="K1764">
        <v>1</v>
      </c>
      <c r="L1764">
        <v>478.68</v>
      </c>
      <c r="M1764">
        <v>0.15</v>
      </c>
      <c r="N1764">
        <v>406.88</v>
      </c>
      <c r="O1764">
        <v>209.75</v>
      </c>
      <c r="P1764">
        <v>197.13</v>
      </c>
      <c r="Q1764" t="s">
        <v>31</v>
      </c>
      <c r="R1764">
        <v>0.48449174203696421</v>
      </c>
      <c r="S1764">
        <v>2025</v>
      </c>
      <c r="T1764" t="s">
        <v>1092</v>
      </c>
      <c r="U1764">
        <v>5</v>
      </c>
      <c r="V1764" t="s">
        <v>878</v>
      </c>
    </row>
    <row r="1765" spans="1:22" x14ac:dyDescent="0.3">
      <c r="A1765" t="s">
        <v>2763</v>
      </c>
      <c r="B1765" s="1">
        <v>45805</v>
      </c>
      <c r="C1765" t="s">
        <v>1314</v>
      </c>
      <c r="D1765" t="s">
        <v>301</v>
      </c>
      <c r="E1765" t="s">
        <v>61</v>
      </c>
      <c r="F1765" t="s">
        <v>71</v>
      </c>
      <c r="G1765" t="s">
        <v>317</v>
      </c>
      <c r="H1765" t="s">
        <v>28</v>
      </c>
      <c r="I1765" t="s">
        <v>91</v>
      </c>
      <c r="J1765" t="s">
        <v>92</v>
      </c>
      <c r="K1765">
        <v>3</v>
      </c>
      <c r="L1765">
        <v>3042.31</v>
      </c>
      <c r="M1765">
        <v>0.2</v>
      </c>
      <c r="N1765">
        <v>7301.54</v>
      </c>
      <c r="O1765">
        <v>4737.46</v>
      </c>
      <c r="P1765">
        <v>2564.08</v>
      </c>
      <c r="Q1765" t="s">
        <v>46</v>
      </c>
      <c r="R1765">
        <v>0.35116975323014049</v>
      </c>
      <c r="S1765">
        <v>2025</v>
      </c>
      <c r="T1765" t="s">
        <v>1092</v>
      </c>
      <c r="U1765">
        <v>5</v>
      </c>
      <c r="V1765" t="s">
        <v>878</v>
      </c>
    </row>
    <row r="1766" spans="1:22" x14ac:dyDescent="0.3">
      <c r="A1766" t="s">
        <v>2764</v>
      </c>
      <c r="B1766" s="1">
        <v>45805</v>
      </c>
      <c r="C1766" t="s">
        <v>1892</v>
      </c>
      <c r="D1766" t="s">
        <v>657</v>
      </c>
      <c r="E1766" t="s">
        <v>25</v>
      </c>
      <c r="F1766" t="s">
        <v>26</v>
      </c>
      <c r="G1766" t="s">
        <v>260</v>
      </c>
      <c r="H1766" t="s">
        <v>84</v>
      </c>
      <c r="I1766" t="s">
        <v>85</v>
      </c>
      <c r="J1766" t="s">
        <v>86</v>
      </c>
      <c r="K1766">
        <v>4</v>
      </c>
      <c r="L1766">
        <v>1765.91</v>
      </c>
      <c r="M1766">
        <v>0.05</v>
      </c>
      <c r="N1766">
        <v>6710.46</v>
      </c>
      <c r="O1766">
        <v>3749.84</v>
      </c>
      <c r="P1766">
        <v>2960.62</v>
      </c>
      <c r="Q1766" t="s">
        <v>31</v>
      </c>
      <c r="R1766">
        <v>0.44119479141519358</v>
      </c>
      <c r="S1766">
        <v>2025</v>
      </c>
      <c r="T1766" t="s">
        <v>1092</v>
      </c>
      <c r="U1766">
        <v>5</v>
      </c>
      <c r="V1766" t="s">
        <v>878</v>
      </c>
    </row>
    <row r="1767" spans="1:22" x14ac:dyDescent="0.3">
      <c r="A1767" t="s">
        <v>2765</v>
      </c>
      <c r="B1767" s="1">
        <v>45805</v>
      </c>
      <c r="C1767" t="s">
        <v>392</v>
      </c>
      <c r="D1767" t="s">
        <v>440</v>
      </c>
      <c r="E1767" t="s">
        <v>61</v>
      </c>
      <c r="F1767" t="s">
        <v>71</v>
      </c>
      <c r="G1767" t="s">
        <v>317</v>
      </c>
      <c r="H1767" t="s">
        <v>28</v>
      </c>
      <c r="I1767" t="s">
        <v>91</v>
      </c>
      <c r="J1767" t="s">
        <v>126</v>
      </c>
      <c r="K1767">
        <v>2</v>
      </c>
      <c r="L1767">
        <v>2002.09</v>
      </c>
      <c r="M1767">
        <v>0.1</v>
      </c>
      <c r="N1767">
        <v>3603.76</v>
      </c>
      <c r="O1767">
        <v>2290.35</v>
      </c>
      <c r="P1767">
        <v>1313.41</v>
      </c>
      <c r="Q1767" t="s">
        <v>53</v>
      </c>
      <c r="R1767">
        <v>0.36445545763313869</v>
      </c>
      <c r="S1767">
        <v>2025</v>
      </c>
      <c r="T1767" t="s">
        <v>1092</v>
      </c>
      <c r="U1767">
        <v>5</v>
      </c>
      <c r="V1767" t="s">
        <v>878</v>
      </c>
    </row>
    <row r="1768" spans="1:22" x14ac:dyDescent="0.3">
      <c r="A1768" t="s">
        <v>2766</v>
      </c>
      <c r="B1768" s="1">
        <v>45807</v>
      </c>
      <c r="C1768" t="s">
        <v>840</v>
      </c>
      <c r="D1768" t="s">
        <v>331</v>
      </c>
      <c r="E1768" t="s">
        <v>25</v>
      </c>
      <c r="F1768" t="s">
        <v>26</v>
      </c>
      <c r="G1768" t="s">
        <v>27</v>
      </c>
      <c r="H1768" t="s">
        <v>43</v>
      </c>
      <c r="I1768" t="s">
        <v>44</v>
      </c>
      <c r="J1768" t="s">
        <v>45</v>
      </c>
      <c r="K1768">
        <v>2</v>
      </c>
      <c r="L1768">
        <v>249.6</v>
      </c>
      <c r="M1768">
        <v>0.05</v>
      </c>
      <c r="N1768">
        <v>474.24</v>
      </c>
      <c r="O1768">
        <v>186.03</v>
      </c>
      <c r="P1768">
        <v>288.20999999999998</v>
      </c>
      <c r="Q1768" t="s">
        <v>53</v>
      </c>
      <c r="R1768">
        <v>0.60773026315789469</v>
      </c>
      <c r="S1768">
        <v>2025</v>
      </c>
      <c r="T1768" t="s">
        <v>1092</v>
      </c>
      <c r="U1768">
        <v>5</v>
      </c>
      <c r="V1768" t="s">
        <v>878</v>
      </c>
    </row>
    <row r="1769" spans="1:22" x14ac:dyDescent="0.3">
      <c r="A1769" t="s">
        <v>2767</v>
      </c>
      <c r="B1769" s="1">
        <v>45808</v>
      </c>
      <c r="C1769" t="s">
        <v>2768</v>
      </c>
      <c r="D1769" t="s">
        <v>623</v>
      </c>
      <c r="E1769" t="s">
        <v>61</v>
      </c>
      <c r="F1769" t="s">
        <v>62</v>
      </c>
      <c r="G1769" t="s">
        <v>134</v>
      </c>
      <c r="H1769" t="s">
        <v>84</v>
      </c>
      <c r="I1769" t="s">
        <v>85</v>
      </c>
      <c r="J1769" t="s">
        <v>145</v>
      </c>
      <c r="K1769">
        <v>1</v>
      </c>
      <c r="L1769">
        <v>3176.93</v>
      </c>
      <c r="M1769">
        <v>0.1</v>
      </c>
      <c r="N1769">
        <v>2859.24</v>
      </c>
      <c r="O1769">
        <v>1784.71</v>
      </c>
      <c r="P1769">
        <v>1074.53</v>
      </c>
      <c r="Q1769" t="s">
        <v>53</v>
      </c>
      <c r="R1769">
        <v>0.37580965571270691</v>
      </c>
      <c r="S1769">
        <v>2025</v>
      </c>
      <c r="T1769" t="s">
        <v>1092</v>
      </c>
      <c r="U1769">
        <v>5</v>
      </c>
      <c r="V1769" t="s">
        <v>878</v>
      </c>
    </row>
    <row r="1770" spans="1:22" x14ac:dyDescent="0.3">
      <c r="A1770" t="s">
        <v>2769</v>
      </c>
      <c r="B1770" s="1">
        <v>45808</v>
      </c>
      <c r="C1770" t="s">
        <v>2770</v>
      </c>
      <c r="D1770" t="s">
        <v>462</v>
      </c>
      <c r="E1770" t="s">
        <v>61</v>
      </c>
      <c r="F1770" t="s">
        <v>78</v>
      </c>
      <c r="G1770" t="s">
        <v>79</v>
      </c>
      <c r="H1770" t="s">
        <v>28</v>
      </c>
      <c r="I1770" t="s">
        <v>29</v>
      </c>
      <c r="J1770" t="s">
        <v>30</v>
      </c>
      <c r="K1770">
        <v>3</v>
      </c>
      <c r="L1770">
        <v>61437.37</v>
      </c>
      <c r="M1770">
        <v>0</v>
      </c>
      <c r="N1770">
        <v>184312.11</v>
      </c>
      <c r="O1770">
        <v>157977.31</v>
      </c>
      <c r="P1770">
        <v>26334.799999999999</v>
      </c>
      <c r="Q1770" t="s">
        <v>46</v>
      </c>
      <c r="R1770">
        <v>0.1428815502139279</v>
      </c>
      <c r="S1770">
        <v>2025</v>
      </c>
      <c r="T1770" t="s">
        <v>1092</v>
      </c>
      <c r="U1770">
        <v>5</v>
      </c>
      <c r="V1770" t="s">
        <v>878</v>
      </c>
    </row>
    <row r="1771" spans="1:22" x14ac:dyDescent="0.3">
      <c r="A1771" t="s">
        <v>2771</v>
      </c>
      <c r="B1771" s="1">
        <v>45808</v>
      </c>
      <c r="C1771" t="s">
        <v>719</v>
      </c>
      <c r="D1771" t="s">
        <v>310</v>
      </c>
      <c r="E1771" t="s">
        <v>25</v>
      </c>
      <c r="F1771" t="s">
        <v>26</v>
      </c>
      <c r="G1771" t="s">
        <v>37</v>
      </c>
      <c r="H1771" t="s">
        <v>28</v>
      </c>
      <c r="I1771" t="s">
        <v>73</v>
      </c>
      <c r="J1771" t="s">
        <v>74</v>
      </c>
      <c r="K1771">
        <v>6</v>
      </c>
      <c r="L1771">
        <v>2573.23</v>
      </c>
      <c r="M1771">
        <v>0.15</v>
      </c>
      <c r="N1771">
        <v>13123.47</v>
      </c>
      <c r="O1771">
        <v>8288.56</v>
      </c>
      <c r="P1771">
        <v>4834.91</v>
      </c>
      <c r="Q1771" t="s">
        <v>67</v>
      </c>
      <c r="R1771">
        <v>0.36841704213900739</v>
      </c>
      <c r="S1771">
        <v>2025</v>
      </c>
      <c r="T1771" t="s">
        <v>1092</v>
      </c>
      <c r="U1771">
        <v>5</v>
      </c>
      <c r="V1771" t="s">
        <v>878</v>
      </c>
    </row>
    <row r="1772" spans="1:22" x14ac:dyDescent="0.3">
      <c r="A1772" t="s">
        <v>2772</v>
      </c>
      <c r="B1772" s="1">
        <v>45808</v>
      </c>
      <c r="C1772" t="s">
        <v>2243</v>
      </c>
      <c r="D1772" t="s">
        <v>641</v>
      </c>
      <c r="E1772" t="s">
        <v>61</v>
      </c>
      <c r="F1772" t="s">
        <v>71</v>
      </c>
      <c r="G1772" t="s">
        <v>72</v>
      </c>
      <c r="H1772" t="s">
        <v>84</v>
      </c>
      <c r="I1772" t="s">
        <v>85</v>
      </c>
      <c r="J1772" t="s">
        <v>86</v>
      </c>
      <c r="K1772">
        <v>4</v>
      </c>
      <c r="L1772">
        <v>1813.35</v>
      </c>
      <c r="M1772">
        <v>0.05</v>
      </c>
      <c r="N1772">
        <v>6890.73</v>
      </c>
      <c r="O1772">
        <v>3832.91</v>
      </c>
      <c r="P1772">
        <v>3057.82</v>
      </c>
      <c r="Q1772" t="s">
        <v>31</v>
      </c>
      <c r="R1772">
        <v>0.44375849873670858</v>
      </c>
      <c r="S1772">
        <v>2025</v>
      </c>
      <c r="T1772" t="s">
        <v>1092</v>
      </c>
      <c r="U1772">
        <v>5</v>
      </c>
      <c r="V1772" t="s">
        <v>878</v>
      </c>
    </row>
    <row r="1773" spans="1:22" x14ac:dyDescent="0.3">
      <c r="A1773" t="s">
        <v>2773</v>
      </c>
      <c r="B1773" s="1">
        <v>45808</v>
      </c>
      <c r="C1773" t="s">
        <v>971</v>
      </c>
      <c r="D1773" t="s">
        <v>568</v>
      </c>
      <c r="E1773" t="s">
        <v>61</v>
      </c>
      <c r="F1773" t="s">
        <v>78</v>
      </c>
      <c r="G1773" t="s">
        <v>104</v>
      </c>
      <c r="H1773" t="s">
        <v>28</v>
      </c>
      <c r="I1773" t="s">
        <v>73</v>
      </c>
      <c r="J1773" t="s">
        <v>74</v>
      </c>
      <c r="K1773">
        <v>4</v>
      </c>
      <c r="L1773">
        <v>2441.79</v>
      </c>
      <c r="M1773">
        <v>0.05</v>
      </c>
      <c r="N1773">
        <v>9278.7999999999993</v>
      </c>
      <c r="O1773">
        <v>5200.3599999999997</v>
      </c>
      <c r="P1773">
        <v>4078.44</v>
      </c>
      <c r="Q1773" t="s">
        <v>113</v>
      </c>
      <c r="R1773">
        <v>0.43954390653963882</v>
      </c>
      <c r="S1773">
        <v>2025</v>
      </c>
      <c r="T1773" t="s">
        <v>1092</v>
      </c>
      <c r="U1773">
        <v>5</v>
      </c>
      <c r="V1773" t="s">
        <v>878</v>
      </c>
    </row>
    <row r="1774" spans="1:22" x14ac:dyDescent="0.3">
      <c r="A1774" t="s">
        <v>2774</v>
      </c>
      <c r="B1774" s="1">
        <v>45809</v>
      </c>
      <c r="C1774" t="s">
        <v>300</v>
      </c>
      <c r="D1774" t="s">
        <v>497</v>
      </c>
      <c r="E1774" t="s">
        <v>61</v>
      </c>
      <c r="F1774" t="s">
        <v>62</v>
      </c>
      <c r="G1774" t="s">
        <v>90</v>
      </c>
      <c r="H1774" t="s">
        <v>28</v>
      </c>
      <c r="I1774" t="s">
        <v>29</v>
      </c>
      <c r="J1774" t="s">
        <v>30</v>
      </c>
      <c r="K1774">
        <v>1</v>
      </c>
      <c r="L1774">
        <v>62212.82</v>
      </c>
      <c r="M1774">
        <v>0.2</v>
      </c>
      <c r="N1774">
        <v>49770.26</v>
      </c>
      <c r="O1774">
        <v>54494.19</v>
      </c>
      <c r="P1774">
        <v>-4723.93</v>
      </c>
      <c r="Q1774" t="s">
        <v>31</v>
      </c>
      <c r="R1774">
        <v>-9.4914714128477531E-2</v>
      </c>
      <c r="S1774">
        <v>2025</v>
      </c>
      <c r="T1774" t="s">
        <v>1244</v>
      </c>
      <c r="U1774">
        <v>6</v>
      </c>
      <c r="V1774" t="s">
        <v>878</v>
      </c>
    </row>
    <row r="1775" spans="1:22" x14ac:dyDescent="0.3">
      <c r="A1775" t="s">
        <v>2775</v>
      </c>
      <c r="B1775" s="1">
        <v>45809</v>
      </c>
      <c r="C1775" t="s">
        <v>514</v>
      </c>
      <c r="D1775" t="s">
        <v>1525</v>
      </c>
      <c r="E1775" t="s">
        <v>61</v>
      </c>
      <c r="F1775" t="s">
        <v>71</v>
      </c>
      <c r="G1775" t="s">
        <v>201</v>
      </c>
      <c r="H1775" t="s">
        <v>64</v>
      </c>
      <c r="I1775" t="s">
        <v>65</v>
      </c>
      <c r="J1775" t="s">
        <v>66</v>
      </c>
      <c r="K1775">
        <v>4</v>
      </c>
      <c r="L1775">
        <v>4980.84</v>
      </c>
      <c r="M1775">
        <v>0</v>
      </c>
      <c r="N1775">
        <v>19923.36</v>
      </c>
      <c r="O1775">
        <v>12432.36</v>
      </c>
      <c r="P1775">
        <v>7491</v>
      </c>
      <c r="Q1775" t="s">
        <v>31</v>
      </c>
      <c r="R1775">
        <v>0.37599079673308122</v>
      </c>
      <c r="S1775">
        <v>2025</v>
      </c>
      <c r="T1775" t="s">
        <v>1244</v>
      </c>
      <c r="U1775">
        <v>6</v>
      </c>
      <c r="V1775" t="s">
        <v>878</v>
      </c>
    </row>
    <row r="1776" spans="1:22" x14ac:dyDescent="0.3">
      <c r="A1776" t="s">
        <v>2776</v>
      </c>
      <c r="B1776" s="1">
        <v>45809</v>
      </c>
      <c r="C1776" t="s">
        <v>1553</v>
      </c>
      <c r="D1776" t="s">
        <v>446</v>
      </c>
      <c r="E1776" t="s">
        <v>61</v>
      </c>
      <c r="F1776" t="s">
        <v>62</v>
      </c>
      <c r="G1776" t="s">
        <v>134</v>
      </c>
      <c r="H1776" t="s">
        <v>43</v>
      </c>
      <c r="I1776" t="s">
        <v>44</v>
      </c>
      <c r="J1776" t="s">
        <v>248</v>
      </c>
      <c r="K1776">
        <v>4</v>
      </c>
      <c r="L1776">
        <v>305.83</v>
      </c>
      <c r="M1776">
        <v>0.05</v>
      </c>
      <c r="N1776">
        <v>1162.1500000000001</v>
      </c>
      <c r="O1776">
        <v>504.09</v>
      </c>
      <c r="P1776">
        <v>658.06</v>
      </c>
      <c r="Q1776" t="s">
        <v>31</v>
      </c>
      <c r="R1776">
        <v>0.56624360022372322</v>
      </c>
      <c r="S1776">
        <v>2025</v>
      </c>
      <c r="T1776" t="s">
        <v>1244</v>
      </c>
      <c r="U1776">
        <v>6</v>
      </c>
      <c r="V1776" t="s">
        <v>878</v>
      </c>
    </row>
    <row r="1777" spans="1:22" x14ac:dyDescent="0.3">
      <c r="A1777" t="s">
        <v>2777</v>
      </c>
      <c r="B1777" s="1">
        <v>45810</v>
      </c>
      <c r="C1777" t="s">
        <v>2778</v>
      </c>
      <c r="D1777" t="s">
        <v>527</v>
      </c>
      <c r="E1777" t="s">
        <v>61</v>
      </c>
      <c r="F1777" t="s">
        <v>71</v>
      </c>
      <c r="G1777" t="s">
        <v>317</v>
      </c>
      <c r="H1777" t="s">
        <v>64</v>
      </c>
      <c r="I1777" t="s">
        <v>65</v>
      </c>
      <c r="J1777" t="s">
        <v>232</v>
      </c>
      <c r="K1777">
        <v>4</v>
      </c>
      <c r="L1777">
        <v>4004.61</v>
      </c>
      <c r="M1777">
        <v>0.15</v>
      </c>
      <c r="N1777">
        <v>13615.67</v>
      </c>
      <c r="O1777">
        <v>10087.16</v>
      </c>
      <c r="P1777">
        <v>3528.51</v>
      </c>
      <c r="Q1777" t="s">
        <v>67</v>
      </c>
      <c r="R1777">
        <v>0.25915066977974638</v>
      </c>
      <c r="S1777">
        <v>2025</v>
      </c>
      <c r="T1777" t="s">
        <v>1244</v>
      </c>
      <c r="U1777">
        <v>6</v>
      </c>
      <c r="V1777" t="s">
        <v>878</v>
      </c>
    </row>
    <row r="1778" spans="1:22" x14ac:dyDescent="0.3">
      <c r="A1778" t="s">
        <v>2779</v>
      </c>
      <c r="B1778" s="1">
        <v>45810</v>
      </c>
      <c r="C1778" t="s">
        <v>754</v>
      </c>
      <c r="D1778" t="s">
        <v>119</v>
      </c>
      <c r="E1778" t="s">
        <v>41</v>
      </c>
      <c r="F1778" t="s">
        <v>42</v>
      </c>
      <c r="G1778" t="s">
        <v>50</v>
      </c>
      <c r="H1778" t="s">
        <v>28</v>
      </c>
      <c r="I1778" t="s">
        <v>91</v>
      </c>
      <c r="J1778" t="s">
        <v>126</v>
      </c>
      <c r="K1778">
        <v>2</v>
      </c>
      <c r="L1778">
        <v>1959.7</v>
      </c>
      <c r="M1778">
        <v>0.1</v>
      </c>
      <c r="N1778">
        <v>3527.46</v>
      </c>
      <c r="O1778">
        <v>2214.64</v>
      </c>
      <c r="P1778">
        <v>1312.82</v>
      </c>
      <c r="Q1778" t="s">
        <v>53</v>
      </c>
      <c r="R1778">
        <v>0.37217147749372059</v>
      </c>
      <c r="S1778">
        <v>2025</v>
      </c>
      <c r="T1778" t="s">
        <v>1244</v>
      </c>
      <c r="U1778">
        <v>6</v>
      </c>
      <c r="V1778" t="s">
        <v>878</v>
      </c>
    </row>
    <row r="1779" spans="1:22" x14ac:dyDescent="0.3">
      <c r="A1779" t="s">
        <v>2780</v>
      </c>
      <c r="B1779" s="1">
        <v>45810</v>
      </c>
      <c r="C1779" t="s">
        <v>669</v>
      </c>
      <c r="D1779" t="s">
        <v>393</v>
      </c>
      <c r="E1779" t="s">
        <v>120</v>
      </c>
      <c r="F1779" t="s">
        <v>121</v>
      </c>
      <c r="G1779" t="s">
        <v>130</v>
      </c>
      <c r="H1779" t="s">
        <v>43</v>
      </c>
      <c r="I1779" t="s">
        <v>44</v>
      </c>
      <c r="J1779" t="s">
        <v>248</v>
      </c>
      <c r="K1779">
        <v>2</v>
      </c>
      <c r="L1779">
        <v>293.14999999999998</v>
      </c>
      <c r="M1779">
        <v>0</v>
      </c>
      <c r="N1779">
        <v>586.29999999999995</v>
      </c>
      <c r="O1779">
        <v>240.99</v>
      </c>
      <c r="P1779">
        <v>345.31</v>
      </c>
      <c r="Q1779" t="s">
        <v>31</v>
      </c>
      <c r="R1779">
        <v>0.58896469384274264</v>
      </c>
      <c r="S1779">
        <v>2025</v>
      </c>
      <c r="T1779" t="s">
        <v>1244</v>
      </c>
      <c r="U1779">
        <v>6</v>
      </c>
      <c r="V1779" t="s">
        <v>878</v>
      </c>
    </row>
    <row r="1780" spans="1:22" x14ac:dyDescent="0.3">
      <c r="A1780" t="s">
        <v>2781</v>
      </c>
      <c r="B1780" s="1">
        <v>45810</v>
      </c>
      <c r="C1780" t="s">
        <v>1135</v>
      </c>
      <c r="D1780" t="s">
        <v>154</v>
      </c>
      <c r="E1780" t="s">
        <v>41</v>
      </c>
      <c r="F1780" t="s">
        <v>42</v>
      </c>
      <c r="G1780" t="s">
        <v>42</v>
      </c>
      <c r="H1780" t="s">
        <v>43</v>
      </c>
      <c r="I1780" t="s">
        <v>44</v>
      </c>
      <c r="J1780" t="s">
        <v>248</v>
      </c>
      <c r="K1780">
        <v>2</v>
      </c>
      <c r="L1780">
        <v>289.31</v>
      </c>
      <c r="M1780">
        <v>0.15</v>
      </c>
      <c r="N1780">
        <v>491.83</v>
      </c>
      <c r="O1780">
        <v>236.61</v>
      </c>
      <c r="P1780">
        <v>255.22</v>
      </c>
      <c r="Q1780" t="s">
        <v>31</v>
      </c>
      <c r="R1780">
        <v>0.51891913872679585</v>
      </c>
      <c r="S1780">
        <v>2025</v>
      </c>
      <c r="T1780" t="s">
        <v>1244</v>
      </c>
      <c r="U1780">
        <v>6</v>
      </c>
      <c r="V1780" t="s">
        <v>878</v>
      </c>
    </row>
    <row r="1781" spans="1:22" x14ac:dyDescent="0.3">
      <c r="A1781" t="s">
        <v>2782</v>
      </c>
      <c r="B1781" s="1">
        <v>45811</v>
      </c>
      <c r="C1781" t="s">
        <v>521</v>
      </c>
      <c r="D1781" t="s">
        <v>1164</v>
      </c>
      <c r="E1781" t="s">
        <v>25</v>
      </c>
      <c r="F1781" t="s">
        <v>26</v>
      </c>
      <c r="G1781" t="s">
        <v>37</v>
      </c>
      <c r="H1781" t="s">
        <v>64</v>
      </c>
      <c r="I1781" t="s">
        <v>65</v>
      </c>
      <c r="J1781" t="s">
        <v>66</v>
      </c>
      <c r="K1781">
        <v>2</v>
      </c>
      <c r="L1781">
        <v>5075.26</v>
      </c>
      <c r="M1781">
        <v>0.1</v>
      </c>
      <c r="N1781">
        <v>9135.4699999999993</v>
      </c>
      <c r="O1781">
        <v>6056.51</v>
      </c>
      <c r="P1781">
        <v>3078.96</v>
      </c>
      <c r="Q1781" t="s">
        <v>53</v>
      </c>
      <c r="R1781">
        <v>0.33703356258627087</v>
      </c>
      <c r="S1781">
        <v>2025</v>
      </c>
      <c r="T1781" t="s">
        <v>1244</v>
      </c>
      <c r="U1781">
        <v>6</v>
      </c>
      <c r="V1781" t="s">
        <v>878</v>
      </c>
    </row>
    <row r="1782" spans="1:22" x14ac:dyDescent="0.3">
      <c r="A1782" t="s">
        <v>2783</v>
      </c>
      <c r="B1782" s="1">
        <v>45811</v>
      </c>
      <c r="C1782" t="s">
        <v>333</v>
      </c>
      <c r="D1782" t="s">
        <v>197</v>
      </c>
      <c r="E1782" t="s">
        <v>41</v>
      </c>
      <c r="F1782" t="s">
        <v>42</v>
      </c>
      <c r="G1782" t="s">
        <v>50</v>
      </c>
      <c r="H1782" t="s">
        <v>64</v>
      </c>
      <c r="I1782" t="s">
        <v>108</v>
      </c>
      <c r="J1782" t="s">
        <v>155</v>
      </c>
      <c r="K1782">
        <v>3</v>
      </c>
      <c r="L1782">
        <v>8634.08</v>
      </c>
      <c r="M1782">
        <v>0.1</v>
      </c>
      <c r="N1782">
        <v>23312.02</v>
      </c>
      <c r="O1782">
        <v>17133.72</v>
      </c>
      <c r="P1782">
        <v>6178.3</v>
      </c>
      <c r="Q1782" t="s">
        <v>31</v>
      </c>
      <c r="R1782">
        <v>0.26502636837133797</v>
      </c>
      <c r="S1782">
        <v>2025</v>
      </c>
      <c r="T1782" t="s">
        <v>1244</v>
      </c>
      <c r="U1782">
        <v>6</v>
      </c>
      <c r="V1782" t="s">
        <v>878</v>
      </c>
    </row>
    <row r="1783" spans="1:22" x14ac:dyDescent="0.3">
      <c r="A1783" t="s">
        <v>2784</v>
      </c>
      <c r="B1783" s="1">
        <v>45811</v>
      </c>
      <c r="C1783" t="s">
        <v>2504</v>
      </c>
      <c r="D1783" t="s">
        <v>151</v>
      </c>
      <c r="E1783" t="s">
        <v>61</v>
      </c>
      <c r="F1783" t="s">
        <v>71</v>
      </c>
      <c r="G1783" t="s">
        <v>201</v>
      </c>
      <c r="H1783" t="s">
        <v>28</v>
      </c>
      <c r="I1783" t="s">
        <v>73</v>
      </c>
      <c r="J1783" t="s">
        <v>80</v>
      </c>
      <c r="K1783">
        <v>4</v>
      </c>
      <c r="L1783">
        <v>771.03</v>
      </c>
      <c r="M1783">
        <v>0.15</v>
      </c>
      <c r="N1783">
        <v>2621.5</v>
      </c>
      <c r="O1783">
        <v>1865.63</v>
      </c>
      <c r="P1783">
        <v>755.87</v>
      </c>
      <c r="Q1783" t="s">
        <v>53</v>
      </c>
      <c r="R1783">
        <v>0.2883349227541484</v>
      </c>
      <c r="S1783">
        <v>2025</v>
      </c>
      <c r="T1783" t="s">
        <v>1244</v>
      </c>
      <c r="U1783">
        <v>6</v>
      </c>
      <c r="V1783" t="s">
        <v>878</v>
      </c>
    </row>
    <row r="1784" spans="1:22" x14ac:dyDescent="0.3">
      <c r="A1784" t="s">
        <v>2785</v>
      </c>
      <c r="B1784" s="1">
        <v>45811</v>
      </c>
      <c r="C1784" t="s">
        <v>1465</v>
      </c>
      <c r="D1784" t="s">
        <v>1676</v>
      </c>
      <c r="E1784" t="s">
        <v>61</v>
      </c>
      <c r="F1784" t="s">
        <v>62</v>
      </c>
      <c r="G1784" t="s">
        <v>90</v>
      </c>
      <c r="H1784" t="s">
        <v>84</v>
      </c>
      <c r="I1784" t="s">
        <v>138</v>
      </c>
      <c r="J1784" t="s">
        <v>139</v>
      </c>
      <c r="K1784">
        <v>3</v>
      </c>
      <c r="L1784">
        <v>13501.21</v>
      </c>
      <c r="M1784">
        <v>0.1</v>
      </c>
      <c r="N1784">
        <v>36453.269999999997</v>
      </c>
      <c r="O1784">
        <v>28232.29</v>
      </c>
      <c r="P1784">
        <v>8220.98</v>
      </c>
      <c r="Q1784" t="s">
        <v>46</v>
      </c>
      <c r="R1784">
        <v>0.22552105750732379</v>
      </c>
      <c r="S1784">
        <v>2025</v>
      </c>
      <c r="T1784" t="s">
        <v>1244</v>
      </c>
      <c r="U1784">
        <v>6</v>
      </c>
      <c r="V1784" t="s">
        <v>878</v>
      </c>
    </row>
    <row r="1785" spans="1:22" x14ac:dyDescent="0.3">
      <c r="A1785" t="s">
        <v>2786</v>
      </c>
      <c r="B1785" s="1">
        <v>45812</v>
      </c>
      <c r="C1785" t="s">
        <v>1532</v>
      </c>
      <c r="D1785" t="s">
        <v>604</v>
      </c>
      <c r="E1785" t="s">
        <v>25</v>
      </c>
      <c r="F1785" t="s">
        <v>26</v>
      </c>
      <c r="G1785" t="s">
        <v>27</v>
      </c>
      <c r="H1785" t="s">
        <v>64</v>
      </c>
      <c r="I1785" t="s">
        <v>65</v>
      </c>
      <c r="J1785" t="s">
        <v>232</v>
      </c>
      <c r="K1785">
        <v>3</v>
      </c>
      <c r="L1785">
        <v>4085.75</v>
      </c>
      <c r="M1785">
        <v>0.1</v>
      </c>
      <c r="N1785">
        <v>11031.52</v>
      </c>
      <c r="O1785">
        <v>7682.6</v>
      </c>
      <c r="P1785">
        <v>3348.92</v>
      </c>
      <c r="Q1785" t="s">
        <v>46</v>
      </c>
      <c r="R1785">
        <v>0.30357738552801428</v>
      </c>
      <c r="S1785">
        <v>2025</v>
      </c>
      <c r="T1785" t="s">
        <v>1244</v>
      </c>
      <c r="U1785">
        <v>6</v>
      </c>
      <c r="V1785" t="s">
        <v>878</v>
      </c>
    </row>
    <row r="1786" spans="1:22" x14ac:dyDescent="0.3">
      <c r="A1786" t="s">
        <v>2787</v>
      </c>
      <c r="B1786" s="1">
        <v>45813</v>
      </c>
      <c r="C1786" t="s">
        <v>222</v>
      </c>
      <c r="D1786" t="s">
        <v>1118</v>
      </c>
      <c r="E1786" t="s">
        <v>25</v>
      </c>
      <c r="F1786" t="s">
        <v>26</v>
      </c>
      <c r="G1786" t="s">
        <v>27</v>
      </c>
      <c r="H1786" t="s">
        <v>64</v>
      </c>
      <c r="I1786" t="s">
        <v>108</v>
      </c>
      <c r="J1786" t="s">
        <v>155</v>
      </c>
      <c r="K1786">
        <v>4</v>
      </c>
      <c r="L1786">
        <v>8857.99</v>
      </c>
      <c r="M1786">
        <v>0</v>
      </c>
      <c r="N1786">
        <v>35431.96</v>
      </c>
      <c r="O1786">
        <v>24525.439999999999</v>
      </c>
      <c r="P1786">
        <v>10906.52</v>
      </c>
      <c r="Q1786" t="s">
        <v>46</v>
      </c>
      <c r="R1786">
        <v>0.30781588148101319</v>
      </c>
      <c r="S1786">
        <v>2025</v>
      </c>
      <c r="T1786" t="s">
        <v>1244</v>
      </c>
      <c r="U1786">
        <v>6</v>
      </c>
      <c r="V1786" t="s">
        <v>878</v>
      </c>
    </row>
    <row r="1787" spans="1:22" x14ac:dyDescent="0.3">
      <c r="A1787" t="s">
        <v>2788</v>
      </c>
      <c r="B1787" s="1">
        <v>45813</v>
      </c>
      <c r="C1787" t="s">
        <v>2288</v>
      </c>
      <c r="D1787" t="s">
        <v>698</v>
      </c>
      <c r="E1787" t="s">
        <v>61</v>
      </c>
      <c r="F1787" t="s">
        <v>62</v>
      </c>
      <c r="G1787" t="s">
        <v>228</v>
      </c>
      <c r="H1787" t="s">
        <v>84</v>
      </c>
      <c r="I1787" t="s">
        <v>138</v>
      </c>
      <c r="J1787" t="s">
        <v>220</v>
      </c>
      <c r="K1787">
        <v>6</v>
      </c>
      <c r="L1787">
        <v>7239.9</v>
      </c>
      <c r="M1787">
        <v>0.05</v>
      </c>
      <c r="N1787">
        <v>41267.43</v>
      </c>
      <c r="O1787">
        <v>27973.27</v>
      </c>
      <c r="P1787">
        <v>13294.16</v>
      </c>
      <c r="Q1787" t="s">
        <v>31</v>
      </c>
      <c r="R1787">
        <v>0.32214654510833363</v>
      </c>
      <c r="S1787">
        <v>2025</v>
      </c>
      <c r="T1787" t="s">
        <v>1244</v>
      </c>
      <c r="U1787">
        <v>6</v>
      </c>
      <c r="V1787" t="s">
        <v>878</v>
      </c>
    </row>
    <row r="1788" spans="1:22" x14ac:dyDescent="0.3">
      <c r="A1788" t="s">
        <v>2789</v>
      </c>
      <c r="B1788" s="1">
        <v>45813</v>
      </c>
      <c r="C1788" t="s">
        <v>1390</v>
      </c>
      <c r="D1788" t="s">
        <v>60</v>
      </c>
      <c r="E1788" t="s">
        <v>25</v>
      </c>
      <c r="F1788" t="s">
        <v>26</v>
      </c>
      <c r="G1788" t="s">
        <v>171</v>
      </c>
      <c r="H1788" t="s">
        <v>64</v>
      </c>
      <c r="I1788" t="s">
        <v>108</v>
      </c>
      <c r="J1788" t="s">
        <v>109</v>
      </c>
      <c r="K1788">
        <v>1</v>
      </c>
      <c r="L1788">
        <v>6871.38</v>
      </c>
      <c r="M1788">
        <v>0.05</v>
      </c>
      <c r="N1788">
        <v>6527.81</v>
      </c>
      <c r="O1788">
        <v>4448.16</v>
      </c>
      <c r="P1788">
        <v>2079.65</v>
      </c>
      <c r="Q1788" t="s">
        <v>53</v>
      </c>
      <c r="R1788">
        <v>0.31858310827061448</v>
      </c>
      <c r="S1788">
        <v>2025</v>
      </c>
      <c r="T1788" t="s">
        <v>1244</v>
      </c>
      <c r="U1788">
        <v>6</v>
      </c>
      <c r="V1788" t="s">
        <v>878</v>
      </c>
    </row>
    <row r="1789" spans="1:22" x14ac:dyDescent="0.3">
      <c r="A1789" t="s">
        <v>2790</v>
      </c>
      <c r="B1789" s="1">
        <v>45814</v>
      </c>
      <c r="C1789" t="s">
        <v>905</v>
      </c>
      <c r="D1789" t="s">
        <v>562</v>
      </c>
      <c r="E1789" t="s">
        <v>25</v>
      </c>
      <c r="F1789" t="s">
        <v>26</v>
      </c>
      <c r="G1789" t="s">
        <v>260</v>
      </c>
      <c r="H1789" t="s">
        <v>43</v>
      </c>
      <c r="I1789" t="s">
        <v>44</v>
      </c>
      <c r="J1789" t="s">
        <v>248</v>
      </c>
      <c r="K1789">
        <v>2</v>
      </c>
      <c r="L1789">
        <v>291.16000000000003</v>
      </c>
      <c r="M1789">
        <v>0.05</v>
      </c>
      <c r="N1789">
        <v>553.20000000000005</v>
      </c>
      <c r="O1789">
        <v>242.92</v>
      </c>
      <c r="P1789">
        <v>310.27999999999997</v>
      </c>
      <c r="Q1789" t="s">
        <v>31</v>
      </c>
      <c r="R1789">
        <v>0.56088214027476491</v>
      </c>
      <c r="S1789">
        <v>2025</v>
      </c>
      <c r="T1789" t="s">
        <v>1244</v>
      </c>
      <c r="U1789">
        <v>6</v>
      </c>
      <c r="V1789" t="s">
        <v>878</v>
      </c>
    </row>
    <row r="1790" spans="1:22" x14ac:dyDescent="0.3">
      <c r="A1790" t="s">
        <v>2791</v>
      </c>
      <c r="B1790" s="1">
        <v>45814</v>
      </c>
      <c r="C1790" t="s">
        <v>303</v>
      </c>
      <c r="D1790" t="s">
        <v>820</v>
      </c>
      <c r="E1790" t="s">
        <v>61</v>
      </c>
      <c r="F1790" t="s">
        <v>62</v>
      </c>
      <c r="G1790" t="s">
        <v>90</v>
      </c>
      <c r="H1790" t="s">
        <v>28</v>
      </c>
      <c r="I1790" t="s">
        <v>91</v>
      </c>
      <c r="J1790" t="s">
        <v>92</v>
      </c>
      <c r="K1790">
        <v>5</v>
      </c>
      <c r="L1790">
        <v>2943.03</v>
      </c>
      <c r="M1790">
        <v>0.15</v>
      </c>
      <c r="N1790">
        <v>12507.88</v>
      </c>
      <c r="O1790">
        <v>7925.9</v>
      </c>
      <c r="P1790">
        <v>4581.9799999999996</v>
      </c>
      <c r="Q1790" t="s">
        <v>113</v>
      </c>
      <c r="R1790">
        <v>0.36632746716469938</v>
      </c>
      <c r="S1790">
        <v>2025</v>
      </c>
      <c r="T1790" t="s">
        <v>1244</v>
      </c>
      <c r="U1790">
        <v>6</v>
      </c>
      <c r="V1790" t="s">
        <v>878</v>
      </c>
    </row>
    <row r="1791" spans="1:22" x14ac:dyDescent="0.3">
      <c r="A1791" t="s">
        <v>2792</v>
      </c>
      <c r="B1791" s="1">
        <v>45814</v>
      </c>
      <c r="C1791" t="s">
        <v>1295</v>
      </c>
      <c r="D1791" t="s">
        <v>594</v>
      </c>
      <c r="E1791" t="s">
        <v>41</v>
      </c>
      <c r="F1791" t="s">
        <v>42</v>
      </c>
      <c r="G1791" t="s">
        <v>50</v>
      </c>
      <c r="H1791" t="s">
        <v>84</v>
      </c>
      <c r="I1791" t="s">
        <v>138</v>
      </c>
      <c r="J1791" t="s">
        <v>220</v>
      </c>
      <c r="K1791">
        <v>1</v>
      </c>
      <c r="L1791">
        <v>7639.96</v>
      </c>
      <c r="M1791">
        <v>0.15</v>
      </c>
      <c r="N1791">
        <v>6493.97</v>
      </c>
      <c r="O1791">
        <v>4866.55</v>
      </c>
      <c r="P1791">
        <v>1627.42</v>
      </c>
      <c r="Q1791" t="s">
        <v>113</v>
      </c>
      <c r="R1791">
        <v>0.25060479182995921</v>
      </c>
      <c r="S1791">
        <v>2025</v>
      </c>
      <c r="T1791" t="s">
        <v>1244</v>
      </c>
      <c r="U1791">
        <v>6</v>
      </c>
      <c r="V1791" t="s">
        <v>878</v>
      </c>
    </row>
    <row r="1792" spans="1:22" x14ac:dyDescent="0.3">
      <c r="A1792" t="s">
        <v>2793</v>
      </c>
      <c r="B1792" s="1">
        <v>45814</v>
      </c>
      <c r="C1792" t="s">
        <v>94</v>
      </c>
      <c r="D1792" t="s">
        <v>474</v>
      </c>
      <c r="E1792" t="s">
        <v>120</v>
      </c>
      <c r="F1792" t="s">
        <v>121</v>
      </c>
      <c r="G1792" t="s">
        <v>122</v>
      </c>
      <c r="H1792" t="s">
        <v>28</v>
      </c>
      <c r="I1792" t="s">
        <v>73</v>
      </c>
      <c r="J1792" t="s">
        <v>80</v>
      </c>
      <c r="K1792">
        <v>3</v>
      </c>
      <c r="L1792">
        <v>760.28</v>
      </c>
      <c r="M1792">
        <v>0.1</v>
      </c>
      <c r="N1792">
        <v>2052.7600000000002</v>
      </c>
      <c r="O1792">
        <v>1378.89</v>
      </c>
      <c r="P1792">
        <v>673.87</v>
      </c>
      <c r="Q1792" t="s">
        <v>67</v>
      </c>
      <c r="R1792">
        <v>0.32827510278844091</v>
      </c>
      <c r="S1792">
        <v>2025</v>
      </c>
      <c r="T1792" t="s">
        <v>1244</v>
      </c>
      <c r="U1792">
        <v>6</v>
      </c>
      <c r="V1792" t="s">
        <v>878</v>
      </c>
    </row>
    <row r="1793" spans="1:22" x14ac:dyDescent="0.3">
      <c r="A1793" t="s">
        <v>2794</v>
      </c>
      <c r="B1793" s="1">
        <v>45815</v>
      </c>
      <c r="C1793" t="s">
        <v>1999</v>
      </c>
      <c r="D1793" t="s">
        <v>571</v>
      </c>
      <c r="E1793" t="s">
        <v>120</v>
      </c>
      <c r="F1793" t="s">
        <v>121</v>
      </c>
      <c r="G1793" t="s">
        <v>122</v>
      </c>
      <c r="H1793" t="s">
        <v>43</v>
      </c>
      <c r="I1793" t="s">
        <v>51</v>
      </c>
      <c r="J1793" t="s">
        <v>96</v>
      </c>
      <c r="K1793">
        <v>4</v>
      </c>
      <c r="L1793">
        <v>480.57</v>
      </c>
      <c r="M1793">
        <v>0.1</v>
      </c>
      <c r="N1793">
        <v>1730.05</v>
      </c>
      <c r="O1793">
        <v>888.88</v>
      </c>
      <c r="P1793">
        <v>841.17</v>
      </c>
      <c r="Q1793" t="s">
        <v>53</v>
      </c>
      <c r="R1793">
        <v>0.48621138117395452</v>
      </c>
      <c r="S1793">
        <v>2025</v>
      </c>
      <c r="T1793" t="s">
        <v>1244</v>
      </c>
      <c r="U1793">
        <v>6</v>
      </c>
      <c r="V1793" t="s">
        <v>878</v>
      </c>
    </row>
    <row r="1794" spans="1:22" x14ac:dyDescent="0.3">
      <c r="A1794" t="s">
        <v>2795</v>
      </c>
      <c r="B1794" s="1">
        <v>45815</v>
      </c>
      <c r="C1794" t="s">
        <v>2796</v>
      </c>
      <c r="D1794" t="s">
        <v>385</v>
      </c>
      <c r="E1794" t="s">
        <v>61</v>
      </c>
      <c r="F1794" t="s">
        <v>71</v>
      </c>
      <c r="G1794" t="s">
        <v>100</v>
      </c>
      <c r="H1794" t="s">
        <v>28</v>
      </c>
      <c r="I1794" t="s">
        <v>91</v>
      </c>
      <c r="J1794" t="s">
        <v>92</v>
      </c>
      <c r="K1794">
        <v>1</v>
      </c>
      <c r="L1794">
        <v>3099.95</v>
      </c>
      <c r="M1794">
        <v>0.05</v>
      </c>
      <c r="N1794">
        <v>2944.95</v>
      </c>
      <c r="O1794">
        <v>1646.96</v>
      </c>
      <c r="P1794">
        <v>1297.99</v>
      </c>
      <c r="Q1794" t="s">
        <v>31</v>
      </c>
      <c r="R1794">
        <v>0.44075111631776431</v>
      </c>
      <c r="S1794">
        <v>2025</v>
      </c>
      <c r="T1794" t="s">
        <v>1244</v>
      </c>
      <c r="U1794">
        <v>6</v>
      </c>
      <c r="V1794" t="s">
        <v>878</v>
      </c>
    </row>
    <row r="1795" spans="1:22" x14ac:dyDescent="0.3">
      <c r="A1795" t="s">
        <v>2797</v>
      </c>
      <c r="B1795" s="1">
        <v>45815</v>
      </c>
      <c r="C1795" t="s">
        <v>439</v>
      </c>
      <c r="D1795" t="s">
        <v>1285</v>
      </c>
      <c r="E1795" t="s">
        <v>25</v>
      </c>
      <c r="F1795" t="s">
        <v>26</v>
      </c>
      <c r="G1795" t="s">
        <v>37</v>
      </c>
      <c r="H1795" t="s">
        <v>43</v>
      </c>
      <c r="I1795" t="s">
        <v>44</v>
      </c>
      <c r="J1795" t="s">
        <v>248</v>
      </c>
      <c r="K1795">
        <v>6</v>
      </c>
      <c r="L1795">
        <v>296.27999999999997</v>
      </c>
      <c r="M1795">
        <v>0.15</v>
      </c>
      <c r="N1795">
        <v>1511.03</v>
      </c>
      <c r="O1795">
        <v>736.62</v>
      </c>
      <c r="P1795">
        <v>774.41</v>
      </c>
      <c r="Q1795" t="s">
        <v>113</v>
      </c>
      <c r="R1795">
        <v>0.51250471532663144</v>
      </c>
      <c r="S1795">
        <v>2025</v>
      </c>
      <c r="T1795" t="s">
        <v>1244</v>
      </c>
      <c r="U1795">
        <v>6</v>
      </c>
      <c r="V1795" t="s">
        <v>878</v>
      </c>
    </row>
    <row r="1796" spans="1:22" x14ac:dyDescent="0.3">
      <c r="A1796" t="s">
        <v>2798</v>
      </c>
      <c r="B1796" s="1">
        <v>45815</v>
      </c>
      <c r="C1796" t="s">
        <v>328</v>
      </c>
      <c r="D1796" t="s">
        <v>270</v>
      </c>
      <c r="E1796" t="s">
        <v>61</v>
      </c>
      <c r="F1796" t="s">
        <v>71</v>
      </c>
      <c r="G1796" t="s">
        <v>317</v>
      </c>
      <c r="H1796" t="s">
        <v>28</v>
      </c>
      <c r="I1796" t="s">
        <v>91</v>
      </c>
      <c r="J1796" t="s">
        <v>92</v>
      </c>
      <c r="K1796">
        <v>3</v>
      </c>
      <c r="L1796">
        <v>2956.5</v>
      </c>
      <c r="M1796">
        <v>0.05</v>
      </c>
      <c r="N1796">
        <v>8426.02</v>
      </c>
      <c r="O1796">
        <v>4693.05</v>
      </c>
      <c r="P1796">
        <v>3732.97</v>
      </c>
      <c r="Q1796" t="s">
        <v>53</v>
      </c>
      <c r="R1796">
        <v>0.44302885585365331</v>
      </c>
      <c r="S1796">
        <v>2025</v>
      </c>
      <c r="T1796" t="s">
        <v>1244</v>
      </c>
      <c r="U1796">
        <v>6</v>
      </c>
      <c r="V1796" t="s">
        <v>878</v>
      </c>
    </row>
    <row r="1797" spans="1:22" x14ac:dyDescent="0.3">
      <c r="A1797" t="s">
        <v>2799</v>
      </c>
      <c r="B1797" s="1">
        <v>45816</v>
      </c>
      <c r="C1797" t="s">
        <v>1679</v>
      </c>
      <c r="D1797" t="s">
        <v>1717</v>
      </c>
      <c r="E1797" t="s">
        <v>25</v>
      </c>
      <c r="F1797" t="s">
        <v>26</v>
      </c>
      <c r="G1797" t="s">
        <v>260</v>
      </c>
      <c r="H1797" t="s">
        <v>64</v>
      </c>
      <c r="I1797" t="s">
        <v>65</v>
      </c>
      <c r="J1797" t="s">
        <v>66</v>
      </c>
      <c r="K1797">
        <v>2</v>
      </c>
      <c r="L1797">
        <v>4922.84</v>
      </c>
      <c r="M1797">
        <v>0.05</v>
      </c>
      <c r="N1797">
        <v>9353.4</v>
      </c>
      <c r="O1797">
        <v>5938.21</v>
      </c>
      <c r="P1797">
        <v>3415.19</v>
      </c>
      <c r="Q1797" t="s">
        <v>113</v>
      </c>
      <c r="R1797">
        <v>0.3651281886800522</v>
      </c>
      <c r="S1797">
        <v>2025</v>
      </c>
      <c r="T1797" t="s">
        <v>1244</v>
      </c>
      <c r="U1797">
        <v>6</v>
      </c>
      <c r="V1797" t="s">
        <v>878</v>
      </c>
    </row>
    <row r="1798" spans="1:22" x14ac:dyDescent="0.3">
      <c r="A1798" t="s">
        <v>2800</v>
      </c>
      <c r="B1798" s="1">
        <v>45816</v>
      </c>
      <c r="C1798" t="s">
        <v>325</v>
      </c>
      <c r="D1798" t="s">
        <v>2171</v>
      </c>
      <c r="E1798" t="s">
        <v>120</v>
      </c>
      <c r="F1798" t="s">
        <v>121</v>
      </c>
      <c r="G1798" t="s">
        <v>130</v>
      </c>
      <c r="H1798" t="s">
        <v>64</v>
      </c>
      <c r="I1798" t="s">
        <v>108</v>
      </c>
      <c r="J1798" t="s">
        <v>109</v>
      </c>
      <c r="K1798">
        <v>2</v>
      </c>
      <c r="L1798">
        <v>7041.03</v>
      </c>
      <c r="M1798">
        <v>0.05</v>
      </c>
      <c r="N1798">
        <v>13377.96</v>
      </c>
      <c r="O1798">
        <v>8915</v>
      </c>
      <c r="P1798">
        <v>4462.96</v>
      </c>
      <c r="Q1798" t="s">
        <v>31</v>
      </c>
      <c r="R1798">
        <v>0.33360542265038923</v>
      </c>
      <c r="S1798">
        <v>2025</v>
      </c>
      <c r="T1798" t="s">
        <v>1244</v>
      </c>
      <c r="U1798">
        <v>6</v>
      </c>
      <c r="V1798" t="s">
        <v>878</v>
      </c>
    </row>
    <row r="1799" spans="1:22" x14ac:dyDescent="0.3">
      <c r="A1799" t="s">
        <v>2801</v>
      </c>
      <c r="B1799" s="1">
        <v>45817</v>
      </c>
      <c r="C1799" t="s">
        <v>2282</v>
      </c>
      <c r="D1799" t="s">
        <v>527</v>
      </c>
      <c r="E1799" t="s">
        <v>25</v>
      </c>
      <c r="F1799" t="s">
        <v>26</v>
      </c>
      <c r="G1799" t="s">
        <v>171</v>
      </c>
      <c r="H1799" t="s">
        <v>43</v>
      </c>
      <c r="I1799" t="s">
        <v>44</v>
      </c>
      <c r="J1799" t="s">
        <v>45</v>
      </c>
      <c r="K1799">
        <v>1</v>
      </c>
      <c r="L1799">
        <v>234.11</v>
      </c>
      <c r="M1799">
        <v>0</v>
      </c>
      <c r="N1799">
        <v>234.11</v>
      </c>
      <c r="O1799">
        <v>87.86</v>
      </c>
      <c r="P1799">
        <v>146.25</v>
      </c>
      <c r="Q1799" t="s">
        <v>31</v>
      </c>
      <c r="R1799">
        <v>0.62470633462902048</v>
      </c>
      <c r="S1799">
        <v>2025</v>
      </c>
      <c r="T1799" t="s">
        <v>1244</v>
      </c>
      <c r="U1799">
        <v>6</v>
      </c>
      <c r="V1799" t="s">
        <v>878</v>
      </c>
    </row>
    <row r="1800" spans="1:22" x14ac:dyDescent="0.3">
      <c r="A1800" t="s">
        <v>2802</v>
      </c>
      <c r="B1800" s="1">
        <v>45817</v>
      </c>
      <c r="C1800" t="s">
        <v>351</v>
      </c>
      <c r="D1800" t="s">
        <v>978</v>
      </c>
      <c r="E1800" t="s">
        <v>41</v>
      </c>
      <c r="F1800" t="s">
        <v>42</v>
      </c>
      <c r="G1800" t="s">
        <v>50</v>
      </c>
      <c r="H1800" t="s">
        <v>43</v>
      </c>
      <c r="I1800" t="s">
        <v>51</v>
      </c>
      <c r="J1800" t="s">
        <v>52</v>
      </c>
      <c r="K1800">
        <v>3</v>
      </c>
      <c r="L1800">
        <v>709.58</v>
      </c>
      <c r="M1800">
        <v>0</v>
      </c>
      <c r="N1800">
        <v>2128.7399999999998</v>
      </c>
      <c r="O1800">
        <v>970.13</v>
      </c>
      <c r="P1800">
        <v>1158.6099999999999</v>
      </c>
      <c r="Q1800" t="s">
        <v>113</v>
      </c>
      <c r="R1800">
        <v>0.54427031953174176</v>
      </c>
      <c r="S1800">
        <v>2025</v>
      </c>
      <c r="T1800" t="s">
        <v>1244</v>
      </c>
      <c r="U1800">
        <v>6</v>
      </c>
      <c r="V1800" t="s">
        <v>878</v>
      </c>
    </row>
    <row r="1801" spans="1:22" x14ac:dyDescent="0.3">
      <c r="A1801" t="s">
        <v>2803</v>
      </c>
      <c r="B1801" s="1">
        <v>45817</v>
      </c>
      <c r="C1801" t="s">
        <v>824</v>
      </c>
      <c r="D1801" t="s">
        <v>1367</v>
      </c>
      <c r="E1801" t="s">
        <v>120</v>
      </c>
      <c r="F1801" t="s">
        <v>121</v>
      </c>
      <c r="G1801" t="s">
        <v>224</v>
      </c>
      <c r="H1801" t="s">
        <v>64</v>
      </c>
      <c r="I1801" t="s">
        <v>108</v>
      </c>
      <c r="J1801" t="s">
        <v>155</v>
      </c>
      <c r="K1801">
        <v>1</v>
      </c>
      <c r="L1801">
        <v>8333.2800000000007</v>
      </c>
      <c r="M1801">
        <v>0.15</v>
      </c>
      <c r="N1801">
        <v>7083.29</v>
      </c>
      <c r="O1801">
        <v>5864.09</v>
      </c>
      <c r="P1801">
        <v>1219.2</v>
      </c>
      <c r="Q1801" t="s">
        <v>46</v>
      </c>
      <c r="R1801">
        <v>0.1721234059314245</v>
      </c>
      <c r="S1801">
        <v>2025</v>
      </c>
      <c r="T1801" t="s">
        <v>1244</v>
      </c>
      <c r="U1801">
        <v>6</v>
      </c>
      <c r="V1801" t="s">
        <v>878</v>
      </c>
    </row>
    <row r="1802" spans="1:22" x14ac:dyDescent="0.3">
      <c r="A1802" t="s">
        <v>2804</v>
      </c>
      <c r="B1802" s="1">
        <v>45817</v>
      </c>
      <c r="C1802" t="s">
        <v>287</v>
      </c>
      <c r="D1802" t="s">
        <v>841</v>
      </c>
      <c r="E1802" t="s">
        <v>61</v>
      </c>
      <c r="F1802" t="s">
        <v>62</v>
      </c>
      <c r="G1802" t="s">
        <v>228</v>
      </c>
      <c r="H1802" t="s">
        <v>28</v>
      </c>
      <c r="I1802" t="s">
        <v>73</v>
      </c>
      <c r="J1802" t="s">
        <v>80</v>
      </c>
      <c r="K1802">
        <v>2</v>
      </c>
      <c r="L1802">
        <v>809.16</v>
      </c>
      <c r="M1802">
        <v>0</v>
      </c>
      <c r="N1802">
        <v>1618.32</v>
      </c>
      <c r="O1802">
        <v>988.65</v>
      </c>
      <c r="P1802">
        <v>629.66999999999996</v>
      </c>
      <c r="Q1802" t="s">
        <v>53</v>
      </c>
      <c r="R1802">
        <v>0.38908868456176782</v>
      </c>
      <c r="S1802">
        <v>2025</v>
      </c>
      <c r="T1802" t="s">
        <v>1244</v>
      </c>
      <c r="U1802">
        <v>6</v>
      </c>
      <c r="V1802" t="s">
        <v>878</v>
      </c>
    </row>
    <row r="1803" spans="1:22" x14ac:dyDescent="0.3">
      <c r="A1803" t="s">
        <v>2805</v>
      </c>
      <c r="B1803" s="1">
        <v>45818</v>
      </c>
      <c r="C1803" t="s">
        <v>1657</v>
      </c>
      <c r="D1803" t="s">
        <v>670</v>
      </c>
      <c r="E1803" t="s">
        <v>61</v>
      </c>
      <c r="F1803" t="s">
        <v>78</v>
      </c>
      <c r="G1803" t="s">
        <v>216</v>
      </c>
      <c r="H1803" t="s">
        <v>64</v>
      </c>
      <c r="I1803" t="s">
        <v>65</v>
      </c>
      <c r="J1803" t="s">
        <v>66</v>
      </c>
      <c r="K1803">
        <v>6</v>
      </c>
      <c r="L1803">
        <v>5286.72</v>
      </c>
      <c r="M1803">
        <v>0.2</v>
      </c>
      <c r="N1803">
        <v>25376.26</v>
      </c>
      <c r="O1803">
        <v>19230.34</v>
      </c>
      <c r="P1803">
        <v>6145.92</v>
      </c>
      <c r="Q1803" t="s">
        <v>31</v>
      </c>
      <c r="R1803">
        <v>0.24219171777086149</v>
      </c>
      <c r="S1803">
        <v>2025</v>
      </c>
      <c r="T1803" t="s">
        <v>1244</v>
      </c>
      <c r="U1803">
        <v>6</v>
      </c>
      <c r="V1803" t="s">
        <v>878</v>
      </c>
    </row>
    <row r="1804" spans="1:22" x14ac:dyDescent="0.3">
      <c r="A1804" t="s">
        <v>2806</v>
      </c>
      <c r="B1804" s="1">
        <v>45819</v>
      </c>
      <c r="C1804" t="s">
        <v>476</v>
      </c>
      <c r="D1804" t="s">
        <v>1676</v>
      </c>
      <c r="E1804" t="s">
        <v>61</v>
      </c>
      <c r="F1804" t="s">
        <v>78</v>
      </c>
      <c r="G1804" t="s">
        <v>104</v>
      </c>
      <c r="H1804" t="s">
        <v>84</v>
      </c>
      <c r="I1804" t="s">
        <v>85</v>
      </c>
      <c r="J1804" t="s">
        <v>145</v>
      </c>
      <c r="K1804">
        <v>2</v>
      </c>
      <c r="L1804">
        <v>3483.39</v>
      </c>
      <c r="M1804">
        <v>0.15</v>
      </c>
      <c r="N1804">
        <v>5921.76</v>
      </c>
      <c r="O1804">
        <v>3875.95</v>
      </c>
      <c r="P1804">
        <v>2045.81</v>
      </c>
      <c r="Q1804" t="s">
        <v>53</v>
      </c>
      <c r="R1804">
        <v>0.34547330523357922</v>
      </c>
      <c r="S1804">
        <v>2025</v>
      </c>
      <c r="T1804" t="s">
        <v>1244</v>
      </c>
      <c r="U1804">
        <v>6</v>
      </c>
      <c r="V1804" t="s">
        <v>878</v>
      </c>
    </row>
    <row r="1805" spans="1:22" x14ac:dyDescent="0.3">
      <c r="A1805" t="s">
        <v>2807</v>
      </c>
      <c r="B1805" s="1">
        <v>45819</v>
      </c>
      <c r="C1805" t="s">
        <v>1037</v>
      </c>
      <c r="D1805" t="s">
        <v>1946</v>
      </c>
      <c r="E1805" t="s">
        <v>61</v>
      </c>
      <c r="F1805" t="s">
        <v>62</v>
      </c>
      <c r="G1805" t="s">
        <v>90</v>
      </c>
      <c r="H1805" t="s">
        <v>43</v>
      </c>
      <c r="I1805" t="s">
        <v>51</v>
      </c>
      <c r="J1805" t="s">
        <v>52</v>
      </c>
      <c r="K1805">
        <v>2</v>
      </c>
      <c r="L1805">
        <v>690.03</v>
      </c>
      <c r="M1805">
        <v>0.15</v>
      </c>
      <c r="N1805">
        <v>1173.05</v>
      </c>
      <c r="O1805">
        <v>640.9</v>
      </c>
      <c r="P1805">
        <v>532.15</v>
      </c>
      <c r="Q1805" t="s">
        <v>31</v>
      </c>
      <c r="R1805">
        <v>0.45364647713226203</v>
      </c>
      <c r="S1805">
        <v>2025</v>
      </c>
      <c r="T1805" t="s">
        <v>1244</v>
      </c>
      <c r="U1805">
        <v>6</v>
      </c>
      <c r="V1805" t="s">
        <v>878</v>
      </c>
    </row>
    <row r="1806" spans="1:22" x14ac:dyDescent="0.3">
      <c r="A1806" t="s">
        <v>2808</v>
      </c>
      <c r="B1806" s="1">
        <v>45820</v>
      </c>
      <c r="C1806" t="s">
        <v>157</v>
      </c>
      <c r="D1806" t="s">
        <v>641</v>
      </c>
      <c r="E1806" t="s">
        <v>41</v>
      </c>
      <c r="F1806" t="s">
        <v>42</v>
      </c>
      <c r="G1806" t="s">
        <v>42</v>
      </c>
      <c r="H1806" t="s">
        <v>64</v>
      </c>
      <c r="I1806" t="s">
        <v>108</v>
      </c>
      <c r="J1806" t="s">
        <v>155</v>
      </c>
      <c r="K1806">
        <v>2</v>
      </c>
      <c r="L1806">
        <v>8916.06</v>
      </c>
      <c r="M1806">
        <v>0.05</v>
      </c>
      <c r="N1806">
        <v>16940.509999999998</v>
      </c>
      <c r="O1806">
        <v>11919.93</v>
      </c>
      <c r="P1806">
        <v>5020.58</v>
      </c>
      <c r="Q1806" t="s">
        <v>31</v>
      </c>
      <c r="R1806">
        <v>0.29636533965034112</v>
      </c>
      <c r="S1806">
        <v>2025</v>
      </c>
      <c r="T1806" t="s">
        <v>1244</v>
      </c>
      <c r="U1806">
        <v>6</v>
      </c>
      <c r="V1806" t="s">
        <v>878</v>
      </c>
    </row>
    <row r="1807" spans="1:22" x14ac:dyDescent="0.3">
      <c r="A1807" t="s">
        <v>2809</v>
      </c>
      <c r="B1807" s="1">
        <v>45820</v>
      </c>
      <c r="C1807" t="s">
        <v>1199</v>
      </c>
      <c r="D1807" t="s">
        <v>601</v>
      </c>
      <c r="E1807" t="s">
        <v>25</v>
      </c>
      <c r="F1807" t="s">
        <v>26</v>
      </c>
      <c r="G1807" t="s">
        <v>260</v>
      </c>
      <c r="H1807" t="s">
        <v>43</v>
      </c>
      <c r="I1807" t="s">
        <v>51</v>
      </c>
      <c r="J1807" t="s">
        <v>52</v>
      </c>
      <c r="K1807">
        <v>1</v>
      </c>
      <c r="L1807">
        <v>728.27</v>
      </c>
      <c r="M1807">
        <v>0.1</v>
      </c>
      <c r="N1807">
        <v>655.44</v>
      </c>
      <c r="O1807">
        <v>341.53</v>
      </c>
      <c r="P1807">
        <v>313.91000000000003</v>
      </c>
      <c r="Q1807" t="s">
        <v>67</v>
      </c>
      <c r="R1807">
        <v>0.47893018430367379</v>
      </c>
      <c r="S1807">
        <v>2025</v>
      </c>
      <c r="T1807" t="s">
        <v>1244</v>
      </c>
      <c r="U1807">
        <v>6</v>
      </c>
      <c r="V1807" t="s">
        <v>878</v>
      </c>
    </row>
    <row r="1808" spans="1:22" x14ac:dyDescent="0.3">
      <c r="A1808" t="s">
        <v>2810</v>
      </c>
      <c r="B1808" s="1">
        <v>45820</v>
      </c>
      <c r="C1808" t="s">
        <v>924</v>
      </c>
      <c r="D1808" t="s">
        <v>759</v>
      </c>
      <c r="E1808" t="s">
        <v>61</v>
      </c>
      <c r="F1808" t="s">
        <v>78</v>
      </c>
      <c r="G1808" t="s">
        <v>216</v>
      </c>
      <c r="H1808" t="s">
        <v>43</v>
      </c>
      <c r="I1808" t="s">
        <v>51</v>
      </c>
      <c r="J1808" t="s">
        <v>52</v>
      </c>
      <c r="K1808">
        <v>2</v>
      </c>
      <c r="L1808">
        <v>699.09</v>
      </c>
      <c r="M1808">
        <v>0</v>
      </c>
      <c r="N1808">
        <v>1398.18</v>
      </c>
      <c r="O1808">
        <v>638.87</v>
      </c>
      <c r="P1808">
        <v>759.31</v>
      </c>
      <c r="Q1808" t="s">
        <v>53</v>
      </c>
      <c r="R1808">
        <v>0.54307027707448252</v>
      </c>
      <c r="S1808">
        <v>2025</v>
      </c>
      <c r="T1808" t="s">
        <v>1244</v>
      </c>
      <c r="U1808">
        <v>6</v>
      </c>
      <c r="V1808" t="s">
        <v>878</v>
      </c>
    </row>
    <row r="1809" spans="1:22" x14ac:dyDescent="0.3">
      <c r="A1809" t="s">
        <v>2811</v>
      </c>
      <c r="B1809" s="1">
        <v>45820</v>
      </c>
      <c r="C1809" t="s">
        <v>1161</v>
      </c>
      <c r="D1809" t="s">
        <v>203</v>
      </c>
      <c r="E1809" t="s">
        <v>120</v>
      </c>
      <c r="F1809" t="s">
        <v>121</v>
      </c>
      <c r="G1809" t="s">
        <v>122</v>
      </c>
      <c r="H1809" t="s">
        <v>28</v>
      </c>
      <c r="I1809" t="s">
        <v>73</v>
      </c>
      <c r="J1809" t="s">
        <v>80</v>
      </c>
      <c r="K1809">
        <v>4</v>
      </c>
      <c r="L1809">
        <v>814.67</v>
      </c>
      <c r="M1809">
        <v>0.15</v>
      </c>
      <c r="N1809">
        <v>2769.88</v>
      </c>
      <c r="O1809">
        <v>2089.77</v>
      </c>
      <c r="P1809">
        <v>680.11</v>
      </c>
      <c r="Q1809" t="s">
        <v>53</v>
      </c>
      <c r="R1809">
        <v>0.24553771282510431</v>
      </c>
      <c r="S1809">
        <v>2025</v>
      </c>
      <c r="T1809" t="s">
        <v>1244</v>
      </c>
      <c r="U1809">
        <v>6</v>
      </c>
      <c r="V1809" t="s">
        <v>878</v>
      </c>
    </row>
    <row r="1810" spans="1:22" x14ac:dyDescent="0.3">
      <c r="A1810" t="s">
        <v>2812</v>
      </c>
      <c r="B1810" s="1">
        <v>45820</v>
      </c>
      <c r="C1810" t="s">
        <v>300</v>
      </c>
      <c r="D1810" t="s">
        <v>1490</v>
      </c>
      <c r="E1810" t="s">
        <v>61</v>
      </c>
      <c r="F1810" t="s">
        <v>78</v>
      </c>
      <c r="G1810" t="s">
        <v>79</v>
      </c>
      <c r="H1810" t="s">
        <v>28</v>
      </c>
      <c r="I1810" t="s">
        <v>91</v>
      </c>
      <c r="J1810" t="s">
        <v>92</v>
      </c>
      <c r="K1810">
        <v>6</v>
      </c>
      <c r="L1810">
        <v>3101.83</v>
      </c>
      <c r="M1810">
        <v>0.05</v>
      </c>
      <c r="N1810">
        <v>17680.43</v>
      </c>
      <c r="O1810">
        <v>9864.4500000000007</v>
      </c>
      <c r="P1810">
        <v>7815.98</v>
      </c>
      <c r="Q1810" t="s">
        <v>31</v>
      </c>
      <c r="R1810">
        <v>0.44206956505017131</v>
      </c>
      <c r="S1810">
        <v>2025</v>
      </c>
      <c r="T1810" t="s">
        <v>1244</v>
      </c>
      <c r="U1810">
        <v>6</v>
      </c>
      <c r="V1810" t="s">
        <v>878</v>
      </c>
    </row>
    <row r="1811" spans="1:22" x14ac:dyDescent="0.3">
      <c r="A1811" t="s">
        <v>2813</v>
      </c>
      <c r="B1811" s="1">
        <v>45820</v>
      </c>
      <c r="C1811" t="s">
        <v>692</v>
      </c>
      <c r="D1811" t="s">
        <v>2047</v>
      </c>
      <c r="E1811" t="s">
        <v>120</v>
      </c>
      <c r="F1811" t="s">
        <v>121</v>
      </c>
      <c r="G1811" t="s">
        <v>122</v>
      </c>
      <c r="H1811" t="s">
        <v>28</v>
      </c>
      <c r="I1811" t="s">
        <v>29</v>
      </c>
      <c r="J1811" t="s">
        <v>30</v>
      </c>
      <c r="K1811">
        <v>4</v>
      </c>
      <c r="L1811">
        <v>59548.9</v>
      </c>
      <c r="M1811">
        <v>0.1</v>
      </c>
      <c r="N1811">
        <v>214376.04</v>
      </c>
      <c r="O1811">
        <v>202060.84</v>
      </c>
      <c r="P1811">
        <v>12315.2</v>
      </c>
      <c r="Q1811" t="s">
        <v>31</v>
      </c>
      <c r="R1811">
        <v>5.7446718392596477E-2</v>
      </c>
      <c r="S1811">
        <v>2025</v>
      </c>
      <c r="T1811" t="s">
        <v>1244</v>
      </c>
      <c r="U1811">
        <v>6</v>
      </c>
      <c r="V1811" t="s">
        <v>878</v>
      </c>
    </row>
    <row r="1812" spans="1:22" x14ac:dyDescent="0.3">
      <c r="A1812" t="s">
        <v>2814</v>
      </c>
      <c r="B1812" s="1">
        <v>45821</v>
      </c>
      <c r="C1812" t="s">
        <v>2815</v>
      </c>
      <c r="D1812" t="s">
        <v>1235</v>
      </c>
      <c r="E1812" t="s">
        <v>120</v>
      </c>
      <c r="F1812" t="s">
        <v>121</v>
      </c>
      <c r="G1812" t="s">
        <v>224</v>
      </c>
      <c r="H1812" t="s">
        <v>64</v>
      </c>
      <c r="I1812" t="s">
        <v>65</v>
      </c>
      <c r="J1812" t="s">
        <v>232</v>
      </c>
      <c r="K1812">
        <v>1</v>
      </c>
      <c r="L1812">
        <v>4234.21</v>
      </c>
      <c r="M1812">
        <v>0.1</v>
      </c>
      <c r="N1812">
        <v>3810.79</v>
      </c>
      <c r="O1812">
        <v>2612.63</v>
      </c>
      <c r="P1812">
        <v>1198.1600000000001</v>
      </c>
      <c r="Q1812" t="s">
        <v>31</v>
      </c>
      <c r="R1812">
        <v>0.31441249714626102</v>
      </c>
      <c r="S1812">
        <v>2025</v>
      </c>
      <c r="T1812" t="s">
        <v>1244</v>
      </c>
      <c r="U1812">
        <v>6</v>
      </c>
      <c r="V1812" t="s">
        <v>878</v>
      </c>
    </row>
    <row r="1813" spans="1:22" x14ac:dyDescent="0.3">
      <c r="A1813" t="s">
        <v>2816</v>
      </c>
      <c r="B1813" s="1">
        <v>45821</v>
      </c>
      <c r="C1813" t="s">
        <v>1757</v>
      </c>
      <c r="D1813" t="s">
        <v>468</v>
      </c>
      <c r="E1813" t="s">
        <v>41</v>
      </c>
      <c r="F1813" t="s">
        <v>42</v>
      </c>
      <c r="G1813" t="s">
        <v>50</v>
      </c>
      <c r="H1813" t="s">
        <v>43</v>
      </c>
      <c r="I1813" t="s">
        <v>51</v>
      </c>
      <c r="J1813" t="s">
        <v>52</v>
      </c>
      <c r="K1813">
        <v>3</v>
      </c>
      <c r="L1813">
        <v>691.95</v>
      </c>
      <c r="M1813">
        <v>0.1</v>
      </c>
      <c r="N1813">
        <v>1868.27</v>
      </c>
      <c r="O1813">
        <v>942.15</v>
      </c>
      <c r="P1813">
        <v>926.12</v>
      </c>
      <c r="Q1813" t="s">
        <v>31</v>
      </c>
      <c r="R1813">
        <v>0.49570993485952253</v>
      </c>
      <c r="S1813">
        <v>2025</v>
      </c>
      <c r="T1813" t="s">
        <v>1244</v>
      </c>
      <c r="U1813">
        <v>6</v>
      </c>
      <c r="V1813" t="s">
        <v>878</v>
      </c>
    </row>
    <row r="1814" spans="1:22" x14ac:dyDescent="0.3">
      <c r="A1814" t="s">
        <v>2817</v>
      </c>
      <c r="B1814" s="1">
        <v>45821</v>
      </c>
      <c r="C1814" t="s">
        <v>434</v>
      </c>
      <c r="D1814" t="s">
        <v>209</v>
      </c>
      <c r="E1814" t="s">
        <v>41</v>
      </c>
      <c r="F1814" t="s">
        <v>42</v>
      </c>
      <c r="G1814" t="s">
        <v>50</v>
      </c>
      <c r="H1814" t="s">
        <v>84</v>
      </c>
      <c r="I1814" t="s">
        <v>85</v>
      </c>
      <c r="J1814" t="s">
        <v>145</v>
      </c>
      <c r="K1814">
        <v>1</v>
      </c>
      <c r="L1814">
        <v>3141.01</v>
      </c>
      <c r="M1814">
        <v>0.15</v>
      </c>
      <c r="N1814">
        <v>2669.86</v>
      </c>
      <c r="O1814">
        <v>1842.44</v>
      </c>
      <c r="P1814">
        <v>827.42</v>
      </c>
      <c r="Q1814" t="s">
        <v>53</v>
      </c>
      <c r="R1814">
        <v>0.30991138112110739</v>
      </c>
      <c r="S1814">
        <v>2025</v>
      </c>
      <c r="T1814" t="s">
        <v>1244</v>
      </c>
      <c r="U1814">
        <v>6</v>
      </c>
      <c r="V1814" t="s">
        <v>878</v>
      </c>
    </row>
    <row r="1815" spans="1:22" x14ac:dyDescent="0.3">
      <c r="A1815" t="s">
        <v>2818</v>
      </c>
      <c r="B1815" s="1">
        <v>45821</v>
      </c>
      <c r="C1815" t="s">
        <v>178</v>
      </c>
      <c r="D1815" t="s">
        <v>380</v>
      </c>
      <c r="E1815" t="s">
        <v>120</v>
      </c>
      <c r="F1815" t="s">
        <v>121</v>
      </c>
      <c r="G1815" t="s">
        <v>130</v>
      </c>
      <c r="H1815" t="s">
        <v>84</v>
      </c>
      <c r="I1815" t="s">
        <v>85</v>
      </c>
      <c r="J1815" t="s">
        <v>145</v>
      </c>
      <c r="K1815">
        <v>2</v>
      </c>
      <c r="L1815">
        <v>3359.95</v>
      </c>
      <c r="M1815">
        <v>0.15</v>
      </c>
      <c r="N1815">
        <v>5711.91</v>
      </c>
      <c r="O1815">
        <v>3783.31</v>
      </c>
      <c r="P1815">
        <v>1928.6</v>
      </c>
      <c r="Q1815" t="s">
        <v>67</v>
      </c>
      <c r="R1815">
        <v>0.33764537606509898</v>
      </c>
      <c r="S1815">
        <v>2025</v>
      </c>
      <c r="T1815" t="s">
        <v>1244</v>
      </c>
      <c r="U1815">
        <v>6</v>
      </c>
      <c r="V1815" t="s">
        <v>878</v>
      </c>
    </row>
    <row r="1816" spans="1:22" x14ac:dyDescent="0.3">
      <c r="A1816" t="s">
        <v>2819</v>
      </c>
      <c r="B1816" s="1">
        <v>45821</v>
      </c>
      <c r="C1816" t="s">
        <v>1189</v>
      </c>
      <c r="D1816" t="s">
        <v>1530</v>
      </c>
      <c r="E1816" t="s">
        <v>25</v>
      </c>
      <c r="F1816" t="s">
        <v>26</v>
      </c>
      <c r="G1816" t="s">
        <v>171</v>
      </c>
      <c r="H1816" t="s">
        <v>43</v>
      </c>
      <c r="I1816" t="s">
        <v>44</v>
      </c>
      <c r="J1816" t="s">
        <v>45</v>
      </c>
      <c r="K1816">
        <v>2</v>
      </c>
      <c r="L1816">
        <v>237.76</v>
      </c>
      <c r="M1816">
        <v>0.05</v>
      </c>
      <c r="N1816">
        <v>451.74</v>
      </c>
      <c r="O1816">
        <v>184.82</v>
      </c>
      <c r="P1816">
        <v>266.92</v>
      </c>
      <c r="Q1816" t="s">
        <v>67</v>
      </c>
      <c r="R1816">
        <v>0.5908708549165449</v>
      </c>
      <c r="S1816">
        <v>2025</v>
      </c>
      <c r="T1816" t="s">
        <v>1244</v>
      </c>
      <c r="U1816">
        <v>6</v>
      </c>
      <c r="V1816" t="s">
        <v>878</v>
      </c>
    </row>
    <row r="1817" spans="1:22" x14ac:dyDescent="0.3">
      <c r="A1817" t="s">
        <v>2820</v>
      </c>
      <c r="B1817" s="1">
        <v>45822</v>
      </c>
      <c r="C1817" t="s">
        <v>786</v>
      </c>
      <c r="D1817" t="s">
        <v>339</v>
      </c>
      <c r="E1817" t="s">
        <v>41</v>
      </c>
      <c r="F1817" t="s">
        <v>42</v>
      </c>
      <c r="G1817" t="s">
        <v>42</v>
      </c>
      <c r="H1817" t="s">
        <v>64</v>
      </c>
      <c r="I1817" t="s">
        <v>65</v>
      </c>
      <c r="J1817" t="s">
        <v>232</v>
      </c>
      <c r="K1817">
        <v>3</v>
      </c>
      <c r="L1817">
        <v>4230.9799999999996</v>
      </c>
      <c r="M1817">
        <v>0.15</v>
      </c>
      <c r="N1817">
        <v>10789</v>
      </c>
      <c r="O1817">
        <v>7944.91</v>
      </c>
      <c r="P1817">
        <v>2844.09</v>
      </c>
      <c r="Q1817" t="s">
        <v>46</v>
      </c>
      <c r="R1817">
        <v>0.26361015849476321</v>
      </c>
      <c r="S1817">
        <v>2025</v>
      </c>
      <c r="T1817" t="s">
        <v>1244</v>
      </c>
      <c r="U1817">
        <v>6</v>
      </c>
      <c r="V1817" t="s">
        <v>878</v>
      </c>
    </row>
    <row r="1818" spans="1:22" x14ac:dyDescent="0.3">
      <c r="A1818" t="s">
        <v>2821</v>
      </c>
      <c r="B1818" s="1">
        <v>45822</v>
      </c>
      <c r="C1818" t="s">
        <v>1577</v>
      </c>
      <c r="D1818" t="s">
        <v>2171</v>
      </c>
      <c r="E1818" t="s">
        <v>120</v>
      </c>
      <c r="F1818" t="s">
        <v>121</v>
      </c>
      <c r="G1818" t="s">
        <v>130</v>
      </c>
      <c r="H1818" t="s">
        <v>43</v>
      </c>
      <c r="I1818" t="s">
        <v>44</v>
      </c>
      <c r="J1818" t="s">
        <v>45</v>
      </c>
      <c r="K1818">
        <v>1</v>
      </c>
      <c r="L1818">
        <v>256.61</v>
      </c>
      <c r="M1818">
        <v>0.05</v>
      </c>
      <c r="N1818">
        <v>243.78</v>
      </c>
      <c r="O1818">
        <v>96.82</v>
      </c>
      <c r="P1818">
        <v>146.96</v>
      </c>
      <c r="Q1818" t="s">
        <v>31</v>
      </c>
      <c r="R1818">
        <v>0.60283862498974483</v>
      </c>
      <c r="S1818">
        <v>2025</v>
      </c>
      <c r="T1818" t="s">
        <v>1244</v>
      </c>
      <c r="U1818">
        <v>6</v>
      </c>
      <c r="V1818" t="s">
        <v>878</v>
      </c>
    </row>
    <row r="1819" spans="1:22" x14ac:dyDescent="0.3">
      <c r="A1819" t="s">
        <v>2822</v>
      </c>
      <c r="B1819" s="1">
        <v>45822</v>
      </c>
      <c r="C1819" t="s">
        <v>1040</v>
      </c>
      <c r="D1819" t="s">
        <v>2294</v>
      </c>
      <c r="E1819" t="s">
        <v>25</v>
      </c>
      <c r="F1819" t="s">
        <v>26</v>
      </c>
      <c r="G1819" t="s">
        <v>171</v>
      </c>
      <c r="H1819" t="s">
        <v>84</v>
      </c>
      <c r="I1819" t="s">
        <v>138</v>
      </c>
      <c r="J1819" t="s">
        <v>139</v>
      </c>
      <c r="K1819">
        <v>2</v>
      </c>
      <c r="L1819">
        <v>12227.62</v>
      </c>
      <c r="M1819">
        <v>0</v>
      </c>
      <c r="N1819">
        <v>24455.24</v>
      </c>
      <c r="O1819">
        <v>18110.5</v>
      </c>
      <c r="P1819">
        <v>6344.74</v>
      </c>
      <c r="Q1819" t="s">
        <v>31</v>
      </c>
      <c r="R1819">
        <v>0.25944296600646732</v>
      </c>
      <c r="S1819">
        <v>2025</v>
      </c>
      <c r="T1819" t="s">
        <v>1244</v>
      </c>
      <c r="U1819">
        <v>6</v>
      </c>
      <c r="V1819" t="s">
        <v>878</v>
      </c>
    </row>
    <row r="1820" spans="1:22" x14ac:dyDescent="0.3">
      <c r="A1820" t="s">
        <v>2823</v>
      </c>
      <c r="B1820" s="1">
        <v>45823</v>
      </c>
      <c r="C1820" t="s">
        <v>1104</v>
      </c>
      <c r="D1820" t="s">
        <v>1304</v>
      </c>
      <c r="E1820" t="s">
        <v>120</v>
      </c>
      <c r="F1820" t="s">
        <v>121</v>
      </c>
      <c r="G1820" t="s">
        <v>224</v>
      </c>
      <c r="H1820" t="s">
        <v>84</v>
      </c>
      <c r="I1820" t="s">
        <v>85</v>
      </c>
      <c r="J1820" t="s">
        <v>145</v>
      </c>
      <c r="K1820">
        <v>1</v>
      </c>
      <c r="L1820">
        <v>3234.9</v>
      </c>
      <c r="M1820">
        <v>0.05</v>
      </c>
      <c r="N1820">
        <v>3073.15</v>
      </c>
      <c r="O1820">
        <v>1785.75</v>
      </c>
      <c r="P1820">
        <v>1287.4000000000001</v>
      </c>
      <c r="Q1820" t="s">
        <v>46</v>
      </c>
      <c r="R1820">
        <v>0.41891869905471579</v>
      </c>
      <c r="S1820">
        <v>2025</v>
      </c>
      <c r="T1820" t="s">
        <v>1244</v>
      </c>
      <c r="U1820">
        <v>6</v>
      </c>
      <c r="V1820" t="s">
        <v>878</v>
      </c>
    </row>
    <row r="1821" spans="1:22" x14ac:dyDescent="0.3">
      <c r="A1821" t="s">
        <v>2824</v>
      </c>
      <c r="B1821" s="1">
        <v>45823</v>
      </c>
      <c r="C1821" t="s">
        <v>920</v>
      </c>
      <c r="D1821" t="s">
        <v>77</v>
      </c>
      <c r="E1821" t="s">
        <v>41</v>
      </c>
      <c r="F1821" t="s">
        <v>42</v>
      </c>
      <c r="G1821" t="s">
        <v>42</v>
      </c>
      <c r="H1821" t="s">
        <v>28</v>
      </c>
      <c r="I1821" t="s">
        <v>73</v>
      </c>
      <c r="J1821" t="s">
        <v>74</v>
      </c>
      <c r="K1821">
        <v>2</v>
      </c>
      <c r="L1821">
        <v>2465.9699999999998</v>
      </c>
      <c r="M1821">
        <v>0.1</v>
      </c>
      <c r="N1821">
        <v>4438.75</v>
      </c>
      <c r="O1821">
        <v>2783.87</v>
      </c>
      <c r="P1821">
        <v>1654.88</v>
      </c>
      <c r="Q1821" t="s">
        <v>53</v>
      </c>
      <c r="R1821">
        <v>0.37282568290622359</v>
      </c>
      <c r="S1821">
        <v>2025</v>
      </c>
      <c r="T1821" t="s">
        <v>1244</v>
      </c>
      <c r="U1821">
        <v>6</v>
      </c>
      <c r="V1821" t="s">
        <v>878</v>
      </c>
    </row>
    <row r="1822" spans="1:22" x14ac:dyDescent="0.3">
      <c r="A1822" t="s">
        <v>2825</v>
      </c>
      <c r="B1822" s="1">
        <v>45824</v>
      </c>
      <c r="C1822" t="s">
        <v>359</v>
      </c>
      <c r="D1822" t="s">
        <v>2198</v>
      </c>
      <c r="E1822" t="s">
        <v>120</v>
      </c>
      <c r="F1822" t="s">
        <v>121</v>
      </c>
      <c r="G1822" t="s">
        <v>130</v>
      </c>
      <c r="H1822" t="s">
        <v>43</v>
      </c>
      <c r="I1822" t="s">
        <v>51</v>
      </c>
      <c r="J1822" t="s">
        <v>52</v>
      </c>
      <c r="K1822">
        <v>4</v>
      </c>
      <c r="L1822">
        <v>699.62</v>
      </c>
      <c r="M1822">
        <v>0.05</v>
      </c>
      <c r="N1822">
        <v>2658.56</v>
      </c>
      <c r="O1822">
        <v>1282.83</v>
      </c>
      <c r="P1822">
        <v>1375.73</v>
      </c>
      <c r="Q1822" t="s">
        <v>31</v>
      </c>
      <c r="R1822">
        <v>0.51747186446798266</v>
      </c>
      <c r="S1822">
        <v>2025</v>
      </c>
      <c r="T1822" t="s">
        <v>1244</v>
      </c>
      <c r="U1822">
        <v>6</v>
      </c>
      <c r="V1822" t="s">
        <v>878</v>
      </c>
    </row>
    <row r="1823" spans="1:22" x14ac:dyDescent="0.3">
      <c r="A1823" t="s">
        <v>2826</v>
      </c>
      <c r="B1823" s="1">
        <v>45824</v>
      </c>
      <c r="C1823" t="s">
        <v>2675</v>
      </c>
      <c r="D1823" t="s">
        <v>957</v>
      </c>
      <c r="E1823" t="s">
        <v>41</v>
      </c>
      <c r="F1823" t="s">
        <v>42</v>
      </c>
      <c r="G1823" t="s">
        <v>50</v>
      </c>
      <c r="H1823" t="s">
        <v>28</v>
      </c>
      <c r="I1823" t="s">
        <v>73</v>
      </c>
      <c r="J1823" t="s">
        <v>74</v>
      </c>
      <c r="K1823">
        <v>1</v>
      </c>
      <c r="L1823">
        <v>2567.8200000000002</v>
      </c>
      <c r="M1823">
        <v>0</v>
      </c>
      <c r="N1823">
        <v>2567.8200000000002</v>
      </c>
      <c r="O1823">
        <v>1463.02</v>
      </c>
      <c r="P1823">
        <v>1104.8</v>
      </c>
      <c r="Q1823" t="s">
        <v>53</v>
      </c>
      <c r="R1823">
        <v>0.43024822612176861</v>
      </c>
      <c r="S1823">
        <v>2025</v>
      </c>
      <c r="T1823" t="s">
        <v>1244</v>
      </c>
      <c r="U1823">
        <v>6</v>
      </c>
      <c r="V1823" t="s">
        <v>878</v>
      </c>
    </row>
    <row r="1824" spans="1:22" x14ac:dyDescent="0.3">
      <c r="A1824" t="s">
        <v>2827</v>
      </c>
      <c r="B1824" s="1">
        <v>45824</v>
      </c>
      <c r="C1824" t="s">
        <v>514</v>
      </c>
      <c r="D1824" t="s">
        <v>841</v>
      </c>
      <c r="E1824" t="s">
        <v>61</v>
      </c>
      <c r="F1824" t="s">
        <v>62</v>
      </c>
      <c r="G1824" t="s">
        <v>228</v>
      </c>
      <c r="H1824" t="s">
        <v>84</v>
      </c>
      <c r="I1824" t="s">
        <v>85</v>
      </c>
      <c r="J1824" t="s">
        <v>86</v>
      </c>
      <c r="K1824">
        <v>3</v>
      </c>
      <c r="L1824">
        <v>1890.83</v>
      </c>
      <c r="M1824">
        <v>0.1</v>
      </c>
      <c r="N1824">
        <v>5105.24</v>
      </c>
      <c r="O1824">
        <v>3183.28</v>
      </c>
      <c r="P1824">
        <v>1921.96</v>
      </c>
      <c r="Q1824" t="s">
        <v>31</v>
      </c>
      <c r="R1824">
        <v>0.37646809944292531</v>
      </c>
      <c r="S1824">
        <v>2025</v>
      </c>
      <c r="T1824" t="s">
        <v>1244</v>
      </c>
      <c r="U1824">
        <v>6</v>
      </c>
      <c r="V1824" t="s">
        <v>878</v>
      </c>
    </row>
    <row r="1825" spans="1:22" x14ac:dyDescent="0.3">
      <c r="A1825" t="s">
        <v>2828</v>
      </c>
      <c r="B1825" s="1">
        <v>45824</v>
      </c>
      <c r="C1825" t="s">
        <v>2829</v>
      </c>
      <c r="D1825" t="s">
        <v>1121</v>
      </c>
      <c r="E1825" t="s">
        <v>61</v>
      </c>
      <c r="F1825" t="s">
        <v>78</v>
      </c>
      <c r="G1825" t="s">
        <v>104</v>
      </c>
      <c r="H1825" t="s">
        <v>28</v>
      </c>
      <c r="I1825" t="s">
        <v>73</v>
      </c>
      <c r="J1825" t="s">
        <v>74</v>
      </c>
      <c r="K1825">
        <v>3</v>
      </c>
      <c r="L1825">
        <v>2471.5</v>
      </c>
      <c r="M1825">
        <v>0.1</v>
      </c>
      <c r="N1825">
        <v>6673.05</v>
      </c>
      <c r="O1825">
        <v>4170.7</v>
      </c>
      <c r="P1825">
        <v>2502.35</v>
      </c>
      <c r="Q1825" t="s">
        <v>67</v>
      </c>
      <c r="R1825">
        <v>0.37499344377758292</v>
      </c>
      <c r="S1825">
        <v>2025</v>
      </c>
      <c r="T1825" t="s">
        <v>1244</v>
      </c>
      <c r="U1825">
        <v>6</v>
      </c>
      <c r="V1825" t="s">
        <v>878</v>
      </c>
    </row>
    <row r="1826" spans="1:22" x14ac:dyDescent="0.3">
      <c r="A1826" t="s">
        <v>2830</v>
      </c>
      <c r="B1826" s="1">
        <v>45824</v>
      </c>
      <c r="C1826" t="s">
        <v>596</v>
      </c>
      <c r="D1826" t="s">
        <v>1521</v>
      </c>
      <c r="E1826" t="s">
        <v>61</v>
      </c>
      <c r="F1826" t="s">
        <v>71</v>
      </c>
      <c r="G1826" t="s">
        <v>72</v>
      </c>
      <c r="H1826" t="s">
        <v>84</v>
      </c>
      <c r="I1826" t="s">
        <v>85</v>
      </c>
      <c r="J1826" t="s">
        <v>145</v>
      </c>
      <c r="K1826">
        <v>4</v>
      </c>
      <c r="L1826">
        <v>3245.38</v>
      </c>
      <c r="M1826">
        <v>0</v>
      </c>
      <c r="N1826">
        <v>12981.52</v>
      </c>
      <c r="O1826">
        <v>7506.37</v>
      </c>
      <c r="P1826">
        <v>5475.15</v>
      </c>
      <c r="Q1826" t="s">
        <v>67</v>
      </c>
      <c r="R1826">
        <v>0.421764939698895</v>
      </c>
      <c r="S1826">
        <v>2025</v>
      </c>
      <c r="T1826" t="s">
        <v>1244</v>
      </c>
      <c r="U1826">
        <v>6</v>
      </c>
      <c r="V1826" t="s">
        <v>878</v>
      </c>
    </row>
    <row r="1827" spans="1:22" x14ac:dyDescent="0.3">
      <c r="A1827" t="s">
        <v>2831</v>
      </c>
      <c r="B1827" s="1">
        <v>45824</v>
      </c>
      <c r="C1827" t="s">
        <v>208</v>
      </c>
      <c r="D1827" t="s">
        <v>477</v>
      </c>
      <c r="E1827" t="s">
        <v>25</v>
      </c>
      <c r="F1827" t="s">
        <v>26</v>
      </c>
      <c r="G1827" t="s">
        <v>260</v>
      </c>
      <c r="H1827" t="s">
        <v>84</v>
      </c>
      <c r="I1827" t="s">
        <v>85</v>
      </c>
      <c r="J1827" t="s">
        <v>86</v>
      </c>
      <c r="K1827">
        <v>1</v>
      </c>
      <c r="L1827">
        <v>1736.74</v>
      </c>
      <c r="M1827">
        <v>0</v>
      </c>
      <c r="N1827">
        <v>1736.74</v>
      </c>
      <c r="O1827">
        <v>907.54</v>
      </c>
      <c r="P1827">
        <v>829.2</v>
      </c>
      <c r="Q1827" t="s">
        <v>67</v>
      </c>
      <c r="R1827">
        <v>0.47744624987044693</v>
      </c>
      <c r="S1827">
        <v>2025</v>
      </c>
      <c r="T1827" t="s">
        <v>1244</v>
      </c>
      <c r="U1827">
        <v>6</v>
      </c>
      <c r="V1827" t="s">
        <v>878</v>
      </c>
    </row>
    <row r="1828" spans="1:22" x14ac:dyDescent="0.3">
      <c r="A1828" t="s">
        <v>2832</v>
      </c>
      <c r="B1828" s="1">
        <v>45825</v>
      </c>
      <c r="C1828" t="s">
        <v>1365</v>
      </c>
      <c r="D1828" t="s">
        <v>688</v>
      </c>
      <c r="E1828" t="s">
        <v>25</v>
      </c>
      <c r="F1828" t="s">
        <v>26</v>
      </c>
      <c r="G1828" t="s">
        <v>171</v>
      </c>
      <c r="H1828" t="s">
        <v>84</v>
      </c>
      <c r="I1828" t="s">
        <v>138</v>
      </c>
      <c r="J1828" t="s">
        <v>220</v>
      </c>
      <c r="K1828">
        <v>3</v>
      </c>
      <c r="L1828">
        <v>7054.27</v>
      </c>
      <c r="M1828">
        <v>0.2</v>
      </c>
      <c r="N1828">
        <v>16930.25</v>
      </c>
      <c r="O1828">
        <v>13474.64</v>
      </c>
      <c r="P1828">
        <v>3455.61</v>
      </c>
      <c r="Q1828" t="s">
        <v>31</v>
      </c>
      <c r="R1828">
        <v>0.2041086221408426</v>
      </c>
      <c r="S1828">
        <v>2025</v>
      </c>
      <c r="T1828" t="s">
        <v>1244</v>
      </c>
      <c r="U1828">
        <v>6</v>
      </c>
      <c r="V1828" t="s">
        <v>878</v>
      </c>
    </row>
    <row r="1829" spans="1:22" x14ac:dyDescent="0.3">
      <c r="A1829" t="s">
        <v>2833</v>
      </c>
      <c r="B1829" s="1">
        <v>45825</v>
      </c>
      <c r="C1829" t="s">
        <v>1131</v>
      </c>
      <c r="D1829" t="s">
        <v>847</v>
      </c>
      <c r="E1829" t="s">
        <v>41</v>
      </c>
      <c r="F1829" t="s">
        <v>42</v>
      </c>
      <c r="G1829" t="s">
        <v>50</v>
      </c>
      <c r="H1829" t="s">
        <v>43</v>
      </c>
      <c r="I1829" t="s">
        <v>44</v>
      </c>
      <c r="J1829" t="s">
        <v>45</v>
      </c>
      <c r="K1829">
        <v>5</v>
      </c>
      <c r="L1829">
        <v>256.07</v>
      </c>
      <c r="M1829">
        <v>0.15</v>
      </c>
      <c r="N1829">
        <v>1088.3</v>
      </c>
      <c r="O1829">
        <v>486.06</v>
      </c>
      <c r="P1829">
        <v>602.24</v>
      </c>
      <c r="Q1829" t="s">
        <v>67</v>
      </c>
      <c r="R1829">
        <v>0.55337682624276396</v>
      </c>
      <c r="S1829">
        <v>2025</v>
      </c>
      <c r="T1829" t="s">
        <v>1244</v>
      </c>
      <c r="U1829">
        <v>6</v>
      </c>
      <c r="V1829" t="s">
        <v>878</v>
      </c>
    </row>
    <row r="1830" spans="1:22" x14ac:dyDescent="0.3">
      <c r="A1830" t="s">
        <v>2834</v>
      </c>
      <c r="B1830" s="1">
        <v>45825</v>
      </c>
      <c r="C1830" t="s">
        <v>509</v>
      </c>
      <c r="D1830" t="s">
        <v>285</v>
      </c>
      <c r="E1830" t="s">
        <v>61</v>
      </c>
      <c r="F1830" t="s">
        <v>78</v>
      </c>
      <c r="G1830" t="s">
        <v>216</v>
      </c>
      <c r="H1830" t="s">
        <v>84</v>
      </c>
      <c r="I1830" t="s">
        <v>138</v>
      </c>
      <c r="J1830" t="s">
        <v>139</v>
      </c>
      <c r="K1830">
        <v>1</v>
      </c>
      <c r="L1830">
        <v>13664.96</v>
      </c>
      <c r="M1830">
        <v>0.1</v>
      </c>
      <c r="N1830">
        <v>12298.46</v>
      </c>
      <c r="O1830">
        <v>9504.08</v>
      </c>
      <c r="P1830">
        <v>2794.38</v>
      </c>
      <c r="Q1830" t="s">
        <v>46</v>
      </c>
      <c r="R1830">
        <v>0.2272138137620483</v>
      </c>
      <c r="S1830">
        <v>2025</v>
      </c>
      <c r="T1830" t="s">
        <v>1244</v>
      </c>
      <c r="U1830">
        <v>6</v>
      </c>
      <c r="V1830" t="s">
        <v>878</v>
      </c>
    </row>
    <row r="1831" spans="1:22" x14ac:dyDescent="0.3">
      <c r="A1831" t="s">
        <v>2835</v>
      </c>
      <c r="B1831" s="1">
        <v>45825</v>
      </c>
      <c r="C1831" t="s">
        <v>2006</v>
      </c>
      <c r="D1831" t="s">
        <v>752</v>
      </c>
      <c r="E1831" t="s">
        <v>61</v>
      </c>
      <c r="F1831" t="s">
        <v>62</v>
      </c>
      <c r="G1831" t="s">
        <v>90</v>
      </c>
      <c r="H1831" t="s">
        <v>28</v>
      </c>
      <c r="I1831" t="s">
        <v>91</v>
      </c>
      <c r="J1831" t="s">
        <v>126</v>
      </c>
      <c r="K1831">
        <v>4</v>
      </c>
      <c r="L1831">
        <v>2014.94</v>
      </c>
      <c r="M1831">
        <v>0.1</v>
      </c>
      <c r="N1831">
        <v>7253.78</v>
      </c>
      <c r="O1831">
        <v>4802.1099999999997</v>
      </c>
      <c r="P1831">
        <v>2451.67</v>
      </c>
      <c r="Q1831" t="s">
        <v>53</v>
      </c>
      <c r="R1831">
        <v>0.33798516084027919</v>
      </c>
      <c r="S1831">
        <v>2025</v>
      </c>
      <c r="T1831" t="s">
        <v>1244</v>
      </c>
      <c r="U1831">
        <v>6</v>
      </c>
      <c r="V1831" t="s">
        <v>878</v>
      </c>
    </row>
    <row r="1832" spans="1:22" x14ac:dyDescent="0.3">
      <c r="A1832" t="s">
        <v>2836</v>
      </c>
      <c r="B1832" s="1">
        <v>45825</v>
      </c>
      <c r="C1832" t="s">
        <v>1757</v>
      </c>
      <c r="D1832" t="s">
        <v>1525</v>
      </c>
      <c r="E1832" t="s">
        <v>61</v>
      </c>
      <c r="F1832" t="s">
        <v>62</v>
      </c>
      <c r="G1832" t="s">
        <v>90</v>
      </c>
      <c r="H1832" t="s">
        <v>84</v>
      </c>
      <c r="I1832" t="s">
        <v>138</v>
      </c>
      <c r="J1832" t="s">
        <v>220</v>
      </c>
      <c r="K1832">
        <v>2</v>
      </c>
      <c r="L1832">
        <v>7935.28</v>
      </c>
      <c r="M1832">
        <v>0.05</v>
      </c>
      <c r="N1832">
        <v>15077.03</v>
      </c>
      <c r="O1832">
        <v>9996.5300000000007</v>
      </c>
      <c r="P1832">
        <v>5080.5</v>
      </c>
      <c r="Q1832" t="s">
        <v>31</v>
      </c>
      <c r="R1832">
        <v>0.33696954904248377</v>
      </c>
      <c r="S1832">
        <v>2025</v>
      </c>
      <c r="T1832" t="s">
        <v>1244</v>
      </c>
      <c r="U1832">
        <v>6</v>
      </c>
      <c r="V1832" t="s">
        <v>878</v>
      </c>
    </row>
    <row r="1833" spans="1:22" x14ac:dyDescent="0.3">
      <c r="A1833" t="s">
        <v>2837</v>
      </c>
      <c r="B1833" s="1">
        <v>45826</v>
      </c>
      <c r="C1833" t="s">
        <v>730</v>
      </c>
      <c r="D1833" t="s">
        <v>390</v>
      </c>
      <c r="E1833" t="s">
        <v>61</v>
      </c>
      <c r="F1833" t="s">
        <v>78</v>
      </c>
      <c r="G1833" t="s">
        <v>216</v>
      </c>
      <c r="H1833" t="s">
        <v>43</v>
      </c>
      <c r="I1833" t="s">
        <v>44</v>
      </c>
      <c r="J1833" t="s">
        <v>248</v>
      </c>
      <c r="K1833">
        <v>1</v>
      </c>
      <c r="L1833">
        <v>284.45999999999998</v>
      </c>
      <c r="M1833">
        <v>0</v>
      </c>
      <c r="N1833">
        <v>284.45999999999998</v>
      </c>
      <c r="O1833">
        <v>115.42</v>
      </c>
      <c r="P1833">
        <v>169.04</v>
      </c>
      <c r="Q1833" t="s">
        <v>67</v>
      </c>
      <c r="R1833">
        <v>0.59424875202137384</v>
      </c>
      <c r="S1833">
        <v>2025</v>
      </c>
      <c r="T1833" t="s">
        <v>1244</v>
      </c>
      <c r="U1833">
        <v>6</v>
      </c>
      <c r="V1833" t="s">
        <v>878</v>
      </c>
    </row>
    <row r="1834" spans="1:22" x14ac:dyDescent="0.3">
      <c r="A1834" t="s">
        <v>2838</v>
      </c>
      <c r="B1834" s="1">
        <v>45827</v>
      </c>
      <c r="C1834" t="s">
        <v>157</v>
      </c>
      <c r="D1834" t="s">
        <v>1345</v>
      </c>
      <c r="E1834" t="s">
        <v>61</v>
      </c>
      <c r="F1834" t="s">
        <v>78</v>
      </c>
      <c r="G1834" t="s">
        <v>79</v>
      </c>
      <c r="H1834" t="s">
        <v>84</v>
      </c>
      <c r="I1834" t="s">
        <v>85</v>
      </c>
      <c r="J1834" t="s">
        <v>86</v>
      </c>
      <c r="K1834">
        <v>2</v>
      </c>
      <c r="L1834">
        <v>1754.76</v>
      </c>
      <c r="M1834">
        <v>0.05</v>
      </c>
      <c r="N1834">
        <v>3334.04</v>
      </c>
      <c r="O1834">
        <v>1833.76</v>
      </c>
      <c r="P1834">
        <v>1500.28</v>
      </c>
      <c r="Q1834" t="s">
        <v>31</v>
      </c>
      <c r="R1834">
        <v>0.44998860241628769</v>
      </c>
      <c r="S1834">
        <v>2025</v>
      </c>
      <c r="T1834" t="s">
        <v>1244</v>
      </c>
      <c r="U1834">
        <v>6</v>
      </c>
      <c r="V1834" t="s">
        <v>878</v>
      </c>
    </row>
    <row r="1835" spans="1:22" x14ac:dyDescent="0.3">
      <c r="A1835" t="s">
        <v>2839</v>
      </c>
      <c r="B1835" s="1">
        <v>45828</v>
      </c>
      <c r="C1835" t="s">
        <v>1095</v>
      </c>
      <c r="D1835" t="s">
        <v>630</v>
      </c>
      <c r="E1835" t="s">
        <v>120</v>
      </c>
      <c r="F1835" t="s">
        <v>121</v>
      </c>
      <c r="G1835" t="s">
        <v>130</v>
      </c>
      <c r="H1835" t="s">
        <v>64</v>
      </c>
      <c r="I1835" t="s">
        <v>65</v>
      </c>
      <c r="J1835" t="s">
        <v>232</v>
      </c>
      <c r="K1835">
        <v>4</v>
      </c>
      <c r="L1835">
        <v>3989.63</v>
      </c>
      <c r="M1835">
        <v>0.15</v>
      </c>
      <c r="N1835">
        <v>13564.74</v>
      </c>
      <c r="O1835">
        <v>10444.49</v>
      </c>
      <c r="P1835">
        <v>3120.25</v>
      </c>
      <c r="Q1835" t="s">
        <v>31</v>
      </c>
      <c r="R1835">
        <v>0.23002652465141241</v>
      </c>
      <c r="S1835">
        <v>2025</v>
      </c>
      <c r="T1835" t="s">
        <v>1244</v>
      </c>
      <c r="U1835">
        <v>6</v>
      </c>
      <c r="V1835" t="s">
        <v>878</v>
      </c>
    </row>
    <row r="1836" spans="1:22" x14ac:dyDescent="0.3">
      <c r="A1836" t="s">
        <v>2840</v>
      </c>
      <c r="B1836" s="1">
        <v>45828</v>
      </c>
      <c r="C1836" t="s">
        <v>1743</v>
      </c>
      <c r="D1836" t="s">
        <v>507</v>
      </c>
      <c r="E1836" t="s">
        <v>120</v>
      </c>
      <c r="F1836" t="s">
        <v>121</v>
      </c>
      <c r="G1836" t="s">
        <v>122</v>
      </c>
      <c r="H1836" t="s">
        <v>64</v>
      </c>
      <c r="I1836" t="s">
        <v>65</v>
      </c>
      <c r="J1836" t="s">
        <v>232</v>
      </c>
      <c r="K1836">
        <v>2</v>
      </c>
      <c r="L1836">
        <v>4130.46</v>
      </c>
      <c r="M1836">
        <v>0.05</v>
      </c>
      <c r="N1836">
        <v>7847.87</v>
      </c>
      <c r="O1836">
        <v>5314.61</v>
      </c>
      <c r="P1836">
        <v>2533.2600000000002</v>
      </c>
      <c r="Q1836" t="s">
        <v>53</v>
      </c>
      <c r="R1836">
        <v>0.32279586690401352</v>
      </c>
      <c r="S1836">
        <v>2025</v>
      </c>
      <c r="T1836" t="s">
        <v>1244</v>
      </c>
      <c r="U1836">
        <v>6</v>
      </c>
      <c r="V1836" t="s">
        <v>878</v>
      </c>
    </row>
    <row r="1837" spans="1:22" x14ac:dyDescent="0.3">
      <c r="A1837" t="s">
        <v>2841</v>
      </c>
      <c r="B1837" s="1">
        <v>45828</v>
      </c>
      <c r="C1837" t="s">
        <v>728</v>
      </c>
      <c r="D1837" t="s">
        <v>731</v>
      </c>
      <c r="E1837" t="s">
        <v>61</v>
      </c>
      <c r="F1837" t="s">
        <v>78</v>
      </c>
      <c r="G1837" t="s">
        <v>216</v>
      </c>
      <c r="H1837" t="s">
        <v>28</v>
      </c>
      <c r="I1837" t="s">
        <v>29</v>
      </c>
      <c r="J1837" t="s">
        <v>30</v>
      </c>
      <c r="K1837">
        <v>5</v>
      </c>
      <c r="L1837">
        <v>61257.08</v>
      </c>
      <c r="M1837">
        <v>0.15</v>
      </c>
      <c r="N1837">
        <v>260342.59</v>
      </c>
      <c r="O1837">
        <v>274144.32</v>
      </c>
      <c r="P1837">
        <v>-13801.73</v>
      </c>
      <c r="Q1837" t="s">
        <v>46</v>
      </c>
      <c r="R1837">
        <v>-5.301372318682087E-2</v>
      </c>
      <c r="S1837">
        <v>2025</v>
      </c>
      <c r="T1837" t="s">
        <v>1244</v>
      </c>
      <c r="U1837">
        <v>6</v>
      </c>
      <c r="V1837" t="s">
        <v>878</v>
      </c>
    </row>
    <row r="1838" spans="1:22" x14ac:dyDescent="0.3">
      <c r="A1838" t="s">
        <v>2842</v>
      </c>
      <c r="B1838" s="1">
        <v>45828</v>
      </c>
      <c r="C1838" t="s">
        <v>1091</v>
      </c>
      <c r="D1838" t="s">
        <v>773</v>
      </c>
      <c r="E1838" t="s">
        <v>41</v>
      </c>
      <c r="F1838" t="s">
        <v>42</v>
      </c>
      <c r="G1838" t="s">
        <v>42</v>
      </c>
      <c r="H1838" t="s">
        <v>64</v>
      </c>
      <c r="I1838" t="s">
        <v>108</v>
      </c>
      <c r="J1838" t="s">
        <v>109</v>
      </c>
      <c r="K1838">
        <v>1</v>
      </c>
      <c r="L1838">
        <v>7196.56</v>
      </c>
      <c r="M1838">
        <v>0.1</v>
      </c>
      <c r="N1838">
        <v>6476.9</v>
      </c>
      <c r="O1838">
        <v>4464.83</v>
      </c>
      <c r="P1838">
        <v>2012.07</v>
      </c>
      <c r="Q1838" t="s">
        <v>46</v>
      </c>
      <c r="R1838">
        <v>0.31065324460775989</v>
      </c>
      <c r="S1838">
        <v>2025</v>
      </c>
      <c r="T1838" t="s">
        <v>1244</v>
      </c>
      <c r="U1838">
        <v>6</v>
      </c>
      <c r="V1838" t="s">
        <v>878</v>
      </c>
    </row>
    <row r="1839" spans="1:22" x14ac:dyDescent="0.3">
      <c r="A1839" t="s">
        <v>2843</v>
      </c>
      <c r="B1839" s="1">
        <v>45829</v>
      </c>
      <c r="C1839" t="s">
        <v>1713</v>
      </c>
      <c r="D1839" t="s">
        <v>657</v>
      </c>
      <c r="E1839" t="s">
        <v>61</v>
      </c>
      <c r="F1839" t="s">
        <v>71</v>
      </c>
      <c r="G1839" t="s">
        <v>201</v>
      </c>
      <c r="H1839" t="s">
        <v>28</v>
      </c>
      <c r="I1839" t="s">
        <v>73</v>
      </c>
      <c r="J1839" t="s">
        <v>80</v>
      </c>
      <c r="K1839">
        <v>3</v>
      </c>
      <c r="L1839">
        <v>768.68</v>
      </c>
      <c r="M1839">
        <v>0.15</v>
      </c>
      <c r="N1839">
        <v>1960.13</v>
      </c>
      <c r="O1839">
        <v>1372.65</v>
      </c>
      <c r="P1839">
        <v>587.48</v>
      </c>
      <c r="Q1839" t="s">
        <v>31</v>
      </c>
      <c r="R1839">
        <v>0.29971481483370999</v>
      </c>
      <c r="S1839">
        <v>2025</v>
      </c>
      <c r="T1839" t="s">
        <v>1244</v>
      </c>
      <c r="U1839">
        <v>6</v>
      </c>
      <c r="V1839" t="s">
        <v>878</v>
      </c>
    </row>
    <row r="1840" spans="1:22" x14ac:dyDescent="0.3">
      <c r="A1840" t="s">
        <v>2844</v>
      </c>
      <c r="B1840" s="1">
        <v>45829</v>
      </c>
      <c r="C1840" t="s">
        <v>2045</v>
      </c>
      <c r="D1840" t="s">
        <v>339</v>
      </c>
      <c r="E1840" t="s">
        <v>61</v>
      </c>
      <c r="F1840" t="s">
        <v>78</v>
      </c>
      <c r="G1840" t="s">
        <v>216</v>
      </c>
      <c r="H1840" t="s">
        <v>43</v>
      </c>
      <c r="I1840" t="s">
        <v>51</v>
      </c>
      <c r="J1840" t="s">
        <v>52</v>
      </c>
      <c r="K1840">
        <v>4</v>
      </c>
      <c r="L1840">
        <v>702.01</v>
      </c>
      <c r="M1840">
        <v>0.05</v>
      </c>
      <c r="N1840">
        <v>2667.64</v>
      </c>
      <c r="O1840">
        <v>1292.33</v>
      </c>
      <c r="P1840">
        <v>1375.31</v>
      </c>
      <c r="Q1840" t="s">
        <v>46</v>
      </c>
      <c r="R1840">
        <v>0.51555307312830823</v>
      </c>
      <c r="S1840">
        <v>2025</v>
      </c>
      <c r="T1840" t="s">
        <v>1244</v>
      </c>
      <c r="U1840">
        <v>6</v>
      </c>
      <c r="V1840" t="s">
        <v>878</v>
      </c>
    </row>
    <row r="1841" spans="1:22" x14ac:dyDescent="0.3">
      <c r="A1841" t="s">
        <v>2845</v>
      </c>
      <c r="B1841" s="1">
        <v>45829</v>
      </c>
      <c r="C1841" t="s">
        <v>2846</v>
      </c>
      <c r="D1841" t="s">
        <v>1200</v>
      </c>
      <c r="E1841" t="s">
        <v>41</v>
      </c>
      <c r="F1841" t="s">
        <v>42</v>
      </c>
      <c r="G1841" t="s">
        <v>50</v>
      </c>
      <c r="H1841" t="s">
        <v>64</v>
      </c>
      <c r="I1841" t="s">
        <v>108</v>
      </c>
      <c r="J1841" t="s">
        <v>155</v>
      </c>
      <c r="K1841">
        <v>1</v>
      </c>
      <c r="L1841">
        <v>8199.25</v>
      </c>
      <c r="M1841">
        <v>0.15</v>
      </c>
      <c r="N1841">
        <v>6969.36</v>
      </c>
      <c r="O1841">
        <v>5503.69</v>
      </c>
      <c r="P1841">
        <v>1465.67</v>
      </c>
      <c r="Q1841" t="s">
        <v>31</v>
      </c>
      <c r="R1841">
        <v>0.21030195025081211</v>
      </c>
      <c r="S1841">
        <v>2025</v>
      </c>
      <c r="T1841" t="s">
        <v>1244</v>
      </c>
      <c r="U1841">
        <v>6</v>
      </c>
      <c r="V1841" t="s">
        <v>878</v>
      </c>
    </row>
    <row r="1842" spans="1:22" x14ac:dyDescent="0.3">
      <c r="A1842" t="s">
        <v>2847</v>
      </c>
      <c r="B1842" s="1">
        <v>45830</v>
      </c>
      <c r="C1842" t="s">
        <v>222</v>
      </c>
      <c r="D1842" t="s">
        <v>1795</v>
      </c>
      <c r="E1842" t="s">
        <v>61</v>
      </c>
      <c r="F1842" t="s">
        <v>62</v>
      </c>
      <c r="G1842" t="s">
        <v>228</v>
      </c>
      <c r="H1842" t="s">
        <v>43</v>
      </c>
      <c r="I1842" t="s">
        <v>51</v>
      </c>
      <c r="J1842" t="s">
        <v>96</v>
      </c>
      <c r="K1842">
        <v>1</v>
      </c>
      <c r="L1842">
        <v>481.11</v>
      </c>
      <c r="M1842">
        <v>0.1</v>
      </c>
      <c r="N1842">
        <v>433</v>
      </c>
      <c r="O1842">
        <v>214.49</v>
      </c>
      <c r="P1842">
        <v>218.51</v>
      </c>
      <c r="Q1842" t="s">
        <v>46</v>
      </c>
      <c r="R1842">
        <v>0.50464203233256344</v>
      </c>
      <c r="S1842">
        <v>2025</v>
      </c>
      <c r="T1842" t="s">
        <v>1244</v>
      </c>
      <c r="U1842">
        <v>6</v>
      </c>
      <c r="V1842" t="s">
        <v>878</v>
      </c>
    </row>
    <row r="1843" spans="1:22" x14ac:dyDescent="0.3">
      <c r="A1843" t="s">
        <v>2848</v>
      </c>
      <c r="B1843" s="1">
        <v>45831</v>
      </c>
      <c r="C1843" t="s">
        <v>1272</v>
      </c>
      <c r="D1843" t="s">
        <v>256</v>
      </c>
      <c r="E1843" t="s">
        <v>120</v>
      </c>
      <c r="F1843" t="s">
        <v>121</v>
      </c>
      <c r="G1843" t="s">
        <v>224</v>
      </c>
      <c r="H1843" t="s">
        <v>28</v>
      </c>
      <c r="I1843" t="s">
        <v>29</v>
      </c>
      <c r="J1843" t="s">
        <v>57</v>
      </c>
      <c r="K1843">
        <v>2</v>
      </c>
      <c r="L1843">
        <v>16179.14</v>
      </c>
      <c r="M1843">
        <v>0.15</v>
      </c>
      <c r="N1843">
        <v>27504.54</v>
      </c>
      <c r="O1843">
        <v>23542.639999999999</v>
      </c>
      <c r="P1843">
        <v>3961.9</v>
      </c>
      <c r="Q1843" t="s">
        <v>31</v>
      </c>
      <c r="R1843">
        <v>0.14404531033785689</v>
      </c>
      <c r="S1843">
        <v>2025</v>
      </c>
      <c r="T1843" t="s">
        <v>1244</v>
      </c>
      <c r="U1843">
        <v>6</v>
      </c>
      <c r="V1843" t="s">
        <v>878</v>
      </c>
    </row>
    <row r="1844" spans="1:22" x14ac:dyDescent="0.3">
      <c r="A1844" t="s">
        <v>2849</v>
      </c>
      <c r="B1844" s="1">
        <v>45831</v>
      </c>
      <c r="C1844" t="s">
        <v>473</v>
      </c>
      <c r="D1844" t="s">
        <v>1415</v>
      </c>
      <c r="E1844" t="s">
        <v>120</v>
      </c>
      <c r="F1844" t="s">
        <v>121</v>
      </c>
      <c r="G1844" t="s">
        <v>122</v>
      </c>
      <c r="H1844" t="s">
        <v>28</v>
      </c>
      <c r="I1844" t="s">
        <v>91</v>
      </c>
      <c r="J1844" t="s">
        <v>92</v>
      </c>
      <c r="K1844">
        <v>3</v>
      </c>
      <c r="L1844">
        <v>3037.12</v>
      </c>
      <c r="M1844">
        <v>0.15</v>
      </c>
      <c r="N1844">
        <v>7744.66</v>
      </c>
      <c r="O1844">
        <v>4722.8100000000004</v>
      </c>
      <c r="P1844">
        <v>3021.85</v>
      </c>
      <c r="Q1844" t="s">
        <v>31</v>
      </c>
      <c r="R1844">
        <v>0.39018497906944921</v>
      </c>
      <c r="S1844">
        <v>2025</v>
      </c>
      <c r="T1844" t="s">
        <v>1244</v>
      </c>
      <c r="U1844">
        <v>6</v>
      </c>
      <c r="V1844" t="s">
        <v>878</v>
      </c>
    </row>
    <row r="1845" spans="1:22" x14ac:dyDescent="0.3">
      <c r="A1845" t="s">
        <v>2850</v>
      </c>
      <c r="B1845" s="1">
        <v>45831</v>
      </c>
      <c r="C1845" t="s">
        <v>1161</v>
      </c>
      <c r="D1845" t="s">
        <v>652</v>
      </c>
      <c r="E1845" t="s">
        <v>25</v>
      </c>
      <c r="F1845" t="s">
        <v>26</v>
      </c>
      <c r="G1845" t="s">
        <v>260</v>
      </c>
      <c r="H1845" t="s">
        <v>28</v>
      </c>
      <c r="I1845" t="s">
        <v>91</v>
      </c>
      <c r="J1845" t="s">
        <v>126</v>
      </c>
      <c r="K1845">
        <v>2</v>
      </c>
      <c r="L1845">
        <v>2022.04</v>
      </c>
      <c r="M1845">
        <v>0.2</v>
      </c>
      <c r="N1845">
        <v>3235.26</v>
      </c>
      <c r="O1845">
        <v>2426.8200000000002</v>
      </c>
      <c r="P1845">
        <v>808.44</v>
      </c>
      <c r="Q1845" t="s">
        <v>46</v>
      </c>
      <c r="R1845">
        <v>0.24988408968676401</v>
      </c>
      <c r="S1845">
        <v>2025</v>
      </c>
      <c r="T1845" t="s">
        <v>1244</v>
      </c>
      <c r="U1845">
        <v>6</v>
      </c>
      <c r="V1845" t="s">
        <v>878</v>
      </c>
    </row>
    <row r="1846" spans="1:22" x14ac:dyDescent="0.3">
      <c r="A1846" t="s">
        <v>2851</v>
      </c>
      <c r="B1846" s="1">
        <v>45831</v>
      </c>
      <c r="C1846" t="s">
        <v>1243</v>
      </c>
      <c r="D1846" t="s">
        <v>1207</v>
      </c>
      <c r="E1846" t="s">
        <v>61</v>
      </c>
      <c r="F1846" t="s">
        <v>71</v>
      </c>
      <c r="G1846" t="s">
        <v>72</v>
      </c>
      <c r="H1846" t="s">
        <v>28</v>
      </c>
      <c r="I1846" t="s">
        <v>91</v>
      </c>
      <c r="J1846" t="s">
        <v>92</v>
      </c>
      <c r="K1846">
        <v>1</v>
      </c>
      <c r="L1846">
        <v>2931.06</v>
      </c>
      <c r="M1846">
        <v>0</v>
      </c>
      <c r="N1846">
        <v>2931.06</v>
      </c>
      <c r="O1846">
        <v>1464.71</v>
      </c>
      <c r="P1846">
        <v>1466.35</v>
      </c>
      <c r="Q1846" t="s">
        <v>46</v>
      </c>
      <c r="R1846">
        <v>0.50027976227030491</v>
      </c>
      <c r="S1846">
        <v>2025</v>
      </c>
      <c r="T1846" t="s">
        <v>1244</v>
      </c>
      <c r="U1846">
        <v>6</v>
      </c>
      <c r="V1846" t="s">
        <v>878</v>
      </c>
    </row>
    <row r="1847" spans="1:22" x14ac:dyDescent="0.3">
      <c r="A1847" t="s">
        <v>2852</v>
      </c>
      <c r="B1847" s="1">
        <v>45831</v>
      </c>
      <c r="C1847" t="s">
        <v>1906</v>
      </c>
      <c r="D1847" t="s">
        <v>737</v>
      </c>
      <c r="E1847" t="s">
        <v>25</v>
      </c>
      <c r="F1847" t="s">
        <v>26</v>
      </c>
      <c r="G1847" t="s">
        <v>27</v>
      </c>
      <c r="H1847" t="s">
        <v>64</v>
      </c>
      <c r="I1847" t="s">
        <v>65</v>
      </c>
      <c r="J1847" t="s">
        <v>232</v>
      </c>
      <c r="K1847">
        <v>2</v>
      </c>
      <c r="L1847">
        <v>3970.45</v>
      </c>
      <c r="M1847">
        <v>0</v>
      </c>
      <c r="N1847">
        <v>7940.9</v>
      </c>
      <c r="O1847">
        <v>5005.84</v>
      </c>
      <c r="P1847">
        <v>2935.06</v>
      </c>
      <c r="Q1847" t="s">
        <v>67</v>
      </c>
      <c r="R1847">
        <v>0.36961301615685882</v>
      </c>
      <c r="S1847">
        <v>2025</v>
      </c>
      <c r="T1847" t="s">
        <v>1244</v>
      </c>
      <c r="U1847">
        <v>6</v>
      </c>
      <c r="V1847" t="s">
        <v>878</v>
      </c>
    </row>
    <row r="1848" spans="1:22" x14ac:dyDescent="0.3">
      <c r="A1848" t="s">
        <v>2853</v>
      </c>
      <c r="B1848" s="1">
        <v>45832</v>
      </c>
      <c r="C1848" t="s">
        <v>922</v>
      </c>
      <c r="D1848" t="s">
        <v>594</v>
      </c>
      <c r="E1848" t="s">
        <v>61</v>
      </c>
      <c r="F1848" t="s">
        <v>71</v>
      </c>
      <c r="G1848" t="s">
        <v>100</v>
      </c>
      <c r="H1848" t="s">
        <v>43</v>
      </c>
      <c r="I1848" t="s">
        <v>44</v>
      </c>
      <c r="J1848" t="s">
        <v>45</v>
      </c>
      <c r="K1848">
        <v>4</v>
      </c>
      <c r="L1848">
        <v>247.49</v>
      </c>
      <c r="M1848">
        <v>0.1</v>
      </c>
      <c r="N1848">
        <v>890.96</v>
      </c>
      <c r="O1848">
        <v>372.98</v>
      </c>
      <c r="P1848">
        <v>517.98</v>
      </c>
      <c r="Q1848" t="s">
        <v>31</v>
      </c>
      <c r="R1848">
        <v>0.58137290114034301</v>
      </c>
      <c r="S1848">
        <v>2025</v>
      </c>
      <c r="T1848" t="s">
        <v>1244</v>
      </c>
      <c r="U1848">
        <v>6</v>
      </c>
      <c r="V1848" t="s">
        <v>878</v>
      </c>
    </row>
    <row r="1849" spans="1:22" x14ac:dyDescent="0.3">
      <c r="A1849" t="s">
        <v>2854</v>
      </c>
      <c r="B1849" s="1">
        <v>45832</v>
      </c>
      <c r="C1849" t="s">
        <v>2260</v>
      </c>
      <c r="D1849" t="s">
        <v>789</v>
      </c>
      <c r="E1849" t="s">
        <v>61</v>
      </c>
      <c r="F1849" t="s">
        <v>78</v>
      </c>
      <c r="G1849" t="s">
        <v>104</v>
      </c>
      <c r="H1849" t="s">
        <v>43</v>
      </c>
      <c r="I1849" t="s">
        <v>51</v>
      </c>
      <c r="J1849" t="s">
        <v>52</v>
      </c>
      <c r="K1849">
        <v>1</v>
      </c>
      <c r="L1849">
        <v>663.65</v>
      </c>
      <c r="M1849">
        <v>0.15</v>
      </c>
      <c r="N1849">
        <v>564.1</v>
      </c>
      <c r="O1849">
        <v>311.93</v>
      </c>
      <c r="P1849">
        <v>252.17</v>
      </c>
      <c r="Q1849" t="s">
        <v>53</v>
      </c>
      <c r="R1849">
        <v>0.44703066832121963</v>
      </c>
      <c r="S1849">
        <v>2025</v>
      </c>
      <c r="T1849" t="s">
        <v>1244</v>
      </c>
      <c r="U1849">
        <v>6</v>
      </c>
      <c r="V1849" t="s">
        <v>878</v>
      </c>
    </row>
    <row r="1850" spans="1:22" x14ac:dyDescent="0.3">
      <c r="A1850" t="s">
        <v>2855</v>
      </c>
      <c r="B1850" s="1">
        <v>45832</v>
      </c>
      <c r="C1850" t="s">
        <v>1598</v>
      </c>
      <c r="D1850" t="s">
        <v>1525</v>
      </c>
      <c r="E1850" t="s">
        <v>120</v>
      </c>
      <c r="F1850" t="s">
        <v>121</v>
      </c>
      <c r="G1850" t="s">
        <v>122</v>
      </c>
      <c r="H1850" t="s">
        <v>28</v>
      </c>
      <c r="I1850" t="s">
        <v>91</v>
      </c>
      <c r="J1850" t="s">
        <v>126</v>
      </c>
      <c r="K1850">
        <v>3</v>
      </c>
      <c r="L1850">
        <v>2012.43</v>
      </c>
      <c r="M1850">
        <v>0.05</v>
      </c>
      <c r="N1850">
        <v>5735.43</v>
      </c>
      <c r="O1850">
        <v>3601.16</v>
      </c>
      <c r="P1850">
        <v>2134.27</v>
      </c>
      <c r="Q1850" t="s">
        <v>67</v>
      </c>
      <c r="R1850">
        <v>0.37212031181620209</v>
      </c>
      <c r="S1850">
        <v>2025</v>
      </c>
      <c r="T1850" t="s">
        <v>1244</v>
      </c>
      <c r="U1850">
        <v>6</v>
      </c>
      <c r="V1850" t="s">
        <v>878</v>
      </c>
    </row>
    <row r="1851" spans="1:22" x14ac:dyDescent="0.3">
      <c r="A1851" t="s">
        <v>2856</v>
      </c>
      <c r="B1851" s="1">
        <v>45833</v>
      </c>
      <c r="C1851" t="s">
        <v>526</v>
      </c>
      <c r="D1851" t="s">
        <v>468</v>
      </c>
      <c r="E1851" t="s">
        <v>61</v>
      </c>
      <c r="F1851" t="s">
        <v>62</v>
      </c>
      <c r="G1851" t="s">
        <v>63</v>
      </c>
      <c r="H1851" t="s">
        <v>64</v>
      </c>
      <c r="I1851" t="s">
        <v>108</v>
      </c>
      <c r="J1851" t="s">
        <v>155</v>
      </c>
      <c r="K1851">
        <v>2</v>
      </c>
      <c r="L1851">
        <v>8263.23</v>
      </c>
      <c r="M1851">
        <v>0.15</v>
      </c>
      <c r="N1851">
        <v>14047.49</v>
      </c>
      <c r="O1851">
        <v>10851.28</v>
      </c>
      <c r="P1851">
        <v>3196.21</v>
      </c>
      <c r="Q1851" t="s">
        <v>31</v>
      </c>
      <c r="R1851">
        <v>0.22752890374009879</v>
      </c>
      <c r="S1851">
        <v>2025</v>
      </c>
      <c r="T1851" t="s">
        <v>1244</v>
      </c>
      <c r="U1851">
        <v>6</v>
      </c>
      <c r="V1851" t="s">
        <v>878</v>
      </c>
    </row>
    <row r="1852" spans="1:22" x14ac:dyDescent="0.3">
      <c r="A1852" t="s">
        <v>2857</v>
      </c>
      <c r="B1852" s="1">
        <v>45833</v>
      </c>
      <c r="C1852" t="s">
        <v>2858</v>
      </c>
      <c r="D1852" t="s">
        <v>238</v>
      </c>
      <c r="E1852" t="s">
        <v>41</v>
      </c>
      <c r="F1852" t="s">
        <v>42</v>
      </c>
      <c r="G1852" t="s">
        <v>42</v>
      </c>
      <c r="H1852" t="s">
        <v>28</v>
      </c>
      <c r="I1852" t="s">
        <v>29</v>
      </c>
      <c r="J1852" t="s">
        <v>30</v>
      </c>
      <c r="K1852">
        <v>2</v>
      </c>
      <c r="L1852">
        <v>61990.51</v>
      </c>
      <c r="M1852">
        <v>0.05</v>
      </c>
      <c r="N1852">
        <v>117781.97</v>
      </c>
      <c r="O1852">
        <v>109682.85</v>
      </c>
      <c r="P1852">
        <v>8099.12</v>
      </c>
      <c r="Q1852" t="s">
        <v>31</v>
      </c>
      <c r="R1852">
        <v>6.8763665610279745E-2</v>
      </c>
      <c r="S1852">
        <v>2025</v>
      </c>
      <c r="T1852" t="s">
        <v>1244</v>
      </c>
      <c r="U1852">
        <v>6</v>
      </c>
      <c r="V1852" t="s">
        <v>878</v>
      </c>
    </row>
    <row r="1853" spans="1:22" x14ac:dyDescent="0.3">
      <c r="A1853" t="s">
        <v>2859</v>
      </c>
      <c r="B1853" s="1">
        <v>45833</v>
      </c>
      <c r="C1853" t="s">
        <v>1813</v>
      </c>
      <c r="D1853" t="s">
        <v>649</v>
      </c>
      <c r="E1853" t="s">
        <v>120</v>
      </c>
      <c r="F1853" t="s">
        <v>121</v>
      </c>
      <c r="G1853" t="s">
        <v>130</v>
      </c>
      <c r="H1853" t="s">
        <v>28</v>
      </c>
      <c r="I1853" t="s">
        <v>91</v>
      </c>
      <c r="J1853" t="s">
        <v>92</v>
      </c>
      <c r="K1853">
        <v>2</v>
      </c>
      <c r="L1853">
        <v>3105.88</v>
      </c>
      <c r="M1853">
        <v>0.05</v>
      </c>
      <c r="N1853">
        <v>5901.17</v>
      </c>
      <c r="O1853">
        <v>3111.77</v>
      </c>
      <c r="P1853">
        <v>2789.4</v>
      </c>
      <c r="Q1853" t="s">
        <v>67</v>
      </c>
      <c r="R1853">
        <v>0.47268592499453499</v>
      </c>
      <c r="S1853">
        <v>2025</v>
      </c>
      <c r="T1853" t="s">
        <v>1244</v>
      </c>
      <c r="U1853">
        <v>6</v>
      </c>
      <c r="V1853" t="s">
        <v>878</v>
      </c>
    </row>
    <row r="1854" spans="1:22" x14ac:dyDescent="0.3">
      <c r="A1854" t="s">
        <v>2860</v>
      </c>
      <c r="B1854" s="1">
        <v>45835</v>
      </c>
      <c r="C1854" t="s">
        <v>2122</v>
      </c>
      <c r="D1854" t="s">
        <v>1108</v>
      </c>
      <c r="E1854" t="s">
        <v>25</v>
      </c>
      <c r="F1854" t="s">
        <v>26</v>
      </c>
      <c r="G1854" t="s">
        <v>27</v>
      </c>
      <c r="H1854" t="s">
        <v>84</v>
      </c>
      <c r="I1854" t="s">
        <v>85</v>
      </c>
      <c r="J1854" t="s">
        <v>86</v>
      </c>
      <c r="K1854">
        <v>3</v>
      </c>
      <c r="L1854">
        <v>1822.03</v>
      </c>
      <c r="M1854">
        <v>0.05</v>
      </c>
      <c r="N1854">
        <v>5192.79</v>
      </c>
      <c r="O1854">
        <v>2920.85</v>
      </c>
      <c r="P1854">
        <v>2271.94</v>
      </c>
      <c r="Q1854" t="s">
        <v>53</v>
      </c>
      <c r="R1854">
        <v>0.4375181742377412</v>
      </c>
      <c r="S1854">
        <v>2025</v>
      </c>
      <c r="T1854" t="s">
        <v>1244</v>
      </c>
      <c r="U1854">
        <v>6</v>
      </c>
      <c r="V1854" t="s">
        <v>878</v>
      </c>
    </row>
    <row r="1855" spans="1:22" x14ac:dyDescent="0.3">
      <c r="A1855" t="s">
        <v>2861</v>
      </c>
      <c r="B1855" s="1">
        <v>45835</v>
      </c>
      <c r="C1855" t="s">
        <v>539</v>
      </c>
      <c r="D1855" t="s">
        <v>820</v>
      </c>
      <c r="E1855" t="s">
        <v>61</v>
      </c>
      <c r="F1855" t="s">
        <v>71</v>
      </c>
      <c r="G1855" t="s">
        <v>100</v>
      </c>
      <c r="H1855" t="s">
        <v>84</v>
      </c>
      <c r="I1855" t="s">
        <v>85</v>
      </c>
      <c r="J1855" t="s">
        <v>86</v>
      </c>
      <c r="K1855">
        <v>4</v>
      </c>
      <c r="L1855">
        <v>1739.58</v>
      </c>
      <c r="M1855">
        <v>0.1</v>
      </c>
      <c r="N1855">
        <v>6262.49</v>
      </c>
      <c r="O1855">
        <v>3715.68</v>
      </c>
      <c r="P1855">
        <v>2546.81</v>
      </c>
      <c r="Q1855" t="s">
        <v>46</v>
      </c>
      <c r="R1855">
        <v>0.40667689688925651</v>
      </c>
      <c r="S1855">
        <v>2025</v>
      </c>
      <c r="T1855" t="s">
        <v>1244</v>
      </c>
      <c r="U1855">
        <v>6</v>
      </c>
      <c r="V1855" t="s">
        <v>878</v>
      </c>
    </row>
    <row r="1856" spans="1:22" x14ac:dyDescent="0.3">
      <c r="A1856" t="s">
        <v>2862</v>
      </c>
      <c r="B1856" s="1">
        <v>45835</v>
      </c>
      <c r="C1856" t="s">
        <v>178</v>
      </c>
      <c r="D1856" t="s">
        <v>170</v>
      </c>
      <c r="E1856" t="s">
        <v>61</v>
      </c>
      <c r="F1856" t="s">
        <v>71</v>
      </c>
      <c r="G1856" t="s">
        <v>317</v>
      </c>
      <c r="H1856" t="s">
        <v>43</v>
      </c>
      <c r="I1856" t="s">
        <v>51</v>
      </c>
      <c r="J1856" t="s">
        <v>52</v>
      </c>
      <c r="K1856">
        <v>4</v>
      </c>
      <c r="L1856">
        <v>710.1</v>
      </c>
      <c r="M1856">
        <v>0.1</v>
      </c>
      <c r="N1856">
        <v>2556.36</v>
      </c>
      <c r="O1856">
        <v>1307.1300000000001</v>
      </c>
      <c r="P1856">
        <v>1249.23</v>
      </c>
      <c r="Q1856" t="s">
        <v>46</v>
      </c>
      <c r="R1856">
        <v>0.48867530394780079</v>
      </c>
      <c r="S1856">
        <v>2025</v>
      </c>
      <c r="T1856" t="s">
        <v>1244</v>
      </c>
      <c r="U1856">
        <v>6</v>
      </c>
      <c r="V1856" t="s">
        <v>878</v>
      </c>
    </row>
    <row r="1857" spans="1:22" x14ac:dyDescent="0.3">
      <c r="A1857" t="s">
        <v>2863</v>
      </c>
      <c r="B1857" s="1">
        <v>45835</v>
      </c>
      <c r="C1857" t="s">
        <v>1468</v>
      </c>
      <c r="D1857" t="s">
        <v>244</v>
      </c>
      <c r="E1857" t="s">
        <v>61</v>
      </c>
      <c r="F1857" t="s">
        <v>78</v>
      </c>
      <c r="G1857" t="s">
        <v>216</v>
      </c>
      <c r="H1857" t="s">
        <v>84</v>
      </c>
      <c r="I1857" t="s">
        <v>85</v>
      </c>
      <c r="J1857" t="s">
        <v>145</v>
      </c>
      <c r="K1857">
        <v>6</v>
      </c>
      <c r="L1857">
        <v>3411.51</v>
      </c>
      <c r="M1857">
        <v>0.2</v>
      </c>
      <c r="N1857">
        <v>16375.25</v>
      </c>
      <c r="O1857">
        <v>11352.05</v>
      </c>
      <c r="P1857">
        <v>5023.2</v>
      </c>
      <c r="Q1857" t="s">
        <v>31</v>
      </c>
      <c r="R1857">
        <v>0.3067556220515717</v>
      </c>
      <c r="S1857">
        <v>2025</v>
      </c>
      <c r="T1857" t="s">
        <v>1244</v>
      </c>
      <c r="U1857">
        <v>6</v>
      </c>
      <c r="V1857" t="s">
        <v>878</v>
      </c>
    </row>
    <row r="1858" spans="1:22" x14ac:dyDescent="0.3">
      <c r="A1858" t="s">
        <v>2864</v>
      </c>
      <c r="B1858" s="1">
        <v>45836</v>
      </c>
      <c r="C1858" t="s">
        <v>115</v>
      </c>
      <c r="D1858" t="s">
        <v>125</v>
      </c>
      <c r="E1858" t="s">
        <v>120</v>
      </c>
      <c r="F1858" t="s">
        <v>121</v>
      </c>
      <c r="G1858" t="s">
        <v>224</v>
      </c>
      <c r="H1858" t="s">
        <v>43</v>
      </c>
      <c r="I1858" t="s">
        <v>51</v>
      </c>
      <c r="J1858" t="s">
        <v>52</v>
      </c>
      <c r="K1858">
        <v>1</v>
      </c>
      <c r="L1858">
        <v>711.17</v>
      </c>
      <c r="M1858">
        <v>0.05</v>
      </c>
      <c r="N1858">
        <v>675.61</v>
      </c>
      <c r="O1858">
        <v>327.58999999999997</v>
      </c>
      <c r="P1858">
        <v>348.02</v>
      </c>
      <c r="Q1858" t="s">
        <v>31</v>
      </c>
      <c r="R1858">
        <v>0.51511966963188816</v>
      </c>
      <c r="S1858">
        <v>2025</v>
      </c>
      <c r="T1858" t="s">
        <v>1244</v>
      </c>
      <c r="U1858">
        <v>6</v>
      </c>
      <c r="V1858" t="s">
        <v>878</v>
      </c>
    </row>
    <row r="1859" spans="1:22" x14ac:dyDescent="0.3">
      <c r="A1859" t="s">
        <v>2865</v>
      </c>
      <c r="B1859" s="1">
        <v>45836</v>
      </c>
      <c r="C1859" t="s">
        <v>428</v>
      </c>
      <c r="D1859" t="s">
        <v>981</v>
      </c>
      <c r="E1859" t="s">
        <v>61</v>
      </c>
      <c r="F1859" t="s">
        <v>62</v>
      </c>
      <c r="G1859" t="s">
        <v>134</v>
      </c>
      <c r="H1859" t="s">
        <v>64</v>
      </c>
      <c r="I1859" t="s">
        <v>108</v>
      </c>
      <c r="J1859" t="s">
        <v>109</v>
      </c>
      <c r="K1859">
        <v>2</v>
      </c>
      <c r="L1859">
        <v>6910.33</v>
      </c>
      <c r="M1859">
        <v>0.15</v>
      </c>
      <c r="N1859">
        <v>11747.56</v>
      </c>
      <c r="O1859">
        <v>8891.5499999999993</v>
      </c>
      <c r="P1859">
        <v>2856.01</v>
      </c>
      <c r="Q1859" t="s">
        <v>113</v>
      </c>
      <c r="R1859">
        <v>0.2431151660429911</v>
      </c>
      <c r="S1859">
        <v>2025</v>
      </c>
      <c r="T1859" t="s">
        <v>1244</v>
      </c>
      <c r="U1859">
        <v>6</v>
      </c>
      <c r="V1859" t="s">
        <v>878</v>
      </c>
    </row>
    <row r="1860" spans="1:22" x14ac:dyDescent="0.3">
      <c r="A1860" t="s">
        <v>2866</v>
      </c>
      <c r="B1860" s="1">
        <v>45836</v>
      </c>
      <c r="C1860" t="s">
        <v>2456</v>
      </c>
      <c r="D1860" t="s">
        <v>268</v>
      </c>
      <c r="E1860" t="s">
        <v>61</v>
      </c>
      <c r="F1860" t="s">
        <v>71</v>
      </c>
      <c r="G1860" t="s">
        <v>72</v>
      </c>
      <c r="H1860" t="s">
        <v>64</v>
      </c>
      <c r="I1860" t="s">
        <v>108</v>
      </c>
      <c r="J1860" t="s">
        <v>155</v>
      </c>
      <c r="K1860">
        <v>1</v>
      </c>
      <c r="L1860">
        <v>8957.06</v>
      </c>
      <c r="M1860">
        <v>0.1</v>
      </c>
      <c r="N1860">
        <v>8061.35</v>
      </c>
      <c r="O1860">
        <v>6070.88</v>
      </c>
      <c r="P1860">
        <v>1990.47</v>
      </c>
      <c r="Q1860" t="s">
        <v>53</v>
      </c>
      <c r="R1860">
        <v>0.246915218914946</v>
      </c>
      <c r="S1860">
        <v>2025</v>
      </c>
      <c r="T1860" t="s">
        <v>1244</v>
      </c>
      <c r="U1860">
        <v>6</v>
      </c>
      <c r="V1860" t="s">
        <v>878</v>
      </c>
    </row>
    <row r="1861" spans="1:22" x14ac:dyDescent="0.3">
      <c r="A1861" t="s">
        <v>2867</v>
      </c>
      <c r="B1861" s="1">
        <v>45836</v>
      </c>
      <c r="C1861" t="s">
        <v>405</v>
      </c>
      <c r="D1861" t="s">
        <v>1033</v>
      </c>
      <c r="E1861" t="s">
        <v>120</v>
      </c>
      <c r="F1861" t="s">
        <v>121</v>
      </c>
      <c r="G1861" t="s">
        <v>130</v>
      </c>
      <c r="H1861" t="s">
        <v>43</v>
      </c>
      <c r="I1861" t="s">
        <v>51</v>
      </c>
      <c r="J1861" t="s">
        <v>52</v>
      </c>
      <c r="K1861">
        <v>3</v>
      </c>
      <c r="L1861">
        <v>679.5</v>
      </c>
      <c r="M1861">
        <v>0.05</v>
      </c>
      <c r="N1861">
        <v>1936.57</v>
      </c>
      <c r="O1861">
        <v>924.18</v>
      </c>
      <c r="P1861">
        <v>1012.39</v>
      </c>
      <c r="Q1861" t="s">
        <v>31</v>
      </c>
      <c r="R1861">
        <v>0.52277480287312106</v>
      </c>
      <c r="S1861">
        <v>2025</v>
      </c>
      <c r="T1861" t="s">
        <v>1244</v>
      </c>
      <c r="U1861">
        <v>6</v>
      </c>
      <c r="V1861" t="s">
        <v>878</v>
      </c>
    </row>
    <row r="1862" spans="1:22" x14ac:dyDescent="0.3">
      <c r="A1862" t="s">
        <v>2868</v>
      </c>
      <c r="B1862" s="1">
        <v>45836</v>
      </c>
      <c r="C1862" t="s">
        <v>725</v>
      </c>
      <c r="D1862" t="s">
        <v>688</v>
      </c>
      <c r="E1862" t="s">
        <v>61</v>
      </c>
      <c r="F1862" t="s">
        <v>78</v>
      </c>
      <c r="G1862" t="s">
        <v>79</v>
      </c>
      <c r="H1862" t="s">
        <v>84</v>
      </c>
      <c r="I1862" t="s">
        <v>85</v>
      </c>
      <c r="J1862" t="s">
        <v>86</v>
      </c>
      <c r="K1862">
        <v>3</v>
      </c>
      <c r="L1862">
        <v>1811.23</v>
      </c>
      <c r="M1862">
        <v>0</v>
      </c>
      <c r="N1862">
        <v>5433.69</v>
      </c>
      <c r="O1862">
        <v>2876.87</v>
      </c>
      <c r="P1862">
        <v>2556.8200000000002</v>
      </c>
      <c r="Q1862" t="s">
        <v>46</v>
      </c>
      <c r="R1862">
        <v>0.47054947926731189</v>
      </c>
      <c r="S1862">
        <v>2025</v>
      </c>
      <c r="T1862" t="s">
        <v>1244</v>
      </c>
      <c r="U1862">
        <v>6</v>
      </c>
      <c r="V1862" t="s">
        <v>878</v>
      </c>
    </row>
    <row r="1863" spans="1:22" x14ac:dyDescent="0.3">
      <c r="A1863" t="s">
        <v>2869</v>
      </c>
      <c r="B1863" s="1">
        <v>45837</v>
      </c>
      <c r="C1863" t="s">
        <v>402</v>
      </c>
      <c r="D1863" t="s">
        <v>70</v>
      </c>
      <c r="E1863" t="s">
        <v>25</v>
      </c>
      <c r="F1863" t="s">
        <v>26</v>
      </c>
      <c r="G1863" t="s">
        <v>171</v>
      </c>
      <c r="H1863" t="s">
        <v>28</v>
      </c>
      <c r="I1863" t="s">
        <v>29</v>
      </c>
      <c r="J1863" t="s">
        <v>30</v>
      </c>
      <c r="K1863">
        <v>5</v>
      </c>
      <c r="L1863">
        <v>59220.55</v>
      </c>
      <c r="M1863">
        <v>0.05</v>
      </c>
      <c r="N1863">
        <v>281297.61</v>
      </c>
      <c r="O1863">
        <v>266391.98</v>
      </c>
      <c r="P1863">
        <v>14905.63</v>
      </c>
      <c r="Q1863" t="s">
        <v>31</v>
      </c>
      <c r="R1863">
        <v>5.2988825607156773E-2</v>
      </c>
      <c r="S1863">
        <v>2025</v>
      </c>
      <c r="T1863" t="s">
        <v>1244</v>
      </c>
      <c r="U1863">
        <v>6</v>
      </c>
      <c r="V1863" t="s">
        <v>878</v>
      </c>
    </row>
    <row r="1864" spans="1:22" x14ac:dyDescent="0.3">
      <c r="A1864" t="s">
        <v>2870</v>
      </c>
      <c r="B1864" s="1">
        <v>45837</v>
      </c>
      <c r="C1864" t="s">
        <v>1635</v>
      </c>
      <c r="D1864" t="s">
        <v>949</v>
      </c>
      <c r="E1864" t="s">
        <v>120</v>
      </c>
      <c r="F1864" t="s">
        <v>121</v>
      </c>
      <c r="G1864" t="s">
        <v>122</v>
      </c>
      <c r="H1864" t="s">
        <v>43</v>
      </c>
      <c r="I1864" t="s">
        <v>51</v>
      </c>
      <c r="J1864" t="s">
        <v>52</v>
      </c>
      <c r="K1864">
        <v>1</v>
      </c>
      <c r="L1864">
        <v>677.27</v>
      </c>
      <c r="M1864">
        <v>0.2</v>
      </c>
      <c r="N1864">
        <v>541.82000000000005</v>
      </c>
      <c r="O1864">
        <v>308.70999999999998</v>
      </c>
      <c r="P1864">
        <v>233.11</v>
      </c>
      <c r="Q1864" t="s">
        <v>31</v>
      </c>
      <c r="R1864">
        <v>0.43023513343914949</v>
      </c>
      <c r="S1864">
        <v>2025</v>
      </c>
      <c r="T1864" t="s">
        <v>1244</v>
      </c>
      <c r="U1864">
        <v>6</v>
      </c>
      <c r="V1864" t="s">
        <v>878</v>
      </c>
    </row>
    <row r="1865" spans="1:22" x14ac:dyDescent="0.3">
      <c r="A1865" t="s">
        <v>2871</v>
      </c>
      <c r="B1865" s="1">
        <v>45837</v>
      </c>
      <c r="C1865" t="s">
        <v>778</v>
      </c>
      <c r="D1865" t="s">
        <v>170</v>
      </c>
      <c r="E1865" t="s">
        <v>61</v>
      </c>
      <c r="F1865" t="s">
        <v>78</v>
      </c>
      <c r="G1865" t="s">
        <v>83</v>
      </c>
      <c r="H1865" t="s">
        <v>28</v>
      </c>
      <c r="I1865" t="s">
        <v>73</v>
      </c>
      <c r="J1865" t="s">
        <v>80</v>
      </c>
      <c r="K1865">
        <v>2</v>
      </c>
      <c r="L1865">
        <v>830.77</v>
      </c>
      <c r="M1865">
        <v>0.15</v>
      </c>
      <c r="N1865">
        <v>1412.31</v>
      </c>
      <c r="O1865">
        <v>1019.61</v>
      </c>
      <c r="P1865">
        <v>392.7</v>
      </c>
      <c r="Q1865" t="s">
        <v>113</v>
      </c>
      <c r="R1865">
        <v>0.27805510121715488</v>
      </c>
      <c r="S1865">
        <v>2025</v>
      </c>
      <c r="T1865" t="s">
        <v>1244</v>
      </c>
      <c r="U1865">
        <v>6</v>
      </c>
      <c r="V1865" t="s">
        <v>878</v>
      </c>
    </row>
    <row r="1866" spans="1:22" x14ac:dyDescent="0.3">
      <c r="A1866" t="s">
        <v>2872</v>
      </c>
      <c r="B1866" s="1">
        <v>45837</v>
      </c>
      <c r="C1866" t="s">
        <v>476</v>
      </c>
      <c r="D1866" t="s">
        <v>313</v>
      </c>
      <c r="E1866" t="s">
        <v>61</v>
      </c>
      <c r="F1866" t="s">
        <v>71</v>
      </c>
      <c r="G1866" t="s">
        <v>317</v>
      </c>
      <c r="H1866" t="s">
        <v>28</v>
      </c>
      <c r="I1866" t="s">
        <v>29</v>
      </c>
      <c r="J1866" t="s">
        <v>30</v>
      </c>
      <c r="K1866">
        <v>6</v>
      </c>
      <c r="L1866">
        <v>60165.85</v>
      </c>
      <c r="M1866">
        <v>0</v>
      </c>
      <c r="N1866">
        <v>360995.1</v>
      </c>
      <c r="O1866">
        <v>329510.65000000002</v>
      </c>
      <c r="P1866">
        <v>31484.45</v>
      </c>
      <c r="Q1866" t="s">
        <v>67</v>
      </c>
      <c r="R1866">
        <v>8.7215726750861727E-2</v>
      </c>
      <c r="S1866">
        <v>2025</v>
      </c>
      <c r="T1866" t="s">
        <v>1244</v>
      </c>
      <c r="U1866">
        <v>6</v>
      </c>
      <c r="V1866" t="s">
        <v>878</v>
      </c>
    </row>
    <row r="1867" spans="1:22" x14ac:dyDescent="0.3">
      <c r="A1867" t="s">
        <v>2873</v>
      </c>
      <c r="B1867" s="1">
        <v>45838</v>
      </c>
      <c r="C1867" t="s">
        <v>1488</v>
      </c>
      <c r="D1867" t="s">
        <v>1289</v>
      </c>
      <c r="E1867" t="s">
        <v>61</v>
      </c>
      <c r="F1867" t="s">
        <v>71</v>
      </c>
      <c r="G1867" t="s">
        <v>317</v>
      </c>
      <c r="H1867" t="s">
        <v>43</v>
      </c>
      <c r="I1867" t="s">
        <v>44</v>
      </c>
      <c r="J1867" t="s">
        <v>248</v>
      </c>
      <c r="K1867">
        <v>1</v>
      </c>
      <c r="L1867">
        <v>308.45</v>
      </c>
      <c r="M1867">
        <v>0.1</v>
      </c>
      <c r="N1867">
        <v>277.61</v>
      </c>
      <c r="O1867">
        <v>130.26</v>
      </c>
      <c r="P1867">
        <v>147.35</v>
      </c>
      <c r="Q1867" t="s">
        <v>31</v>
      </c>
      <c r="R1867">
        <v>0.53078059147725221</v>
      </c>
      <c r="S1867">
        <v>2025</v>
      </c>
      <c r="T1867" t="s">
        <v>1244</v>
      </c>
      <c r="U1867">
        <v>6</v>
      </c>
      <c r="V1867" t="s">
        <v>878</v>
      </c>
    </row>
    <row r="1868" spans="1:22" x14ac:dyDescent="0.3">
      <c r="A1868" t="s">
        <v>2874</v>
      </c>
      <c r="B1868" s="1">
        <v>45838</v>
      </c>
      <c r="C1868" t="s">
        <v>111</v>
      </c>
      <c r="D1868" t="s">
        <v>283</v>
      </c>
      <c r="E1868" t="s">
        <v>120</v>
      </c>
      <c r="F1868" t="s">
        <v>121</v>
      </c>
      <c r="G1868" t="s">
        <v>122</v>
      </c>
      <c r="H1868" t="s">
        <v>43</v>
      </c>
      <c r="I1868" t="s">
        <v>51</v>
      </c>
      <c r="J1868" t="s">
        <v>52</v>
      </c>
      <c r="K1868">
        <v>5</v>
      </c>
      <c r="L1868">
        <v>706.04</v>
      </c>
      <c r="M1868">
        <v>0.2</v>
      </c>
      <c r="N1868">
        <v>2824.16</v>
      </c>
      <c r="O1868">
        <v>1686.31</v>
      </c>
      <c r="P1868">
        <v>1137.8499999999999</v>
      </c>
      <c r="Q1868" t="s">
        <v>113</v>
      </c>
      <c r="R1868">
        <v>0.402898560988046</v>
      </c>
      <c r="S1868">
        <v>2025</v>
      </c>
      <c r="T1868" t="s">
        <v>1244</v>
      </c>
      <c r="U1868">
        <v>6</v>
      </c>
      <c r="V1868" t="s">
        <v>878</v>
      </c>
    </row>
    <row r="1869" spans="1:22" x14ac:dyDescent="0.3">
      <c r="A1869" t="s">
        <v>2875</v>
      </c>
      <c r="B1869" s="1">
        <v>45838</v>
      </c>
      <c r="C1869" t="s">
        <v>1906</v>
      </c>
      <c r="D1869" t="s">
        <v>820</v>
      </c>
      <c r="E1869" t="s">
        <v>120</v>
      </c>
      <c r="F1869" t="s">
        <v>121</v>
      </c>
      <c r="G1869" t="s">
        <v>130</v>
      </c>
      <c r="H1869" t="s">
        <v>84</v>
      </c>
      <c r="I1869" t="s">
        <v>138</v>
      </c>
      <c r="J1869" t="s">
        <v>220</v>
      </c>
      <c r="K1869">
        <v>2</v>
      </c>
      <c r="L1869">
        <v>7788.95</v>
      </c>
      <c r="M1869">
        <v>0</v>
      </c>
      <c r="N1869">
        <v>15577.9</v>
      </c>
      <c r="O1869">
        <v>10245.67</v>
      </c>
      <c r="P1869">
        <v>5332.23</v>
      </c>
      <c r="Q1869" t="s">
        <v>46</v>
      </c>
      <c r="R1869">
        <v>0.34229453263918752</v>
      </c>
      <c r="S1869">
        <v>2025</v>
      </c>
      <c r="T1869" t="s">
        <v>1244</v>
      </c>
      <c r="U1869">
        <v>6</v>
      </c>
      <c r="V1869" t="s">
        <v>878</v>
      </c>
    </row>
    <row r="1870" spans="1:22" x14ac:dyDescent="0.3">
      <c r="A1870" t="s">
        <v>2876</v>
      </c>
      <c r="B1870" s="1">
        <v>45838</v>
      </c>
      <c r="C1870" t="s">
        <v>205</v>
      </c>
      <c r="D1870" t="s">
        <v>849</v>
      </c>
      <c r="E1870" t="s">
        <v>61</v>
      </c>
      <c r="F1870" t="s">
        <v>62</v>
      </c>
      <c r="G1870" t="s">
        <v>90</v>
      </c>
      <c r="H1870" t="s">
        <v>64</v>
      </c>
      <c r="I1870" t="s">
        <v>65</v>
      </c>
      <c r="J1870" t="s">
        <v>66</v>
      </c>
      <c r="K1870">
        <v>1</v>
      </c>
      <c r="L1870">
        <v>5209.76</v>
      </c>
      <c r="M1870">
        <v>0.1</v>
      </c>
      <c r="N1870">
        <v>4688.78</v>
      </c>
      <c r="O1870">
        <v>3273.18</v>
      </c>
      <c r="P1870">
        <v>1415.6</v>
      </c>
      <c r="Q1870" t="s">
        <v>31</v>
      </c>
      <c r="R1870">
        <v>0.30191222450189598</v>
      </c>
      <c r="S1870">
        <v>2025</v>
      </c>
      <c r="T1870" t="s">
        <v>1244</v>
      </c>
      <c r="U1870">
        <v>6</v>
      </c>
      <c r="V1870" t="s">
        <v>878</v>
      </c>
    </row>
    <row r="1871" spans="1:22" x14ac:dyDescent="0.3">
      <c r="A1871" t="s">
        <v>2877</v>
      </c>
      <c r="B1871" s="1">
        <v>45838</v>
      </c>
      <c r="C1871" t="s">
        <v>417</v>
      </c>
      <c r="D1871" t="s">
        <v>142</v>
      </c>
      <c r="E1871" t="s">
        <v>120</v>
      </c>
      <c r="F1871" t="s">
        <v>121</v>
      </c>
      <c r="G1871" t="s">
        <v>130</v>
      </c>
      <c r="H1871" t="s">
        <v>64</v>
      </c>
      <c r="I1871" t="s">
        <v>108</v>
      </c>
      <c r="J1871" t="s">
        <v>155</v>
      </c>
      <c r="K1871">
        <v>2</v>
      </c>
      <c r="L1871">
        <v>8860.3799999999992</v>
      </c>
      <c r="M1871">
        <v>0.05</v>
      </c>
      <c r="N1871">
        <v>16834.72</v>
      </c>
      <c r="O1871">
        <v>12122.43</v>
      </c>
      <c r="P1871">
        <v>4712.29</v>
      </c>
      <c r="Q1871" t="s">
        <v>113</v>
      </c>
      <c r="R1871">
        <v>0.27991496146060052</v>
      </c>
      <c r="S1871">
        <v>2025</v>
      </c>
      <c r="T1871" t="s">
        <v>1244</v>
      </c>
      <c r="U1871">
        <v>6</v>
      </c>
      <c r="V1871" t="s">
        <v>878</v>
      </c>
    </row>
    <row r="1872" spans="1:22" x14ac:dyDescent="0.3">
      <c r="A1872" t="s">
        <v>2878</v>
      </c>
      <c r="B1872" s="1">
        <v>45839</v>
      </c>
      <c r="C1872" t="s">
        <v>2879</v>
      </c>
      <c r="D1872" t="s">
        <v>1096</v>
      </c>
      <c r="E1872" t="s">
        <v>25</v>
      </c>
      <c r="F1872" t="s">
        <v>26</v>
      </c>
      <c r="G1872" t="s">
        <v>27</v>
      </c>
      <c r="H1872" t="s">
        <v>28</v>
      </c>
      <c r="I1872" t="s">
        <v>29</v>
      </c>
      <c r="J1872" t="s">
        <v>30</v>
      </c>
      <c r="K1872">
        <v>6</v>
      </c>
      <c r="L1872">
        <v>57941.26</v>
      </c>
      <c r="M1872">
        <v>0.05</v>
      </c>
      <c r="N1872">
        <v>330265.18</v>
      </c>
      <c r="O1872">
        <v>308634.65000000002</v>
      </c>
      <c r="P1872">
        <v>21630.53</v>
      </c>
      <c r="Q1872" t="s">
        <v>67</v>
      </c>
      <c r="R1872">
        <v>6.5494430869157932E-2</v>
      </c>
      <c r="S1872">
        <v>2025</v>
      </c>
      <c r="T1872" t="s">
        <v>1384</v>
      </c>
      <c r="U1872">
        <v>7</v>
      </c>
      <c r="V1872" t="s">
        <v>1385</v>
      </c>
    </row>
    <row r="1873" spans="1:22" x14ac:dyDescent="0.3">
      <c r="A1873" t="s">
        <v>2880</v>
      </c>
      <c r="B1873" s="1">
        <v>45839</v>
      </c>
      <c r="C1873" t="s">
        <v>315</v>
      </c>
      <c r="D1873" t="s">
        <v>2047</v>
      </c>
      <c r="E1873" t="s">
        <v>120</v>
      </c>
      <c r="F1873" t="s">
        <v>121</v>
      </c>
      <c r="G1873" t="s">
        <v>130</v>
      </c>
      <c r="H1873" t="s">
        <v>28</v>
      </c>
      <c r="I1873" t="s">
        <v>29</v>
      </c>
      <c r="J1873" t="s">
        <v>57</v>
      </c>
      <c r="K1873">
        <v>2</v>
      </c>
      <c r="L1873">
        <v>15741.08</v>
      </c>
      <c r="M1873">
        <v>0.1</v>
      </c>
      <c r="N1873">
        <v>28333.94</v>
      </c>
      <c r="O1873">
        <v>23096.17</v>
      </c>
      <c r="P1873">
        <v>5237.7700000000004</v>
      </c>
      <c r="Q1873" t="s">
        <v>67</v>
      </c>
      <c r="R1873">
        <v>0.18485851244126311</v>
      </c>
      <c r="S1873">
        <v>2025</v>
      </c>
      <c r="T1873" t="s">
        <v>1384</v>
      </c>
      <c r="U1873">
        <v>7</v>
      </c>
      <c r="V1873" t="s">
        <v>1385</v>
      </c>
    </row>
    <row r="1874" spans="1:22" x14ac:dyDescent="0.3">
      <c r="A1874" t="s">
        <v>2881</v>
      </c>
      <c r="B1874" s="1">
        <v>45839</v>
      </c>
      <c r="C1874" t="s">
        <v>2307</v>
      </c>
      <c r="D1874" t="s">
        <v>406</v>
      </c>
      <c r="E1874" t="s">
        <v>41</v>
      </c>
      <c r="F1874" t="s">
        <v>42</v>
      </c>
      <c r="G1874" t="s">
        <v>50</v>
      </c>
      <c r="H1874" t="s">
        <v>43</v>
      </c>
      <c r="I1874" t="s">
        <v>44</v>
      </c>
      <c r="J1874" t="s">
        <v>45</v>
      </c>
      <c r="K1874">
        <v>2</v>
      </c>
      <c r="L1874">
        <v>246.37</v>
      </c>
      <c r="M1874">
        <v>0.1</v>
      </c>
      <c r="N1874">
        <v>443.47</v>
      </c>
      <c r="O1874">
        <v>184.62</v>
      </c>
      <c r="P1874">
        <v>258.85000000000002</v>
      </c>
      <c r="Q1874" t="s">
        <v>46</v>
      </c>
      <c r="R1874">
        <v>0.58369224524770558</v>
      </c>
      <c r="S1874">
        <v>2025</v>
      </c>
      <c r="T1874" t="s">
        <v>1384</v>
      </c>
      <c r="U1874">
        <v>7</v>
      </c>
      <c r="V1874" t="s">
        <v>1385</v>
      </c>
    </row>
    <row r="1875" spans="1:22" x14ac:dyDescent="0.3">
      <c r="A1875" t="s">
        <v>2882</v>
      </c>
      <c r="B1875" s="1">
        <v>45839</v>
      </c>
      <c r="C1875" t="s">
        <v>1881</v>
      </c>
      <c r="D1875" t="s">
        <v>623</v>
      </c>
      <c r="E1875" t="s">
        <v>61</v>
      </c>
      <c r="F1875" t="s">
        <v>62</v>
      </c>
      <c r="G1875" t="s">
        <v>134</v>
      </c>
      <c r="H1875" t="s">
        <v>43</v>
      </c>
      <c r="I1875" t="s">
        <v>51</v>
      </c>
      <c r="J1875" t="s">
        <v>52</v>
      </c>
      <c r="K1875">
        <v>6</v>
      </c>
      <c r="L1875">
        <v>712.42</v>
      </c>
      <c r="M1875">
        <v>0.1</v>
      </c>
      <c r="N1875">
        <v>3847.07</v>
      </c>
      <c r="O1875">
        <v>1977.28</v>
      </c>
      <c r="P1875">
        <v>1869.79</v>
      </c>
      <c r="Q1875" t="s">
        <v>46</v>
      </c>
      <c r="R1875">
        <v>0.48602962774267172</v>
      </c>
      <c r="S1875">
        <v>2025</v>
      </c>
      <c r="T1875" t="s">
        <v>1384</v>
      </c>
      <c r="U1875">
        <v>7</v>
      </c>
      <c r="V1875" t="s">
        <v>1385</v>
      </c>
    </row>
    <row r="1876" spans="1:22" x14ac:dyDescent="0.3">
      <c r="A1876" t="s">
        <v>2883</v>
      </c>
      <c r="B1876" s="1">
        <v>45839</v>
      </c>
      <c r="C1876" t="s">
        <v>1673</v>
      </c>
      <c r="D1876" t="s">
        <v>798</v>
      </c>
      <c r="E1876" t="s">
        <v>61</v>
      </c>
      <c r="F1876" t="s">
        <v>71</v>
      </c>
      <c r="G1876" t="s">
        <v>317</v>
      </c>
      <c r="H1876" t="s">
        <v>64</v>
      </c>
      <c r="I1876" t="s">
        <v>108</v>
      </c>
      <c r="J1876" t="s">
        <v>109</v>
      </c>
      <c r="K1876">
        <v>6</v>
      </c>
      <c r="L1876">
        <v>7118.7</v>
      </c>
      <c r="M1876">
        <v>0.1</v>
      </c>
      <c r="N1876">
        <v>38440.980000000003</v>
      </c>
      <c r="O1876">
        <v>28251.37</v>
      </c>
      <c r="P1876">
        <v>10189.61</v>
      </c>
      <c r="Q1876" t="s">
        <v>31</v>
      </c>
      <c r="R1876">
        <v>0.26507154604279082</v>
      </c>
      <c r="S1876">
        <v>2025</v>
      </c>
      <c r="T1876" t="s">
        <v>1384</v>
      </c>
      <c r="U1876">
        <v>7</v>
      </c>
      <c r="V1876" t="s">
        <v>1385</v>
      </c>
    </row>
    <row r="1877" spans="1:22" x14ac:dyDescent="0.3">
      <c r="A1877" t="s">
        <v>2884</v>
      </c>
      <c r="B1877" s="1">
        <v>45840</v>
      </c>
      <c r="C1877" t="s">
        <v>250</v>
      </c>
      <c r="D1877" t="s">
        <v>465</v>
      </c>
      <c r="E1877" t="s">
        <v>61</v>
      </c>
      <c r="F1877" t="s">
        <v>71</v>
      </c>
      <c r="G1877" t="s">
        <v>72</v>
      </c>
      <c r="H1877" t="s">
        <v>43</v>
      </c>
      <c r="I1877" t="s">
        <v>51</v>
      </c>
      <c r="J1877" t="s">
        <v>52</v>
      </c>
      <c r="K1877">
        <v>1</v>
      </c>
      <c r="L1877">
        <v>733.04</v>
      </c>
      <c r="M1877">
        <v>0</v>
      </c>
      <c r="N1877">
        <v>733.04</v>
      </c>
      <c r="O1877">
        <v>354.9</v>
      </c>
      <c r="P1877">
        <v>378.14</v>
      </c>
      <c r="Q1877" t="s">
        <v>31</v>
      </c>
      <c r="R1877">
        <v>0.51585179526355995</v>
      </c>
      <c r="S1877">
        <v>2025</v>
      </c>
      <c r="T1877" t="s">
        <v>1384</v>
      </c>
      <c r="U1877">
        <v>7</v>
      </c>
      <c r="V1877" t="s">
        <v>1385</v>
      </c>
    </row>
    <row r="1878" spans="1:22" x14ac:dyDescent="0.3">
      <c r="A1878" t="s">
        <v>2885</v>
      </c>
      <c r="B1878" s="1">
        <v>45840</v>
      </c>
      <c r="C1878" t="s">
        <v>739</v>
      </c>
      <c r="D1878" t="s">
        <v>740</v>
      </c>
      <c r="E1878" t="s">
        <v>61</v>
      </c>
      <c r="F1878" t="s">
        <v>78</v>
      </c>
      <c r="G1878" t="s">
        <v>104</v>
      </c>
      <c r="H1878" t="s">
        <v>28</v>
      </c>
      <c r="I1878" t="s">
        <v>91</v>
      </c>
      <c r="J1878" t="s">
        <v>126</v>
      </c>
      <c r="K1878">
        <v>2</v>
      </c>
      <c r="L1878">
        <v>2102.3200000000002</v>
      </c>
      <c r="M1878">
        <v>0.1</v>
      </c>
      <c r="N1878">
        <v>3784.18</v>
      </c>
      <c r="O1878">
        <v>2348.21</v>
      </c>
      <c r="P1878">
        <v>1435.97</v>
      </c>
      <c r="Q1878" t="s">
        <v>31</v>
      </c>
      <c r="R1878">
        <v>0.37946662156662742</v>
      </c>
      <c r="S1878">
        <v>2025</v>
      </c>
      <c r="T1878" t="s">
        <v>1384</v>
      </c>
      <c r="U1878">
        <v>7</v>
      </c>
      <c r="V1878" t="s">
        <v>1385</v>
      </c>
    </row>
    <row r="1879" spans="1:22" x14ac:dyDescent="0.3">
      <c r="A1879" t="s">
        <v>2886</v>
      </c>
      <c r="B1879" s="1">
        <v>45840</v>
      </c>
      <c r="C1879" t="s">
        <v>800</v>
      </c>
      <c r="D1879" t="s">
        <v>532</v>
      </c>
      <c r="E1879" t="s">
        <v>25</v>
      </c>
      <c r="F1879" t="s">
        <v>26</v>
      </c>
      <c r="G1879" t="s">
        <v>260</v>
      </c>
      <c r="H1879" t="s">
        <v>43</v>
      </c>
      <c r="I1879" t="s">
        <v>51</v>
      </c>
      <c r="J1879" t="s">
        <v>96</v>
      </c>
      <c r="K1879">
        <v>5</v>
      </c>
      <c r="L1879">
        <v>472.42</v>
      </c>
      <c r="M1879">
        <v>0.05</v>
      </c>
      <c r="N1879">
        <v>2243.9899999999998</v>
      </c>
      <c r="O1879">
        <v>1063.58</v>
      </c>
      <c r="P1879">
        <v>1180.4100000000001</v>
      </c>
      <c r="Q1879" t="s">
        <v>113</v>
      </c>
      <c r="R1879">
        <v>0.52603175593474139</v>
      </c>
      <c r="S1879">
        <v>2025</v>
      </c>
      <c r="T1879" t="s">
        <v>1384</v>
      </c>
      <c r="U1879">
        <v>7</v>
      </c>
      <c r="V1879" t="s">
        <v>1385</v>
      </c>
    </row>
    <row r="1880" spans="1:22" x14ac:dyDescent="0.3">
      <c r="A1880" t="s">
        <v>2887</v>
      </c>
      <c r="B1880" s="1">
        <v>45840</v>
      </c>
      <c r="C1880" t="s">
        <v>1126</v>
      </c>
      <c r="D1880" t="s">
        <v>949</v>
      </c>
      <c r="E1880" t="s">
        <v>61</v>
      </c>
      <c r="F1880" t="s">
        <v>78</v>
      </c>
      <c r="G1880" t="s">
        <v>83</v>
      </c>
      <c r="H1880" t="s">
        <v>28</v>
      </c>
      <c r="I1880" t="s">
        <v>73</v>
      </c>
      <c r="J1880" t="s">
        <v>80</v>
      </c>
      <c r="K1880">
        <v>1</v>
      </c>
      <c r="L1880">
        <v>798.89</v>
      </c>
      <c r="M1880">
        <v>0.05</v>
      </c>
      <c r="N1880">
        <v>758.95</v>
      </c>
      <c r="O1880">
        <v>508.43</v>
      </c>
      <c r="P1880">
        <v>250.52</v>
      </c>
      <c r="Q1880" t="s">
        <v>46</v>
      </c>
      <c r="R1880">
        <v>0.33008762105540551</v>
      </c>
      <c r="S1880">
        <v>2025</v>
      </c>
      <c r="T1880" t="s">
        <v>1384</v>
      </c>
      <c r="U1880">
        <v>7</v>
      </c>
      <c r="V1880" t="s">
        <v>1385</v>
      </c>
    </row>
    <row r="1881" spans="1:22" x14ac:dyDescent="0.3">
      <c r="A1881" t="s">
        <v>2888</v>
      </c>
      <c r="B1881" s="1">
        <v>45841</v>
      </c>
      <c r="C1881" t="s">
        <v>2889</v>
      </c>
      <c r="D1881" t="s">
        <v>471</v>
      </c>
      <c r="E1881" t="s">
        <v>61</v>
      </c>
      <c r="F1881" t="s">
        <v>62</v>
      </c>
      <c r="G1881" t="s">
        <v>228</v>
      </c>
      <c r="H1881" t="s">
        <v>64</v>
      </c>
      <c r="I1881" t="s">
        <v>108</v>
      </c>
      <c r="J1881" t="s">
        <v>155</v>
      </c>
      <c r="K1881">
        <v>1</v>
      </c>
      <c r="L1881">
        <v>8198.42</v>
      </c>
      <c r="M1881">
        <v>0.15</v>
      </c>
      <c r="N1881">
        <v>6968.66</v>
      </c>
      <c r="O1881">
        <v>5742.61</v>
      </c>
      <c r="P1881">
        <v>1226.05</v>
      </c>
      <c r="Q1881" t="s">
        <v>67</v>
      </c>
      <c r="R1881">
        <v>0.17593769820883781</v>
      </c>
      <c r="S1881">
        <v>2025</v>
      </c>
      <c r="T1881" t="s">
        <v>1384</v>
      </c>
      <c r="U1881">
        <v>7</v>
      </c>
      <c r="V1881" t="s">
        <v>1385</v>
      </c>
    </row>
    <row r="1882" spans="1:22" x14ac:dyDescent="0.3">
      <c r="A1882" t="s">
        <v>2890</v>
      </c>
      <c r="B1882" s="1">
        <v>45841</v>
      </c>
      <c r="C1882" t="s">
        <v>1126</v>
      </c>
      <c r="D1882" t="s">
        <v>1373</v>
      </c>
      <c r="E1882" t="s">
        <v>61</v>
      </c>
      <c r="F1882" t="s">
        <v>78</v>
      </c>
      <c r="G1882" t="s">
        <v>104</v>
      </c>
      <c r="H1882" t="s">
        <v>64</v>
      </c>
      <c r="I1882" t="s">
        <v>65</v>
      </c>
      <c r="J1882" t="s">
        <v>66</v>
      </c>
      <c r="K1882">
        <v>4</v>
      </c>
      <c r="L1882">
        <v>4952.75</v>
      </c>
      <c r="M1882">
        <v>0.1</v>
      </c>
      <c r="N1882">
        <v>17829.900000000001</v>
      </c>
      <c r="O1882">
        <v>12013.78</v>
      </c>
      <c r="P1882">
        <v>5816.12</v>
      </c>
      <c r="Q1882" t="s">
        <v>53</v>
      </c>
      <c r="R1882">
        <v>0.32620037128643448</v>
      </c>
      <c r="S1882">
        <v>2025</v>
      </c>
      <c r="T1882" t="s">
        <v>1384</v>
      </c>
      <c r="U1882">
        <v>7</v>
      </c>
      <c r="V1882" t="s">
        <v>1385</v>
      </c>
    </row>
    <row r="1883" spans="1:22" x14ac:dyDescent="0.3">
      <c r="A1883" t="s">
        <v>2891</v>
      </c>
      <c r="B1883" s="1">
        <v>45841</v>
      </c>
      <c r="C1883" t="s">
        <v>1259</v>
      </c>
      <c r="D1883" t="s">
        <v>1289</v>
      </c>
      <c r="E1883" t="s">
        <v>25</v>
      </c>
      <c r="F1883" t="s">
        <v>26</v>
      </c>
      <c r="G1883" t="s">
        <v>260</v>
      </c>
      <c r="H1883" t="s">
        <v>28</v>
      </c>
      <c r="I1883" t="s">
        <v>29</v>
      </c>
      <c r="J1883" t="s">
        <v>57</v>
      </c>
      <c r="K1883">
        <v>3</v>
      </c>
      <c r="L1883">
        <v>16957.91</v>
      </c>
      <c r="M1883">
        <v>0</v>
      </c>
      <c r="N1883">
        <v>50873.73</v>
      </c>
      <c r="O1883">
        <v>39504.129999999997</v>
      </c>
      <c r="P1883">
        <v>11369.6</v>
      </c>
      <c r="Q1883" t="s">
        <v>53</v>
      </c>
      <c r="R1883">
        <v>0.22348666001097231</v>
      </c>
      <c r="S1883">
        <v>2025</v>
      </c>
      <c r="T1883" t="s">
        <v>1384</v>
      </c>
      <c r="U1883">
        <v>7</v>
      </c>
      <c r="V1883" t="s">
        <v>1385</v>
      </c>
    </row>
    <row r="1884" spans="1:22" x14ac:dyDescent="0.3">
      <c r="A1884" t="s">
        <v>2892</v>
      </c>
      <c r="B1884" s="1">
        <v>45841</v>
      </c>
      <c r="C1884" t="s">
        <v>1772</v>
      </c>
      <c r="D1884" t="s">
        <v>1513</v>
      </c>
      <c r="E1884" t="s">
        <v>41</v>
      </c>
      <c r="F1884" t="s">
        <v>42</v>
      </c>
      <c r="G1884" t="s">
        <v>42</v>
      </c>
      <c r="H1884" t="s">
        <v>43</v>
      </c>
      <c r="I1884" t="s">
        <v>44</v>
      </c>
      <c r="J1884" t="s">
        <v>248</v>
      </c>
      <c r="K1884">
        <v>4</v>
      </c>
      <c r="L1884">
        <v>299.31</v>
      </c>
      <c r="M1884">
        <v>0.05</v>
      </c>
      <c r="N1884">
        <v>1137.3800000000001</v>
      </c>
      <c r="O1884">
        <v>496.16</v>
      </c>
      <c r="P1884">
        <v>641.22</v>
      </c>
      <c r="Q1884" t="s">
        <v>67</v>
      </c>
      <c r="R1884">
        <v>0.56376936468022998</v>
      </c>
      <c r="S1884">
        <v>2025</v>
      </c>
      <c r="T1884" t="s">
        <v>1384</v>
      </c>
      <c r="U1884">
        <v>7</v>
      </c>
      <c r="V1884" t="s">
        <v>1385</v>
      </c>
    </row>
    <row r="1885" spans="1:22" x14ac:dyDescent="0.3">
      <c r="A1885" t="s">
        <v>2893</v>
      </c>
      <c r="B1885" s="1">
        <v>45841</v>
      </c>
      <c r="C1885" t="s">
        <v>797</v>
      </c>
      <c r="D1885" t="s">
        <v>1516</v>
      </c>
      <c r="E1885" t="s">
        <v>61</v>
      </c>
      <c r="F1885" t="s">
        <v>78</v>
      </c>
      <c r="G1885" t="s">
        <v>79</v>
      </c>
      <c r="H1885" t="s">
        <v>43</v>
      </c>
      <c r="I1885" t="s">
        <v>51</v>
      </c>
      <c r="J1885" t="s">
        <v>96</v>
      </c>
      <c r="K1885">
        <v>1</v>
      </c>
      <c r="L1885">
        <v>476.23</v>
      </c>
      <c r="M1885">
        <v>0.05</v>
      </c>
      <c r="N1885">
        <v>452.42</v>
      </c>
      <c r="O1885">
        <v>209.83</v>
      </c>
      <c r="P1885">
        <v>242.59</v>
      </c>
      <c r="Q1885" t="s">
        <v>31</v>
      </c>
      <c r="R1885">
        <v>0.5362052959639273</v>
      </c>
      <c r="S1885">
        <v>2025</v>
      </c>
      <c r="T1885" t="s">
        <v>1384</v>
      </c>
      <c r="U1885">
        <v>7</v>
      </c>
      <c r="V1885" t="s">
        <v>1385</v>
      </c>
    </row>
    <row r="1886" spans="1:22" x14ac:dyDescent="0.3">
      <c r="A1886" t="s">
        <v>2894</v>
      </c>
      <c r="B1886" s="1">
        <v>45841</v>
      </c>
      <c r="C1886" t="s">
        <v>368</v>
      </c>
      <c r="D1886" t="s">
        <v>657</v>
      </c>
      <c r="E1886" t="s">
        <v>120</v>
      </c>
      <c r="F1886" t="s">
        <v>121</v>
      </c>
      <c r="G1886" t="s">
        <v>122</v>
      </c>
      <c r="H1886" t="s">
        <v>43</v>
      </c>
      <c r="I1886" t="s">
        <v>44</v>
      </c>
      <c r="J1886" t="s">
        <v>45</v>
      </c>
      <c r="K1886">
        <v>2</v>
      </c>
      <c r="L1886">
        <v>263.67</v>
      </c>
      <c r="M1886">
        <v>0.05</v>
      </c>
      <c r="N1886">
        <v>500.97</v>
      </c>
      <c r="O1886">
        <v>193.13</v>
      </c>
      <c r="P1886">
        <v>307.83999999999997</v>
      </c>
      <c r="Q1886" t="s">
        <v>31</v>
      </c>
      <c r="R1886">
        <v>0.61448789348663579</v>
      </c>
      <c r="S1886">
        <v>2025</v>
      </c>
      <c r="T1886" t="s">
        <v>1384</v>
      </c>
      <c r="U1886">
        <v>7</v>
      </c>
      <c r="V1886" t="s">
        <v>1385</v>
      </c>
    </row>
    <row r="1887" spans="1:22" x14ac:dyDescent="0.3">
      <c r="A1887" t="s">
        <v>2895</v>
      </c>
      <c r="B1887" s="1">
        <v>45842</v>
      </c>
      <c r="C1887" t="s">
        <v>1117</v>
      </c>
      <c r="D1887" t="s">
        <v>292</v>
      </c>
      <c r="E1887" t="s">
        <v>61</v>
      </c>
      <c r="F1887" t="s">
        <v>71</v>
      </c>
      <c r="G1887" t="s">
        <v>317</v>
      </c>
      <c r="H1887" t="s">
        <v>64</v>
      </c>
      <c r="I1887" t="s">
        <v>65</v>
      </c>
      <c r="J1887" t="s">
        <v>66</v>
      </c>
      <c r="K1887">
        <v>6</v>
      </c>
      <c r="L1887">
        <v>4786.18</v>
      </c>
      <c r="M1887">
        <v>0</v>
      </c>
      <c r="N1887">
        <v>28717.08</v>
      </c>
      <c r="O1887">
        <v>17846.38</v>
      </c>
      <c r="P1887">
        <v>10870.7</v>
      </c>
      <c r="Q1887" t="s">
        <v>31</v>
      </c>
      <c r="R1887">
        <v>0.37854475455025371</v>
      </c>
      <c r="S1887">
        <v>2025</v>
      </c>
      <c r="T1887" t="s">
        <v>1384</v>
      </c>
      <c r="U1887">
        <v>7</v>
      </c>
      <c r="V1887" t="s">
        <v>1385</v>
      </c>
    </row>
    <row r="1888" spans="1:22" x14ac:dyDescent="0.3">
      <c r="A1888" t="s">
        <v>2896</v>
      </c>
      <c r="B1888" s="1">
        <v>45842</v>
      </c>
      <c r="C1888" t="s">
        <v>927</v>
      </c>
      <c r="D1888" t="s">
        <v>906</v>
      </c>
      <c r="E1888" t="s">
        <v>61</v>
      </c>
      <c r="F1888" t="s">
        <v>71</v>
      </c>
      <c r="G1888" t="s">
        <v>201</v>
      </c>
      <c r="H1888" t="s">
        <v>43</v>
      </c>
      <c r="I1888" t="s">
        <v>51</v>
      </c>
      <c r="J1888" t="s">
        <v>52</v>
      </c>
      <c r="K1888">
        <v>1</v>
      </c>
      <c r="L1888">
        <v>703.96</v>
      </c>
      <c r="M1888">
        <v>0.1</v>
      </c>
      <c r="N1888">
        <v>633.55999999999995</v>
      </c>
      <c r="O1888">
        <v>329.03</v>
      </c>
      <c r="P1888">
        <v>304.52999999999997</v>
      </c>
      <c r="Q1888" t="s">
        <v>53</v>
      </c>
      <c r="R1888">
        <v>0.48066481469789762</v>
      </c>
      <c r="S1888">
        <v>2025</v>
      </c>
      <c r="T1888" t="s">
        <v>1384</v>
      </c>
      <c r="U1888">
        <v>7</v>
      </c>
      <c r="V1888" t="s">
        <v>1385</v>
      </c>
    </row>
    <row r="1889" spans="1:22" x14ac:dyDescent="0.3">
      <c r="A1889" t="s">
        <v>2897</v>
      </c>
      <c r="B1889" s="1">
        <v>45842</v>
      </c>
      <c r="C1889" t="s">
        <v>1468</v>
      </c>
      <c r="D1889" t="s">
        <v>1503</v>
      </c>
      <c r="E1889" t="s">
        <v>61</v>
      </c>
      <c r="F1889" t="s">
        <v>62</v>
      </c>
      <c r="G1889" t="s">
        <v>63</v>
      </c>
      <c r="H1889" t="s">
        <v>43</v>
      </c>
      <c r="I1889" t="s">
        <v>44</v>
      </c>
      <c r="J1889" t="s">
        <v>45</v>
      </c>
      <c r="K1889">
        <v>4</v>
      </c>
      <c r="L1889">
        <v>255.31</v>
      </c>
      <c r="M1889">
        <v>0.1</v>
      </c>
      <c r="N1889">
        <v>919.12</v>
      </c>
      <c r="O1889">
        <v>398.42</v>
      </c>
      <c r="P1889">
        <v>520.70000000000005</v>
      </c>
      <c r="Q1889" t="s">
        <v>31</v>
      </c>
      <c r="R1889">
        <v>0.5665201497084168</v>
      </c>
      <c r="S1889">
        <v>2025</v>
      </c>
      <c r="T1889" t="s">
        <v>1384</v>
      </c>
      <c r="U1889">
        <v>7</v>
      </c>
      <c r="V1889" t="s">
        <v>1385</v>
      </c>
    </row>
    <row r="1890" spans="1:22" x14ac:dyDescent="0.3">
      <c r="A1890" t="s">
        <v>2898</v>
      </c>
      <c r="B1890" s="1">
        <v>45842</v>
      </c>
      <c r="C1890" t="s">
        <v>2504</v>
      </c>
      <c r="D1890" t="s">
        <v>103</v>
      </c>
      <c r="E1890" t="s">
        <v>25</v>
      </c>
      <c r="F1890" t="s">
        <v>26</v>
      </c>
      <c r="G1890" t="s">
        <v>260</v>
      </c>
      <c r="H1890" t="s">
        <v>64</v>
      </c>
      <c r="I1890" t="s">
        <v>65</v>
      </c>
      <c r="J1890" t="s">
        <v>66</v>
      </c>
      <c r="K1890">
        <v>3</v>
      </c>
      <c r="L1890">
        <v>4968.0200000000004</v>
      </c>
      <c r="M1890">
        <v>0</v>
      </c>
      <c r="N1890">
        <v>14904.06</v>
      </c>
      <c r="O1890">
        <v>9308.2800000000007</v>
      </c>
      <c r="P1890">
        <v>5595.78</v>
      </c>
      <c r="Q1890" t="s">
        <v>53</v>
      </c>
      <c r="R1890">
        <v>0.37545339994605498</v>
      </c>
      <c r="S1890">
        <v>2025</v>
      </c>
      <c r="T1890" t="s">
        <v>1384</v>
      </c>
      <c r="U1890">
        <v>7</v>
      </c>
      <c r="V1890" t="s">
        <v>1385</v>
      </c>
    </row>
    <row r="1891" spans="1:22" x14ac:dyDescent="0.3">
      <c r="A1891" t="s">
        <v>2899</v>
      </c>
      <c r="B1891" s="1">
        <v>45842</v>
      </c>
      <c r="C1891" t="s">
        <v>160</v>
      </c>
      <c r="D1891" t="s">
        <v>415</v>
      </c>
      <c r="E1891" t="s">
        <v>25</v>
      </c>
      <c r="F1891" t="s">
        <v>26</v>
      </c>
      <c r="G1891" t="s">
        <v>171</v>
      </c>
      <c r="H1891" t="s">
        <v>84</v>
      </c>
      <c r="I1891" t="s">
        <v>138</v>
      </c>
      <c r="J1891" t="s">
        <v>220</v>
      </c>
      <c r="K1891">
        <v>5</v>
      </c>
      <c r="L1891">
        <v>7325.28</v>
      </c>
      <c r="M1891">
        <v>0.1</v>
      </c>
      <c r="N1891">
        <v>32963.760000000002</v>
      </c>
      <c r="O1891">
        <v>24433.64</v>
      </c>
      <c r="P1891">
        <v>8530.1200000000008</v>
      </c>
      <c r="Q1891" t="s">
        <v>53</v>
      </c>
      <c r="R1891">
        <v>0.25877266428344342</v>
      </c>
      <c r="S1891">
        <v>2025</v>
      </c>
      <c r="T1891" t="s">
        <v>1384</v>
      </c>
      <c r="U1891">
        <v>7</v>
      </c>
      <c r="V1891" t="s">
        <v>1385</v>
      </c>
    </row>
    <row r="1892" spans="1:22" x14ac:dyDescent="0.3">
      <c r="A1892" t="s">
        <v>2900</v>
      </c>
      <c r="B1892" s="1">
        <v>45842</v>
      </c>
      <c r="C1892" t="s">
        <v>1217</v>
      </c>
      <c r="D1892" t="s">
        <v>1676</v>
      </c>
      <c r="E1892" t="s">
        <v>61</v>
      </c>
      <c r="F1892" t="s">
        <v>62</v>
      </c>
      <c r="G1892" t="s">
        <v>90</v>
      </c>
      <c r="H1892" t="s">
        <v>43</v>
      </c>
      <c r="I1892" t="s">
        <v>51</v>
      </c>
      <c r="J1892" t="s">
        <v>52</v>
      </c>
      <c r="K1892">
        <v>4</v>
      </c>
      <c r="L1892">
        <v>733.82</v>
      </c>
      <c r="M1892">
        <v>0</v>
      </c>
      <c r="N1892">
        <v>2935.28</v>
      </c>
      <c r="O1892">
        <v>1387.83</v>
      </c>
      <c r="P1892">
        <v>1547.45</v>
      </c>
      <c r="Q1892" t="s">
        <v>113</v>
      </c>
      <c r="R1892">
        <v>0.52718991033223406</v>
      </c>
      <c r="S1892">
        <v>2025</v>
      </c>
      <c r="T1892" t="s">
        <v>1384</v>
      </c>
      <c r="U1892">
        <v>7</v>
      </c>
      <c r="V1892" t="s">
        <v>1385</v>
      </c>
    </row>
    <row r="1893" spans="1:22" x14ac:dyDescent="0.3">
      <c r="A1893" t="s">
        <v>2901</v>
      </c>
      <c r="B1893" s="1">
        <v>45842</v>
      </c>
      <c r="C1893" t="s">
        <v>800</v>
      </c>
      <c r="D1893" t="s">
        <v>310</v>
      </c>
      <c r="E1893" t="s">
        <v>41</v>
      </c>
      <c r="F1893" t="s">
        <v>42</v>
      </c>
      <c r="G1893" t="s">
        <v>42</v>
      </c>
      <c r="H1893" t="s">
        <v>28</v>
      </c>
      <c r="I1893" t="s">
        <v>91</v>
      </c>
      <c r="J1893" t="s">
        <v>126</v>
      </c>
      <c r="K1893">
        <v>2</v>
      </c>
      <c r="L1893">
        <v>2052.1799999999998</v>
      </c>
      <c r="M1893">
        <v>0.2</v>
      </c>
      <c r="N1893">
        <v>3283.49</v>
      </c>
      <c r="O1893">
        <v>2442.5100000000002</v>
      </c>
      <c r="P1893">
        <v>840.98</v>
      </c>
      <c r="Q1893" t="s">
        <v>46</v>
      </c>
      <c r="R1893">
        <v>0.2561238194725734</v>
      </c>
      <c r="S1893">
        <v>2025</v>
      </c>
      <c r="T1893" t="s">
        <v>1384</v>
      </c>
      <c r="U1893">
        <v>7</v>
      </c>
      <c r="V1893" t="s">
        <v>1385</v>
      </c>
    </row>
    <row r="1894" spans="1:22" x14ac:dyDescent="0.3">
      <c r="A1894" t="s">
        <v>2902</v>
      </c>
      <c r="B1894" s="1">
        <v>45843</v>
      </c>
      <c r="C1894" t="s">
        <v>1169</v>
      </c>
      <c r="D1894" t="s">
        <v>363</v>
      </c>
      <c r="E1894" t="s">
        <v>41</v>
      </c>
      <c r="F1894" t="s">
        <v>42</v>
      </c>
      <c r="G1894" t="s">
        <v>50</v>
      </c>
      <c r="H1894" t="s">
        <v>28</v>
      </c>
      <c r="I1894" t="s">
        <v>29</v>
      </c>
      <c r="J1894" t="s">
        <v>30</v>
      </c>
      <c r="K1894">
        <v>1</v>
      </c>
      <c r="L1894">
        <v>57162.17</v>
      </c>
      <c r="M1894">
        <v>0.15</v>
      </c>
      <c r="N1894">
        <v>48587.839999999997</v>
      </c>
      <c r="O1894">
        <v>48936.13</v>
      </c>
      <c r="P1894">
        <v>-348.29</v>
      </c>
      <c r="Q1894" t="s">
        <v>31</v>
      </c>
      <c r="R1894">
        <v>-7.1682544439102469E-3</v>
      </c>
      <c r="S1894">
        <v>2025</v>
      </c>
      <c r="T1894" t="s">
        <v>1384</v>
      </c>
      <c r="U1894">
        <v>7</v>
      </c>
      <c r="V1894" t="s">
        <v>1385</v>
      </c>
    </row>
    <row r="1895" spans="1:22" x14ac:dyDescent="0.3">
      <c r="A1895" t="s">
        <v>2903</v>
      </c>
      <c r="B1895" s="1">
        <v>45845</v>
      </c>
      <c r="C1895" t="s">
        <v>1903</v>
      </c>
      <c r="D1895" t="s">
        <v>507</v>
      </c>
      <c r="E1895" t="s">
        <v>41</v>
      </c>
      <c r="F1895" t="s">
        <v>42</v>
      </c>
      <c r="G1895" t="s">
        <v>50</v>
      </c>
      <c r="H1895" t="s">
        <v>64</v>
      </c>
      <c r="I1895" t="s">
        <v>65</v>
      </c>
      <c r="J1895" t="s">
        <v>66</v>
      </c>
      <c r="K1895">
        <v>2</v>
      </c>
      <c r="L1895">
        <v>4920.37</v>
      </c>
      <c r="M1895">
        <v>0.1</v>
      </c>
      <c r="N1895">
        <v>8856.67</v>
      </c>
      <c r="O1895">
        <v>5844.42</v>
      </c>
      <c r="P1895">
        <v>3012.25</v>
      </c>
      <c r="Q1895" t="s">
        <v>31</v>
      </c>
      <c r="R1895">
        <v>0.34011089946898782</v>
      </c>
      <c r="S1895">
        <v>2025</v>
      </c>
      <c r="T1895" t="s">
        <v>1384</v>
      </c>
      <c r="U1895">
        <v>7</v>
      </c>
      <c r="V1895" t="s">
        <v>1385</v>
      </c>
    </row>
    <row r="1896" spans="1:22" x14ac:dyDescent="0.3">
      <c r="A1896" t="s">
        <v>2904</v>
      </c>
      <c r="B1896" s="1">
        <v>45845</v>
      </c>
      <c r="C1896" t="s">
        <v>1568</v>
      </c>
      <c r="D1896" t="s">
        <v>630</v>
      </c>
      <c r="E1896" t="s">
        <v>61</v>
      </c>
      <c r="F1896" t="s">
        <v>78</v>
      </c>
      <c r="G1896" t="s">
        <v>83</v>
      </c>
      <c r="H1896" t="s">
        <v>28</v>
      </c>
      <c r="I1896" t="s">
        <v>73</v>
      </c>
      <c r="J1896" t="s">
        <v>80</v>
      </c>
      <c r="K1896">
        <v>2</v>
      </c>
      <c r="L1896">
        <v>754.44</v>
      </c>
      <c r="M1896">
        <v>0.15</v>
      </c>
      <c r="N1896">
        <v>1282.55</v>
      </c>
      <c r="O1896">
        <v>911.34</v>
      </c>
      <c r="P1896">
        <v>371.21</v>
      </c>
      <c r="Q1896" t="s">
        <v>46</v>
      </c>
      <c r="R1896">
        <v>0.28943121125882032</v>
      </c>
      <c r="S1896">
        <v>2025</v>
      </c>
      <c r="T1896" t="s">
        <v>1384</v>
      </c>
      <c r="U1896">
        <v>7</v>
      </c>
      <c r="V1896" t="s">
        <v>1385</v>
      </c>
    </row>
    <row r="1897" spans="1:22" x14ac:dyDescent="0.3">
      <c r="A1897" t="s">
        <v>2905</v>
      </c>
      <c r="B1897" s="1">
        <v>45847</v>
      </c>
      <c r="C1897" t="s">
        <v>1030</v>
      </c>
      <c r="D1897" t="s">
        <v>1449</v>
      </c>
      <c r="E1897" t="s">
        <v>61</v>
      </c>
      <c r="F1897" t="s">
        <v>78</v>
      </c>
      <c r="G1897" t="s">
        <v>216</v>
      </c>
      <c r="H1897" t="s">
        <v>43</v>
      </c>
      <c r="I1897" t="s">
        <v>51</v>
      </c>
      <c r="J1897" t="s">
        <v>52</v>
      </c>
      <c r="K1897">
        <v>3</v>
      </c>
      <c r="L1897">
        <v>666.71</v>
      </c>
      <c r="M1897">
        <v>0</v>
      </c>
      <c r="N1897">
        <v>2000.13</v>
      </c>
      <c r="O1897">
        <v>950.13</v>
      </c>
      <c r="P1897">
        <v>1050</v>
      </c>
      <c r="Q1897" t="s">
        <v>31</v>
      </c>
      <c r="R1897">
        <v>0.52496587721798083</v>
      </c>
      <c r="S1897">
        <v>2025</v>
      </c>
      <c r="T1897" t="s">
        <v>1384</v>
      </c>
      <c r="U1897">
        <v>7</v>
      </c>
      <c r="V1897" t="s">
        <v>1385</v>
      </c>
    </row>
    <row r="1898" spans="1:22" x14ac:dyDescent="0.3">
      <c r="A1898" t="s">
        <v>2906</v>
      </c>
      <c r="B1898" s="1">
        <v>45847</v>
      </c>
      <c r="C1898" t="s">
        <v>903</v>
      </c>
      <c r="D1898" t="s">
        <v>170</v>
      </c>
      <c r="E1898" t="s">
        <v>61</v>
      </c>
      <c r="F1898" t="s">
        <v>71</v>
      </c>
      <c r="G1898" t="s">
        <v>72</v>
      </c>
      <c r="H1898" t="s">
        <v>64</v>
      </c>
      <c r="I1898" t="s">
        <v>108</v>
      </c>
      <c r="J1898" t="s">
        <v>109</v>
      </c>
      <c r="K1898">
        <v>4</v>
      </c>
      <c r="L1898">
        <v>6777.08</v>
      </c>
      <c r="M1898">
        <v>0.05</v>
      </c>
      <c r="N1898">
        <v>25752.9</v>
      </c>
      <c r="O1898">
        <v>17035.22</v>
      </c>
      <c r="P1898">
        <v>8717.68</v>
      </c>
      <c r="Q1898" t="s">
        <v>113</v>
      </c>
      <c r="R1898">
        <v>0.33851255586749451</v>
      </c>
      <c r="S1898">
        <v>2025</v>
      </c>
      <c r="T1898" t="s">
        <v>1384</v>
      </c>
      <c r="U1898">
        <v>7</v>
      </c>
      <c r="V1898" t="s">
        <v>1385</v>
      </c>
    </row>
    <row r="1899" spans="1:22" x14ac:dyDescent="0.3">
      <c r="A1899" t="s">
        <v>2907</v>
      </c>
      <c r="B1899" s="1">
        <v>45847</v>
      </c>
      <c r="C1899" t="s">
        <v>2231</v>
      </c>
      <c r="D1899" t="s">
        <v>390</v>
      </c>
      <c r="E1899" t="s">
        <v>61</v>
      </c>
      <c r="F1899" t="s">
        <v>78</v>
      </c>
      <c r="G1899" t="s">
        <v>83</v>
      </c>
      <c r="H1899" t="s">
        <v>28</v>
      </c>
      <c r="I1899" t="s">
        <v>73</v>
      </c>
      <c r="J1899" t="s">
        <v>80</v>
      </c>
      <c r="K1899">
        <v>2</v>
      </c>
      <c r="L1899">
        <v>760.41</v>
      </c>
      <c r="M1899">
        <v>0.05</v>
      </c>
      <c r="N1899">
        <v>1444.78</v>
      </c>
      <c r="O1899">
        <v>928.5</v>
      </c>
      <c r="P1899">
        <v>516.28</v>
      </c>
      <c r="Q1899" t="s">
        <v>31</v>
      </c>
      <c r="R1899">
        <v>0.35734160218164701</v>
      </c>
      <c r="S1899">
        <v>2025</v>
      </c>
      <c r="T1899" t="s">
        <v>1384</v>
      </c>
      <c r="U1899">
        <v>7</v>
      </c>
      <c r="V1899" t="s">
        <v>1385</v>
      </c>
    </row>
    <row r="1900" spans="1:22" x14ac:dyDescent="0.3">
      <c r="A1900" t="s">
        <v>2908</v>
      </c>
      <c r="B1900" s="1">
        <v>45847</v>
      </c>
      <c r="C1900" t="s">
        <v>319</v>
      </c>
      <c r="D1900" t="s">
        <v>1108</v>
      </c>
      <c r="E1900" t="s">
        <v>120</v>
      </c>
      <c r="F1900" t="s">
        <v>121</v>
      </c>
      <c r="G1900" t="s">
        <v>130</v>
      </c>
      <c r="H1900" t="s">
        <v>28</v>
      </c>
      <c r="I1900" t="s">
        <v>73</v>
      </c>
      <c r="J1900" t="s">
        <v>80</v>
      </c>
      <c r="K1900">
        <v>1</v>
      </c>
      <c r="L1900">
        <v>816.68</v>
      </c>
      <c r="M1900">
        <v>0.05</v>
      </c>
      <c r="N1900">
        <v>775.85</v>
      </c>
      <c r="O1900">
        <v>499.44</v>
      </c>
      <c r="P1900">
        <v>276.41000000000003</v>
      </c>
      <c r="Q1900" t="s">
        <v>46</v>
      </c>
      <c r="R1900">
        <v>0.35626731971386222</v>
      </c>
      <c r="S1900">
        <v>2025</v>
      </c>
      <c r="T1900" t="s">
        <v>1384</v>
      </c>
      <c r="U1900">
        <v>7</v>
      </c>
      <c r="V1900" t="s">
        <v>1385</v>
      </c>
    </row>
    <row r="1901" spans="1:22" x14ac:dyDescent="0.3">
      <c r="A1901" t="s">
        <v>2909</v>
      </c>
      <c r="B1901" s="1">
        <v>45848</v>
      </c>
      <c r="C1901" t="s">
        <v>2411</v>
      </c>
      <c r="D1901" t="s">
        <v>1863</v>
      </c>
      <c r="E1901" t="s">
        <v>41</v>
      </c>
      <c r="F1901" t="s">
        <v>42</v>
      </c>
      <c r="G1901" t="s">
        <v>50</v>
      </c>
      <c r="H1901" t="s">
        <v>64</v>
      </c>
      <c r="I1901" t="s">
        <v>108</v>
      </c>
      <c r="J1901" t="s">
        <v>109</v>
      </c>
      <c r="K1901">
        <v>3</v>
      </c>
      <c r="L1901">
        <v>6995.93</v>
      </c>
      <c r="M1901">
        <v>0.15</v>
      </c>
      <c r="N1901">
        <v>17839.62</v>
      </c>
      <c r="O1901">
        <v>13116.43</v>
      </c>
      <c r="P1901">
        <v>4723.1899999999996</v>
      </c>
      <c r="Q1901" t="s">
        <v>46</v>
      </c>
      <c r="R1901">
        <v>0.26475844216412681</v>
      </c>
      <c r="S1901">
        <v>2025</v>
      </c>
      <c r="T1901" t="s">
        <v>1384</v>
      </c>
      <c r="U1901">
        <v>7</v>
      </c>
      <c r="V1901" t="s">
        <v>1385</v>
      </c>
    </row>
    <row r="1902" spans="1:22" x14ac:dyDescent="0.3">
      <c r="A1902" t="s">
        <v>2910</v>
      </c>
      <c r="B1902" s="1">
        <v>45848</v>
      </c>
      <c r="C1902" t="s">
        <v>163</v>
      </c>
      <c r="D1902" t="s">
        <v>701</v>
      </c>
      <c r="E1902" t="s">
        <v>120</v>
      </c>
      <c r="F1902" t="s">
        <v>121</v>
      </c>
      <c r="G1902" t="s">
        <v>224</v>
      </c>
      <c r="H1902" t="s">
        <v>28</v>
      </c>
      <c r="I1902" t="s">
        <v>91</v>
      </c>
      <c r="J1902" t="s">
        <v>92</v>
      </c>
      <c r="K1902">
        <v>3</v>
      </c>
      <c r="L1902">
        <v>3070.68</v>
      </c>
      <c r="M1902">
        <v>0.1</v>
      </c>
      <c r="N1902">
        <v>8290.84</v>
      </c>
      <c r="O1902">
        <v>4608.66</v>
      </c>
      <c r="P1902">
        <v>3682.18</v>
      </c>
      <c r="Q1902" t="s">
        <v>53</v>
      </c>
      <c r="R1902">
        <v>0.44412628877170462</v>
      </c>
      <c r="S1902">
        <v>2025</v>
      </c>
      <c r="T1902" t="s">
        <v>1384</v>
      </c>
      <c r="U1902">
        <v>7</v>
      </c>
      <c r="V1902" t="s">
        <v>1385</v>
      </c>
    </row>
    <row r="1903" spans="1:22" x14ac:dyDescent="0.3">
      <c r="A1903" t="s">
        <v>2911</v>
      </c>
      <c r="B1903" s="1">
        <v>45848</v>
      </c>
      <c r="C1903" t="s">
        <v>1316</v>
      </c>
      <c r="D1903" t="s">
        <v>1408</v>
      </c>
      <c r="E1903" t="s">
        <v>61</v>
      </c>
      <c r="F1903" t="s">
        <v>62</v>
      </c>
      <c r="G1903" t="s">
        <v>228</v>
      </c>
      <c r="H1903" t="s">
        <v>28</v>
      </c>
      <c r="I1903" t="s">
        <v>91</v>
      </c>
      <c r="J1903" t="s">
        <v>126</v>
      </c>
      <c r="K1903">
        <v>1</v>
      </c>
      <c r="L1903">
        <v>1963.36</v>
      </c>
      <c r="M1903">
        <v>0.1</v>
      </c>
      <c r="N1903">
        <v>1767.02</v>
      </c>
      <c r="O1903">
        <v>1112.93</v>
      </c>
      <c r="P1903">
        <v>654.09</v>
      </c>
      <c r="Q1903" t="s">
        <v>53</v>
      </c>
      <c r="R1903">
        <v>0.37016558952360468</v>
      </c>
      <c r="S1903">
        <v>2025</v>
      </c>
      <c r="T1903" t="s">
        <v>1384</v>
      </c>
      <c r="U1903">
        <v>7</v>
      </c>
      <c r="V1903" t="s">
        <v>1385</v>
      </c>
    </row>
    <row r="1904" spans="1:22" x14ac:dyDescent="0.3">
      <c r="A1904" t="s">
        <v>2912</v>
      </c>
      <c r="B1904" s="1">
        <v>45848</v>
      </c>
      <c r="C1904" t="s">
        <v>625</v>
      </c>
      <c r="D1904" t="s">
        <v>191</v>
      </c>
      <c r="E1904" t="s">
        <v>120</v>
      </c>
      <c r="F1904" t="s">
        <v>121</v>
      </c>
      <c r="G1904" t="s">
        <v>122</v>
      </c>
      <c r="H1904" t="s">
        <v>43</v>
      </c>
      <c r="I1904" t="s">
        <v>51</v>
      </c>
      <c r="J1904" t="s">
        <v>96</v>
      </c>
      <c r="K1904">
        <v>2</v>
      </c>
      <c r="L1904">
        <v>471.76</v>
      </c>
      <c r="M1904">
        <v>0.15</v>
      </c>
      <c r="N1904">
        <v>801.99</v>
      </c>
      <c r="O1904">
        <v>439.39</v>
      </c>
      <c r="P1904">
        <v>362.6</v>
      </c>
      <c r="Q1904" t="s">
        <v>31</v>
      </c>
      <c r="R1904">
        <v>0.45212533822117479</v>
      </c>
      <c r="S1904">
        <v>2025</v>
      </c>
      <c r="T1904" t="s">
        <v>1384</v>
      </c>
      <c r="U1904">
        <v>7</v>
      </c>
      <c r="V1904" t="s">
        <v>1385</v>
      </c>
    </row>
    <row r="1905" spans="1:22" x14ac:dyDescent="0.3">
      <c r="A1905" t="s">
        <v>2913</v>
      </c>
      <c r="B1905" s="1">
        <v>45848</v>
      </c>
      <c r="C1905" t="s">
        <v>1302</v>
      </c>
      <c r="D1905" t="s">
        <v>587</v>
      </c>
      <c r="E1905" t="s">
        <v>41</v>
      </c>
      <c r="F1905" t="s">
        <v>42</v>
      </c>
      <c r="G1905" t="s">
        <v>50</v>
      </c>
      <c r="H1905" t="s">
        <v>28</v>
      </c>
      <c r="I1905" t="s">
        <v>91</v>
      </c>
      <c r="J1905" t="s">
        <v>126</v>
      </c>
      <c r="K1905">
        <v>3</v>
      </c>
      <c r="L1905">
        <v>2013.71</v>
      </c>
      <c r="M1905">
        <v>0</v>
      </c>
      <c r="N1905">
        <v>6041.13</v>
      </c>
      <c r="O1905">
        <v>3638.59</v>
      </c>
      <c r="P1905">
        <v>2402.54</v>
      </c>
      <c r="Q1905" t="s">
        <v>46</v>
      </c>
      <c r="R1905">
        <v>0.39769711957862192</v>
      </c>
      <c r="S1905">
        <v>2025</v>
      </c>
      <c r="T1905" t="s">
        <v>1384</v>
      </c>
      <c r="U1905">
        <v>7</v>
      </c>
      <c r="V1905" t="s">
        <v>1385</v>
      </c>
    </row>
    <row r="1906" spans="1:22" x14ac:dyDescent="0.3">
      <c r="A1906" t="s">
        <v>2914</v>
      </c>
      <c r="B1906" s="1">
        <v>45849</v>
      </c>
      <c r="C1906" t="s">
        <v>1113</v>
      </c>
      <c r="D1906" t="s">
        <v>670</v>
      </c>
      <c r="E1906" t="s">
        <v>61</v>
      </c>
      <c r="F1906" t="s">
        <v>71</v>
      </c>
      <c r="G1906" t="s">
        <v>317</v>
      </c>
      <c r="H1906" t="s">
        <v>64</v>
      </c>
      <c r="I1906" t="s">
        <v>108</v>
      </c>
      <c r="J1906" t="s">
        <v>109</v>
      </c>
      <c r="K1906">
        <v>2</v>
      </c>
      <c r="L1906">
        <v>6953.55</v>
      </c>
      <c r="M1906">
        <v>0.1</v>
      </c>
      <c r="N1906">
        <v>12516.39</v>
      </c>
      <c r="O1906">
        <v>8977.31</v>
      </c>
      <c r="P1906">
        <v>3539.08</v>
      </c>
      <c r="Q1906" t="s">
        <v>53</v>
      </c>
      <c r="R1906">
        <v>0.28275565079068332</v>
      </c>
      <c r="S1906">
        <v>2025</v>
      </c>
      <c r="T1906" t="s">
        <v>1384</v>
      </c>
      <c r="U1906">
        <v>7</v>
      </c>
      <c r="V1906" t="s">
        <v>1385</v>
      </c>
    </row>
    <row r="1907" spans="1:22" x14ac:dyDescent="0.3">
      <c r="A1907" t="s">
        <v>2915</v>
      </c>
      <c r="B1907" s="1">
        <v>45850</v>
      </c>
      <c r="C1907" t="s">
        <v>1829</v>
      </c>
      <c r="D1907" t="s">
        <v>1367</v>
      </c>
      <c r="E1907" t="s">
        <v>25</v>
      </c>
      <c r="F1907" t="s">
        <v>26</v>
      </c>
      <c r="G1907" t="s">
        <v>260</v>
      </c>
      <c r="H1907" t="s">
        <v>84</v>
      </c>
      <c r="I1907" t="s">
        <v>138</v>
      </c>
      <c r="J1907" t="s">
        <v>220</v>
      </c>
      <c r="K1907">
        <v>2</v>
      </c>
      <c r="L1907">
        <v>7255.93</v>
      </c>
      <c r="M1907">
        <v>0.1</v>
      </c>
      <c r="N1907">
        <v>13060.67</v>
      </c>
      <c r="O1907">
        <v>9547.2999999999993</v>
      </c>
      <c r="P1907">
        <v>3513.37</v>
      </c>
      <c r="Q1907" t="s">
        <v>67</v>
      </c>
      <c r="R1907">
        <v>0.26900381067740009</v>
      </c>
      <c r="S1907">
        <v>2025</v>
      </c>
      <c r="T1907" t="s">
        <v>1384</v>
      </c>
      <c r="U1907">
        <v>7</v>
      </c>
      <c r="V1907" t="s">
        <v>1385</v>
      </c>
    </row>
    <row r="1908" spans="1:22" x14ac:dyDescent="0.3">
      <c r="A1908" t="s">
        <v>2916</v>
      </c>
      <c r="B1908" s="1">
        <v>45850</v>
      </c>
      <c r="C1908" t="s">
        <v>734</v>
      </c>
      <c r="D1908" t="s">
        <v>292</v>
      </c>
      <c r="E1908" t="s">
        <v>25</v>
      </c>
      <c r="F1908" t="s">
        <v>26</v>
      </c>
      <c r="G1908" t="s">
        <v>260</v>
      </c>
      <c r="H1908" t="s">
        <v>28</v>
      </c>
      <c r="I1908" t="s">
        <v>29</v>
      </c>
      <c r="J1908" t="s">
        <v>57</v>
      </c>
      <c r="K1908">
        <v>2</v>
      </c>
      <c r="L1908">
        <v>16864.66</v>
      </c>
      <c r="M1908">
        <v>0.05</v>
      </c>
      <c r="N1908">
        <v>32042.85</v>
      </c>
      <c r="O1908">
        <v>24707.82</v>
      </c>
      <c r="P1908">
        <v>7335.03</v>
      </c>
      <c r="Q1908" t="s">
        <v>46</v>
      </c>
      <c r="R1908">
        <v>0.22891315847373131</v>
      </c>
      <c r="S1908">
        <v>2025</v>
      </c>
      <c r="T1908" t="s">
        <v>1384</v>
      </c>
      <c r="U1908">
        <v>7</v>
      </c>
      <c r="V1908" t="s">
        <v>1385</v>
      </c>
    </row>
    <row r="1909" spans="1:22" x14ac:dyDescent="0.3">
      <c r="A1909" t="s">
        <v>2917</v>
      </c>
      <c r="B1909" s="1">
        <v>45850</v>
      </c>
      <c r="C1909" t="s">
        <v>2918</v>
      </c>
      <c r="D1909" t="s">
        <v>265</v>
      </c>
      <c r="E1909" t="s">
        <v>61</v>
      </c>
      <c r="F1909" t="s">
        <v>78</v>
      </c>
      <c r="G1909" t="s">
        <v>79</v>
      </c>
      <c r="H1909" t="s">
        <v>28</v>
      </c>
      <c r="I1909" t="s">
        <v>29</v>
      </c>
      <c r="J1909" t="s">
        <v>57</v>
      </c>
      <c r="K1909">
        <v>4</v>
      </c>
      <c r="L1909">
        <v>15851.82</v>
      </c>
      <c r="M1909">
        <v>0.2</v>
      </c>
      <c r="N1909">
        <v>50725.82</v>
      </c>
      <c r="O1909">
        <v>49355.19</v>
      </c>
      <c r="P1909">
        <v>1370.63</v>
      </c>
      <c r="Q1909" t="s">
        <v>46</v>
      </c>
      <c r="R1909">
        <v>2.7020361622542531E-2</v>
      </c>
      <c r="S1909">
        <v>2025</v>
      </c>
      <c r="T1909" t="s">
        <v>1384</v>
      </c>
      <c r="U1909">
        <v>7</v>
      </c>
      <c r="V1909" t="s">
        <v>1385</v>
      </c>
    </row>
    <row r="1910" spans="1:22" x14ac:dyDescent="0.3">
      <c r="A1910" t="s">
        <v>2919</v>
      </c>
      <c r="B1910" s="1">
        <v>45850</v>
      </c>
      <c r="C1910" t="s">
        <v>564</v>
      </c>
      <c r="D1910" t="s">
        <v>363</v>
      </c>
      <c r="E1910" t="s">
        <v>41</v>
      </c>
      <c r="F1910" t="s">
        <v>42</v>
      </c>
      <c r="G1910" t="s">
        <v>50</v>
      </c>
      <c r="H1910" t="s">
        <v>43</v>
      </c>
      <c r="I1910" t="s">
        <v>44</v>
      </c>
      <c r="J1910" t="s">
        <v>45</v>
      </c>
      <c r="K1910">
        <v>6</v>
      </c>
      <c r="L1910">
        <v>258.01</v>
      </c>
      <c r="M1910">
        <v>0.2</v>
      </c>
      <c r="N1910">
        <v>1238.45</v>
      </c>
      <c r="O1910">
        <v>611.76</v>
      </c>
      <c r="P1910">
        <v>626.69000000000005</v>
      </c>
      <c r="Q1910" t="s">
        <v>67</v>
      </c>
      <c r="R1910">
        <v>0.50602769591021035</v>
      </c>
      <c r="S1910">
        <v>2025</v>
      </c>
      <c r="T1910" t="s">
        <v>1384</v>
      </c>
      <c r="U1910">
        <v>7</v>
      </c>
      <c r="V1910" t="s">
        <v>1385</v>
      </c>
    </row>
    <row r="1911" spans="1:22" x14ac:dyDescent="0.3">
      <c r="A1911" t="s">
        <v>2920</v>
      </c>
      <c r="B1911" s="1">
        <v>45850</v>
      </c>
      <c r="C1911" t="s">
        <v>1180</v>
      </c>
      <c r="D1911" t="s">
        <v>151</v>
      </c>
      <c r="E1911" t="s">
        <v>120</v>
      </c>
      <c r="F1911" t="s">
        <v>121</v>
      </c>
      <c r="G1911" t="s">
        <v>122</v>
      </c>
      <c r="H1911" t="s">
        <v>43</v>
      </c>
      <c r="I1911" t="s">
        <v>44</v>
      </c>
      <c r="J1911" t="s">
        <v>45</v>
      </c>
      <c r="K1911">
        <v>1</v>
      </c>
      <c r="L1911">
        <v>256.22000000000003</v>
      </c>
      <c r="M1911">
        <v>0.1</v>
      </c>
      <c r="N1911">
        <v>230.6</v>
      </c>
      <c r="O1911">
        <v>93.73</v>
      </c>
      <c r="P1911">
        <v>136.87</v>
      </c>
      <c r="Q1911" t="s">
        <v>31</v>
      </c>
      <c r="R1911">
        <v>0.59353859496964445</v>
      </c>
      <c r="S1911">
        <v>2025</v>
      </c>
      <c r="T1911" t="s">
        <v>1384</v>
      </c>
      <c r="U1911">
        <v>7</v>
      </c>
      <c r="V1911" t="s">
        <v>1385</v>
      </c>
    </row>
    <row r="1912" spans="1:22" x14ac:dyDescent="0.3">
      <c r="A1912" t="s">
        <v>2921</v>
      </c>
      <c r="B1912" s="1">
        <v>45850</v>
      </c>
      <c r="C1912" t="s">
        <v>1829</v>
      </c>
      <c r="D1912" t="s">
        <v>60</v>
      </c>
      <c r="E1912" t="s">
        <v>61</v>
      </c>
      <c r="F1912" t="s">
        <v>78</v>
      </c>
      <c r="G1912" t="s">
        <v>83</v>
      </c>
      <c r="H1912" t="s">
        <v>84</v>
      </c>
      <c r="I1912" t="s">
        <v>138</v>
      </c>
      <c r="J1912" t="s">
        <v>220</v>
      </c>
      <c r="K1912">
        <v>2</v>
      </c>
      <c r="L1912">
        <v>7417.66</v>
      </c>
      <c r="M1912">
        <v>0</v>
      </c>
      <c r="N1912">
        <v>14835.32</v>
      </c>
      <c r="O1912">
        <v>9937.32</v>
      </c>
      <c r="P1912">
        <v>4898</v>
      </c>
      <c r="Q1912" t="s">
        <v>67</v>
      </c>
      <c r="R1912">
        <v>0.33015802827306723</v>
      </c>
      <c r="S1912">
        <v>2025</v>
      </c>
      <c r="T1912" t="s">
        <v>1384</v>
      </c>
      <c r="U1912">
        <v>7</v>
      </c>
      <c r="V1912" t="s">
        <v>1385</v>
      </c>
    </row>
    <row r="1913" spans="1:22" x14ac:dyDescent="0.3">
      <c r="A1913" t="s">
        <v>2922</v>
      </c>
      <c r="B1913" s="1">
        <v>45851</v>
      </c>
      <c r="C1913" t="s">
        <v>1014</v>
      </c>
      <c r="D1913" t="s">
        <v>206</v>
      </c>
      <c r="E1913" t="s">
        <v>61</v>
      </c>
      <c r="F1913" t="s">
        <v>71</v>
      </c>
      <c r="G1913" t="s">
        <v>100</v>
      </c>
      <c r="H1913" t="s">
        <v>84</v>
      </c>
      <c r="I1913" t="s">
        <v>138</v>
      </c>
      <c r="J1913" t="s">
        <v>220</v>
      </c>
      <c r="K1913">
        <v>4</v>
      </c>
      <c r="L1913">
        <v>7124.81</v>
      </c>
      <c r="M1913">
        <v>0.15</v>
      </c>
      <c r="N1913">
        <v>24224.35</v>
      </c>
      <c r="O1913">
        <v>18816.740000000002</v>
      </c>
      <c r="P1913">
        <v>5407.61</v>
      </c>
      <c r="Q1913" t="s">
        <v>31</v>
      </c>
      <c r="R1913">
        <v>0.22323034467385089</v>
      </c>
      <c r="S1913">
        <v>2025</v>
      </c>
      <c r="T1913" t="s">
        <v>1384</v>
      </c>
      <c r="U1913">
        <v>7</v>
      </c>
      <c r="V1913" t="s">
        <v>1385</v>
      </c>
    </row>
    <row r="1914" spans="1:22" x14ac:dyDescent="0.3">
      <c r="A1914" t="s">
        <v>2923</v>
      </c>
      <c r="B1914" s="1">
        <v>45851</v>
      </c>
      <c r="C1914" t="s">
        <v>2924</v>
      </c>
      <c r="D1914" t="s">
        <v>494</v>
      </c>
      <c r="E1914" t="s">
        <v>61</v>
      </c>
      <c r="F1914" t="s">
        <v>62</v>
      </c>
      <c r="G1914" t="s">
        <v>90</v>
      </c>
      <c r="H1914" t="s">
        <v>28</v>
      </c>
      <c r="I1914" t="s">
        <v>29</v>
      </c>
      <c r="J1914" t="s">
        <v>30</v>
      </c>
      <c r="K1914">
        <v>4</v>
      </c>
      <c r="L1914">
        <v>55836.36</v>
      </c>
      <c r="M1914">
        <v>0.1</v>
      </c>
      <c r="N1914">
        <v>201010.9</v>
      </c>
      <c r="O1914">
        <v>200054.87</v>
      </c>
      <c r="P1914">
        <v>956.03</v>
      </c>
      <c r="Q1914" t="s">
        <v>31</v>
      </c>
      <c r="R1914">
        <v>4.7561102407879374E-3</v>
      </c>
      <c r="S1914">
        <v>2025</v>
      </c>
      <c r="T1914" t="s">
        <v>1384</v>
      </c>
      <c r="U1914">
        <v>7</v>
      </c>
      <c r="V1914" t="s">
        <v>1385</v>
      </c>
    </row>
    <row r="1915" spans="1:22" x14ac:dyDescent="0.3">
      <c r="A1915" t="s">
        <v>2925</v>
      </c>
      <c r="B1915" s="1">
        <v>45851</v>
      </c>
      <c r="C1915" t="s">
        <v>2260</v>
      </c>
      <c r="D1915" t="s">
        <v>623</v>
      </c>
      <c r="E1915" t="s">
        <v>61</v>
      </c>
      <c r="F1915" t="s">
        <v>78</v>
      </c>
      <c r="G1915" t="s">
        <v>79</v>
      </c>
      <c r="H1915" t="s">
        <v>64</v>
      </c>
      <c r="I1915" t="s">
        <v>65</v>
      </c>
      <c r="J1915" t="s">
        <v>66</v>
      </c>
      <c r="K1915">
        <v>2</v>
      </c>
      <c r="L1915">
        <v>4931.43</v>
      </c>
      <c r="M1915">
        <v>0.1</v>
      </c>
      <c r="N1915">
        <v>8876.57</v>
      </c>
      <c r="O1915">
        <v>6058.2</v>
      </c>
      <c r="P1915">
        <v>2818.37</v>
      </c>
      <c r="Q1915" t="s">
        <v>53</v>
      </c>
      <c r="R1915">
        <v>0.31750664952791452</v>
      </c>
      <c r="S1915">
        <v>2025</v>
      </c>
      <c r="T1915" t="s">
        <v>1384</v>
      </c>
      <c r="U1915">
        <v>7</v>
      </c>
      <c r="V1915" t="s">
        <v>1385</v>
      </c>
    </row>
    <row r="1916" spans="1:22" x14ac:dyDescent="0.3">
      <c r="A1916" t="s">
        <v>2926</v>
      </c>
      <c r="B1916" s="1">
        <v>45851</v>
      </c>
      <c r="C1916" t="s">
        <v>1920</v>
      </c>
      <c r="D1916" t="s">
        <v>354</v>
      </c>
      <c r="E1916" t="s">
        <v>61</v>
      </c>
      <c r="F1916" t="s">
        <v>78</v>
      </c>
      <c r="G1916" t="s">
        <v>104</v>
      </c>
      <c r="H1916" t="s">
        <v>43</v>
      </c>
      <c r="I1916" t="s">
        <v>51</v>
      </c>
      <c r="J1916" t="s">
        <v>96</v>
      </c>
      <c r="K1916">
        <v>2</v>
      </c>
      <c r="L1916">
        <v>520.4</v>
      </c>
      <c r="M1916">
        <v>0.1</v>
      </c>
      <c r="N1916">
        <v>936.72</v>
      </c>
      <c r="O1916">
        <v>455.31</v>
      </c>
      <c r="P1916">
        <v>481.41</v>
      </c>
      <c r="Q1916" t="s">
        <v>53</v>
      </c>
      <c r="R1916">
        <v>0.51393159108378172</v>
      </c>
      <c r="S1916">
        <v>2025</v>
      </c>
      <c r="T1916" t="s">
        <v>1384</v>
      </c>
      <c r="U1916">
        <v>7</v>
      </c>
      <c r="V1916" t="s">
        <v>1385</v>
      </c>
    </row>
    <row r="1917" spans="1:22" x14ac:dyDescent="0.3">
      <c r="A1917" t="s">
        <v>2927</v>
      </c>
      <c r="B1917" s="1">
        <v>45851</v>
      </c>
      <c r="C1917" t="s">
        <v>2456</v>
      </c>
      <c r="D1917" t="s">
        <v>851</v>
      </c>
      <c r="E1917" t="s">
        <v>61</v>
      </c>
      <c r="F1917" t="s">
        <v>78</v>
      </c>
      <c r="G1917" t="s">
        <v>83</v>
      </c>
      <c r="H1917" t="s">
        <v>84</v>
      </c>
      <c r="I1917" t="s">
        <v>85</v>
      </c>
      <c r="J1917" t="s">
        <v>145</v>
      </c>
      <c r="K1917">
        <v>2</v>
      </c>
      <c r="L1917">
        <v>3306.34</v>
      </c>
      <c r="M1917">
        <v>0</v>
      </c>
      <c r="N1917">
        <v>6612.68</v>
      </c>
      <c r="O1917">
        <v>3896.12</v>
      </c>
      <c r="P1917">
        <v>2716.56</v>
      </c>
      <c r="Q1917" t="s">
        <v>53</v>
      </c>
      <c r="R1917">
        <v>0.41081074541638191</v>
      </c>
      <c r="S1917">
        <v>2025</v>
      </c>
      <c r="T1917" t="s">
        <v>1384</v>
      </c>
      <c r="U1917">
        <v>7</v>
      </c>
      <c r="V1917" t="s">
        <v>1385</v>
      </c>
    </row>
    <row r="1918" spans="1:22" x14ac:dyDescent="0.3">
      <c r="A1918" t="s">
        <v>2928</v>
      </c>
      <c r="B1918" s="1">
        <v>45851</v>
      </c>
      <c r="C1918" t="s">
        <v>118</v>
      </c>
      <c r="D1918" t="s">
        <v>1207</v>
      </c>
      <c r="E1918" t="s">
        <v>61</v>
      </c>
      <c r="F1918" t="s">
        <v>62</v>
      </c>
      <c r="G1918" t="s">
        <v>228</v>
      </c>
      <c r="H1918" t="s">
        <v>64</v>
      </c>
      <c r="I1918" t="s">
        <v>108</v>
      </c>
      <c r="J1918" t="s">
        <v>155</v>
      </c>
      <c r="K1918">
        <v>4</v>
      </c>
      <c r="L1918">
        <v>8438.67</v>
      </c>
      <c r="M1918">
        <v>0</v>
      </c>
      <c r="N1918">
        <v>33754.68</v>
      </c>
      <c r="O1918">
        <v>23676.15</v>
      </c>
      <c r="P1918">
        <v>10078.530000000001</v>
      </c>
      <c r="Q1918" t="s">
        <v>113</v>
      </c>
      <c r="R1918">
        <v>0.29858170778096549</v>
      </c>
      <c r="S1918">
        <v>2025</v>
      </c>
      <c r="T1918" t="s">
        <v>1384</v>
      </c>
      <c r="U1918">
        <v>7</v>
      </c>
      <c r="V1918" t="s">
        <v>1385</v>
      </c>
    </row>
    <row r="1919" spans="1:22" x14ac:dyDescent="0.3">
      <c r="A1919" t="s">
        <v>2929</v>
      </c>
      <c r="B1919" s="1">
        <v>45851</v>
      </c>
      <c r="C1919" t="s">
        <v>1027</v>
      </c>
      <c r="D1919" t="s">
        <v>256</v>
      </c>
      <c r="E1919" t="s">
        <v>41</v>
      </c>
      <c r="F1919" t="s">
        <v>42</v>
      </c>
      <c r="G1919" t="s">
        <v>50</v>
      </c>
      <c r="H1919" t="s">
        <v>64</v>
      </c>
      <c r="I1919" t="s">
        <v>108</v>
      </c>
      <c r="J1919" t="s">
        <v>109</v>
      </c>
      <c r="K1919">
        <v>1</v>
      </c>
      <c r="L1919">
        <v>7167.2</v>
      </c>
      <c r="M1919">
        <v>0.1</v>
      </c>
      <c r="N1919">
        <v>6450.48</v>
      </c>
      <c r="O1919">
        <v>4446.3500000000004</v>
      </c>
      <c r="P1919">
        <v>2004.13</v>
      </c>
      <c r="Q1919" t="s">
        <v>31</v>
      </c>
      <c r="R1919">
        <v>0.31069470799072318</v>
      </c>
      <c r="S1919">
        <v>2025</v>
      </c>
      <c r="T1919" t="s">
        <v>1384</v>
      </c>
      <c r="U1919">
        <v>7</v>
      </c>
      <c r="V1919" t="s">
        <v>1385</v>
      </c>
    </row>
    <row r="1920" spans="1:22" x14ac:dyDescent="0.3">
      <c r="A1920" t="s">
        <v>2930</v>
      </c>
      <c r="B1920" s="1">
        <v>45851</v>
      </c>
      <c r="C1920" t="s">
        <v>492</v>
      </c>
      <c r="D1920" t="s">
        <v>680</v>
      </c>
      <c r="E1920" t="s">
        <v>61</v>
      </c>
      <c r="F1920" t="s">
        <v>78</v>
      </c>
      <c r="G1920" t="s">
        <v>216</v>
      </c>
      <c r="H1920" t="s">
        <v>84</v>
      </c>
      <c r="I1920" t="s">
        <v>85</v>
      </c>
      <c r="J1920" t="s">
        <v>86</v>
      </c>
      <c r="K1920">
        <v>3</v>
      </c>
      <c r="L1920">
        <v>1725.58</v>
      </c>
      <c r="M1920">
        <v>0</v>
      </c>
      <c r="N1920">
        <v>5176.74</v>
      </c>
      <c r="O1920">
        <v>2771.36</v>
      </c>
      <c r="P1920">
        <v>2405.38</v>
      </c>
      <c r="Q1920" t="s">
        <v>46</v>
      </c>
      <c r="R1920">
        <v>0.46465149881972062</v>
      </c>
      <c r="S1920">
        <v>2025</v>
      </c>
      <c r="T1920" t="s">
        <v>1384</v>
      </c>
      <c r="U1920">
        <v>7</v>
      </c>
      <c r="V1920" t="s">
        <v>1385</v>
      </c>
    </row>
    <row r="1921" spans="1:22" x14ac:dyDescent="0.3">
      <c r="A1921" t="s">
        <v>2931</v>
      </c>
      <c r="B1921" s="1">
        <v>45852</v>
      </c>
      <c r="C1921" t="s">
        <v>392</v>
      </c>
      <c r="D1921" t="s">
        <v>1513</v>
      </c>
      <c r="E1921" t="s">
        <v>61</v>
      </c>
      <c r="F1921" t="s">
        <v>71</v>
      </c>
      <c r="G1921" t="s">
        <v>201</v>
      </c>
      <c r="H1921" t="s">
        <v>84</v>
      </c>
      <c r="I1921" t="s">
        <v>85</v>
      </c>
      <c r="J1921" t="s">
        <v>145</v>
      </c>
      <c r="K1921">
        <v>1</v>
      </c>
      <c r="L1921">
        <v>3324.05</v>
      </c>
      <c r="M1921">
        <v>0.2</v>
      </c>
      <c r="N1921">
        <v>2659.24</v>
      </c>
      <c r="O1921">
        <v>1854.18</v>
      </c>
      <c r="P1921">
        <v>805.06</v>
      </c>
      <c r="Q1921" t="s">
        <v>46</v>
      </c>
      <c r="R1921">
        <v>0.30274063266196349</v>
      </c>
      <c r="S1921">
        <v>2025</v>
      </c>
      <c r="T1921" t="s">
        <v>1384</v>
      </c>
      <c r="U1921">
        <v>7</v>
      </c>
      <c r="V1921" t="s">
        <v>1385</v>
      </c>
    </row>
    <row r="1922" spans="1:22" x14ac:dyDescent="0.3">
      <c r="A1922" t="s">
        <v>2932</v>
      </c>
      <c r="B1922" s="1">
        <v>45852</v>
      </c>
      <c r="C1922" t="s">
        <v>1206</v>
      </c>
      <c r="D1922" t="s">
        <v>707</v>
      </c>
      <c r="E1922" t="s">
        <v>61</v>
      </c>
      <c r="F1922" t="s">
        <v>71</v>
      </c>
      <c r="G1922" t="s">
        <v>100</v>
      </c>
      <c r="H1922" t="s">
        <v>28</v>
      </c>
      <c r="I1922" t="s">
        <v>73</v>
      </c>
      <c r="J1922" t="s">
        <v>74</v>
      </c>
      <c r="K1922">
        <v>3</v>
      </c>
      <c r="L1922">
        <v>2372.1799999999998</v>
      </c>
      <c r="M1922">
        <v>0.1</v>
      </c>
      <c r="N1922">
        <v>6404.89</v>
      </c>
      <c r="O1922">
        <v>4027.68</v>
      </c>
      <c r="P1922">
        <v>2377.21</v>
      </c>
      <c r="Q1922" t="s">
        <v>67</v>
      </c>
      <c r="R1922">
        <v>0.37115547651872238</v>
      </c>
      <c r="S1922">
        <v>2025</v>
      </c>
      <c r="T1922" t="s">
        <v>1384</v>
      </c>
      <c r="U1922">
        <v>7</v>
      </c>
      <c r="V1922" t="s">
        <v>1385</v>
      </c>
    </row>
    <row r="1923" spans="1:22" x14ac:dyDescent="0.3">
      <c r="A1923" t="s">
        <v>2933</v>
      </c>
      <c r="B1923" s="1">
        <v>45853</v>
      </c>
      <c r="C1923" t="s">
        <v>2389</v>
      </c>
      <c r="D1923" t="s">
        <v>780</v>
      </c>
      <c r="E1923" t="s">
        <v>61</v>
      </c>
      <c r="F1923" t="s">
        <v>78</v>
      </c>
      <c r="G1923" t="s">
        <v>79</v>
      </c>
      <c r="H1923" t="s">
        <v>84</v>
      </c>
      <c r="I1923" t="s">
        <v>85</v>
      </c>
      <c r="J1923" t="s">
        <v>86</v>
      </c>
      <c r="K1923">
        <v>3</v>
      </c>
      <c r="L1923">
        <v>1791.47</v>
      </c>
      <c r="M1923">
        <v>0.05</v>
      </c>
      <c r="N1923">
        <v>5105.6899999999996</v>
      </c>
      <c r="O1923">
        <v>2834.45</v>
      </c>
      <c r="P1923">
        <v>2271.2399999999998</v>
      </c>
      <c r="Q1923" t="s">
        <v>67</v>
      </c>
      <c r="R1923">
        <v>0.44484486915578503</v>
      </c>
      <c r="S1923">
        <v>2025</v>
      </c>
      <c r="T1923" t="s">
        <v>1384</v>
      </c>
      <c r="U1923">
        <v>7</v>
      </c>
      <c r="V1923" t="s">
        <v>1385</v>
      </c>
    </row>
    <row r="1924" spans="1:22" x14ac:dyDescent="0.3">
      <c r="A1924" t="s">
        <v>2934</v>
      </c>
      <c r="B1924" s="1">
        <v>45853</v>
      </c>
      <c r="C1924" t="s">
        <v>2935</v>
      </c>
      <c r="D1924" t="s">
        <v>775</v>
      </c>
      <c r="E1924" t="s">
        <v>41</v>
      </c>
      <c r="F1924" t="s">
        <v>42</v>
      </c>
      <c r="G1924" t="s">
        <v>42</v>
      </c>
      <c r="H1924" t="s">
        <v>84</v>
      </c>
      <c r="I1924" t="s">
        <v>138</v>
      </c>
      <c r="J1924" t="s">
        <v>139</v>
      </c>
      <c r="K1924">
        <v>1</v>
      </c>
      <c r="L1924">
        <v>13591.4</v>
      </c>
      <c r="M1924">
        <v>0</v>
      </c>
      <c r="N1924">
        <v>13591.4</v>
      </c>
      <c r="O1924">
        <v>9505.48</v>
      </c>
      <c r="P1924">
        <v>4085.92</v>
      </c>
      <c r="Q1924" t="s">
        <v>31</v>
      </c>
      <c r="R1924">
        <v>0.3006253954706653</v>
      </c>
      <c r="S1924">
        <v>2025</v>
      </c>
      <c r="T1924" t="s">
        <v>1384</v>
      </c>
      <c r="U1924">
        <v>7</v>
      </c>
      <c r="V1924" t="s">
        <v>1385</v>
      </c>
    </row>
    <row r="1925" spans="1:22" x14ac:dyDescent="0.3">
      <c r="A1925" t="s">
        <v>2936</v>
      </c>
      <c r="B1925" s="1">
        <v>45854</v>
      </c>
      <c r="C1925" t="s">
        <v>2937</v>
      </c>
      <c r="D1925" t="s">
        <v>1106</v>
      </c>
      <c r="E1925" t="s">
        <v>41</v>
      </c>
      <c r="F1925" t="s">
        <v>42</v>
      </c>
      <c r="G1925" t="s">
        <v>42</v>
      </c>
      <c r="H1925" t="s">
        <v>84</v>
      </c>
      <c r="I1925" t="s">
        <v>138</v>
      </c>
      <c r="J1925" t="s">
        <v>220</v>
      </c>
      <c r="K1925">
        <v>2</v>
      </c>
      <c r="L1925">
        <v>7680.47</v>
      </c>
      <c r="M1925">
        <v>0.1</v>
      </c>
      <c r="N1925">
        <v>13824.85</v>
      </c>
      <c r="O1925">
        <v>10039.27</v>
      </c>
      <c r="P1925">
        <v>3785.58</v>
      </c>
      <c r="Q1925" t="s">
        <v>31</v>
      </c>
      <c r="R1925">
        <v>0.27382430912451128</v>
      </c>
      <c r="S1925">
        <v>2025</v>
      </c>
      <c r="T1925" t="s">
        <v>1384</v>
      </c>
      <c r="U1925">
        <v>7</v>
      </c>
      <c r="V1925" t="s">
        <v>1385</v>
      </c>
    </row>
    <row r="1926" spans="1:22" x14ac:dyDescent="0.3">
      <c r="A1926" t="s">
        <v>2938</v>
      </c>
      <c r="B1926" s="1">
        <v>45854</v>
      </c>
      <c r="C1926" t="s">
        <v>2939</v>
      </c>
      <c r="D1926" t="s">
        <v>954</v>
      </c>
      <c r="E1926" t="s">
        <v>61</v>
      </c>
      <c r="F1926" t="s">
        <v>78</v>
      </c>
      <c r="G1926" t="s">
        <v>83</v>
      </c>
      <c r="H1926" t="s">
        <v>28</v>
      </c>
      <c r="I1926" t="s">
        <v>73</v>
      </c>
      <c r="J1926" t="s">
        <v>74</v>
      </c>
      <c r="K1926">
        <v>1</v>
      </c>
      <c r="L1926">
        <v>2589.1</v>
      </c>
      <c r="M1926">
        <v>0.15</v>
      </c>
      <c r="N1926">
        <v>2200.73</v>
      </c>
      <c r="O1926">
        <v>1467.47</v>
      </c>
      <c r="P1926">
        <v>733.26</v>
      </c>
      <c r="Q1926" t="s">
        <v>67</v>
      </c>
      <c r="R1926">
        <v>0.33318944168525899</v>
      </c>
      <c r="S1926">
        <v>2025</v>
      </c>
      <c r="T1926" t="s">
        <v>1384</v>
      </c>
      <c r="U1926">
        <v>7</v>
      </c>
      <c r="V1926" t="s">
        <v>1385</v>
      </c>
    </row>
    <row r="1927" spans="1:22" x14ac:dyDescent="0.3">
      <c r="A1927" t="s">
        <v>2940</v>
      </c>
      <c r="B1927" s="1">
        <v>45855</v>
      </c>
      <c r="C1927" t="s">
        <v>124</v>
      </c>
      <c r="D1927" t="s">
        <v>142</v>
      </c>
      <c r="E1927" t="s">
        <v>25</v>
      </c>
      <c r="F1927" t="s">
        <v>26</v>
      </c>
      <c r="G1927" t="s">
        <v>260</v>
      </c>
      <c r="H1927" t="s">
        <v>84</v>
      </c>
      <c r="I1927" t="s">
        <v>85</v>
      </c>
      <c r="J1927" t="s">
        <v>86</v>
      </c>
      <c r="K1927">
        <v>1</v>
      </c>
      <c r="L1927">
        <v>1862.25</v>
      </c>
      <c r="M1927">
        <v>0.05</v>
      </c>
      <c r="N1927">
        <v>1769.14</v>
      </c>
      <c r="O1927">
        <v>1033.5999999999999</v>
      </c>
      <c r="P1927">
        <v>735.54</v>
      </c>
      <c r="Q1927" t="s">
        <v>113</v>
      </c>
      <c r="R1927">
        <v>0.41576133036390561</v>
      </c>
      <c r="S1927">
        <v>2025</v>
      </c>
      <c r="T1927" t="s">
        <v>1384</v>
      </c>
      <c r="U1927">
        <v>7</v>
      </c>
      <c r="V1927" t="s">
        <v>1385</v>
      </c>
    </row>
    <row r="1928" spans="1:22" x14ac:dyDescent="0.3">
      <c r="A1928" t="s">
        <v>2941</v>
      </c>
      <c r="B1928" s="1">
        <v>45855</v>
      </c>
      <c r="C1928" t="s">
        <v>834</v>
      </c>
      <c r="D1928" t="s">
        <v>568</v>
      </c>
      <c r="E1928" t="s">
        <v>61</v>
      </c>
      <c r="F1928" t="s">
        <v>78</v>
      </c>
      <c r="G1928" t="s">
        <v>216</v>
      </c>
      <c r="H1928" t="s">
        <v>64</v>
      </c>
      <c r="I1928" t="s">
        <v>108</v>
      </c>
      <c r="J1928" t="s">
        <v>109</v>
      </c>
      <c r="K1928">
        <v>6</v>
      </c>
      <c r="L1928">
        <v>6702.33</v>
      </c>
      <c r="M1928">
        <v>0.15</v>
      </c>
      <c r="N1928">
        <v>34181.879999999997</v>
      </c>
      <c r="O1928">
        <v>25565.62</v>
      </c>
      <c r="P1928">
        <v>8616.26</v>
      </c>
      <c r="Q1928" t="s">
        <v>53</v>
      </c>
      <c r="R1928">
        <v>0.25207098029716329</v>
      </c>
      <c r="S1928">
        <v>2025</v>
      </c>
      <c r="T1928" t="s">
        <v>1384</v>
      </c>
      <c r="U1928">
        <v>7</v>
      </c>
      <c r="V1928" t="s">
        <v>1385</v>
      </c>
    </row>
    <row r="1929" spans="1:22" x14ac:dyDescent="0.3">
      <c r="A1929" t="s">
        <v>2942</v>
      </c>
      <c r="B1929" s="1">
        <v>45856</v>
      </c>
      <c r="C1929" t="s">
        <v>1813</v>
      </c>
      <c r="D1929" t="s">
        <v>371</v>
      </c>
      <c r="E1929" t="s">
        <v>61</v>
      </c>
      <c r="F1929" t="s">
        <v>71</v>
      </c>
      <c r="G1929" t="s">
        <v>72</v>
      </c>
      <c r="H1929" t="s">
        <v>64</v>
      </c>
      <c r="I1929" t="s">
        <v>65</v>
      </c>
      <c r="J1929" t="s">
        <v>66</v>
      </c>
      <c r="K1929">
        <v>4</v>
      </c>
      <c r="L1929">
        <v>4710.37</v>
      </c>
      <c r="M1929">
        <v>0.15</v>
      </c>
      <c r="N1929">
        <v>16015.26</v>
      </c>
      <c r="O1929">
        <v>11451.95</v>
      </c>
      <c r="P1929">
        <v>4563.3100000000004</v>
      </c>
      <c r="Q1929" t="s">
        <v>31</v>
      </c>
      <c r="R1929">
        <v>0.28493511813108252</v>
      </c>
      <c r="S1929">
        <v>2025</v>
      </c>
      <c r="T1929" t="s">
        <v>1384</v>
      </c>
      <c r="U1929">
        <v>7</v>
      </c>
      <c r="V1929" t="s">
        <v>1385</v>
      </c>
    </row>
    <row r="1930" spans="1:22" x14ac:dyDescent="0.3">
      <c r="A1930" t="s">
        <v>2943</v>
      </c>
      <c r="B1930" s="1">
        <v>45856</v>
      </c>
      <c r="C1930" t="s">
        <v>2699</v>
      </c>
      <c r="D1930" t="s">
        <v>809</v>
      </c>
      <c r="E1930" t="s">
        <v>61</v>
      </c>
      <c r="F1930" t="s">
        <v>78</v>
      </c>
      <c r="G1930" t="s">
        <v>104</v>
      </c>
      <c r="H1930" t="s">
        <v>64</v>
      </c>
      <c r="I1930" t="s">
        <v>65</v>
      </c>
      <c r="J1930" t="s">
        <v>66</v>
      </c>
      <c r="K1930">
        <v>2</v>
      </c>
      <c r="L1930">
        <v>5122.22</v>
      </c>
      <c r="M1930">
        <v>0.1</v>
      </c>
      <c r="N1930">
        <v>9220</v>
      </c>
      <c r="O1930">
        <v>6193.04</v>
      </c>
      <c r="P1930">
        <v>3026.96</v>
      </c>
      <c r="Q1930" t="s">
        <v>31</v>
      </c>
      <c r="R1930">
        <v>0.32830368763557483</v>
      </c>
      <c r="S1930">
        <v>2025</v>
      </c>
      <c r="T1930" t="s">
        <v>1384</v>
      </c>
      <c r="U1930">
        <v>7</v>
      </c>
      <c r="V1930" t="s">
        <v>1385</v>
      </c>
    </row>
    <row r="1931" spans="1:22" x14ac:dyDescent="0.3">
      <c r="A1931" t="s">
        <v>2944</v>
      </c>
      <c r="B1931" s="1">
        <v>45856</v>
      </c>
      <c r="C1931" t="s">
        <v>1568</v>
      </c>
      <c r="D1931" t="s">
        <v>1232</v>
      </c>
      <c r="E1931" t="s">
        <v>61</v>
      </c>
      <c r="F1931" t="s">
        <v>78</v>
      </c>
      <c r="G1931" t="s">
        <v>104</v>
      </c>
      <c r="H1931" t="s">
        <v>43</v>
      </c>
      <c r="I1931" t="s">
        <v>44</v>
      </c>
      <c r="J1931" t="s">
        <v>248</v>
      </c>
      <c r="K1931">
        <v>3</v>
      </c>
      <c r="L1931">
        <v>316.26</v>
      </c>
      <c r="M1931">
        <v>0.05</v>
      </c>
      <c r="N1931">
        <v>901.34</v>
      </c>
      <c r="O1931">
        <v>405.18</v>
      </c>
      <c r="P1931">
        <v>496.16</v>
      </c>
      <c r="Q1931" t="s">
        <v>113</v>
      </c>
      <c r="R1931">
        <v>0.55046930126256466</v>
      </c>
      <c r="S1931">
        <v>2025</v>
      </c>
      <c r="T1931" t="s">
        <v>1384</v>
      </c>
      <c r="U1931">
        <v>7</v>
      </c>
      <c r="V1931" t="s">
        <v>1385</v>
      </c>
    </row>
    <row r="1932" spans="1:22" x14ac:dyDescent="0.3">
      <c r="A1932" t="s">
        <v>2945</v>
      </c>
      <c r="B1932" s="1">
        <v>45857</v>
      </c>
      <c r="C1932" t="s">
        <v>173</v>
      </c>
      <c r="D1932" t="s">
        <v>575</v>
      </c>
      <c r="E1932" t="s">
        <v>61</v>
      </c>
      <c r="F1932" t="s">
        <v>78</v>
      </c>
      <c r="G1932" t="s">
        <v>216</v>
      </c>
      <c r="H1932" t="s">
        <v>28</v>
      </c>
      <c r="I1932" t="s">
        <v>91</v>
      </c>
      <c r="J1932" t="s">
        <v>126</v>
      </c>
      <c r="K1932">
        <v>4</v>
      </c>
      <c r="L1932">
        <v>2045.84</v>
      </c>
      <c r="M1932">
        <v>0.2</v>
      </c>
      <c r="N1932">
        <v>6546.69</v>
      </c>
      <c r="O1932">
        <v>4758.83</v>
      </c>
      <c r="P1932">
        <v>1787.86</v>
      </c>
      <c r="Q1932" t="s">
        <v>31</v>
      </c>
      <c r="R1932">
        <v>0.27309373133598808</v>
      </c>
      <c r="S1932">
        <v>2025</v>
      </c>
      <c r="T1932" t="s">
        <v>1384</v>
      </c>
      <c r="U1932">
        <v>7</v>
      </c>
      <c r="V1932" t="s">
        <v>1385</v>
      </c>
    </row>
    <row r="1933" spans="1:22" x14ac:dyDescent="0.3">
      <c r="A1933" t="s">
        <v>2946</v>
      </c>
      <c r="B1933" s="1">
        <v>45857</v>
      </c>
      <c r="C1933" t="s">
        <v>2215</v>
      </c>
      <c r="D1933" t="s">
        <v>334</v>
      </c>
      <c r="E1933" t="s">
        <v>61</v>
      </c>
      <c r="F1933" t="s">
        <v>71</v>
      </c>
      <c r="G1933" t="s">
        <v>100</v>
      </c>
      <c r="H1933" t="s">
        <v>28</v>
      </c>
      <c r="I1933" t="s">
        <v>91</v>
      </c>
      <c r="J1933" t="s">
        <v>126</v>
      </c>
      <c r="K1933">
        <v>3</v>
      </c>
      <c r="L1933">
        <v>2031.46</v>
      </c>
      <c r="M1933">
        <v>0.15</v>
      </c>
      <c r="N1933">
        <v>5180.22</v>
      </c>
      <c r="O1933">
        <v>3462.42</v>
      </c>
      <c r="P1933">
        <v>1717.8</v>
      </c>
      <c r="Q1933" t="s">
        <v>67</v>
      </c>
      <c r="R1933">
        <v>0.33160753790379549</v>
      </c>
      <c r="S1933">
        <v>2025</v>
      </c>
      <c r="T1933" t="s">
        <v>1384</v>
      </c>
      <c r="U1933">
        <v>7</v>
      </c>
      <c r="V1933" t="s">
        <v>1385</v>
      </c>
    </row>
    <row r="1934" spans="1:22" x14ac:dyDescent="0.3">
      <c r="A1934" t="s">
        <v>2947</v>
      </c>
      <c r="B1934" s="1">
        <v>45857</v>
      </c>
      <c r="C1934" t="s">
        <v>106</v>
      </c>
      <c r="D1934" t="s">
        <v>307</v>
      </c>
      <c r="E1934" t="s">
        <v>41</v>
      </c>
      <c r="F1934" t="s">
        <v>42</v>
      </c>
      <c r="G1934" t="s">
        <v>42</v>
      </c>
      <c r="H1934" t="s">
        <v>64</v>
      </c>
      <c r="I1934" t="s">
        <v>108</v>
      </c>
      <c r="J1934" t="s">
        <v>155</v>
      </c>
      <c r="K1934">
        <v>4</v>
      </c>
      <c r="L1934">
        <v>8053.75</v>
      </c>
      <c r="M1934">
        <v>0.2</v>
      </c>
      <c r="N1934">
        <v>25772</v>
      </c>
      <c r="O1934">
        <v>22430.61</v>
      </c>
      <c r="P1934">
        <v>3341.39</v>
      </c>
      <c r="Q1934" t="s">
        <v>67</v>
      </c>
      <c r="R1934">
        <v>0.12965194785038031</v>
      </c>
      <c r="S1934">
        <v>2025</v>
      </c>
      <c r="T1934" t="s">
        <v>1384</v>
      </c>
      <c r="U1934">
        <v>7</v>
      </c>
      <c r="V1934" t="s">
        <v>1385</v>
      </c>
    </row>
    <row r="1935" spans="1:22" x14ac:dyDescent="0.3">
      <c r="A1935" t="s">
        <v>2948</v>
      </c>
      <c r="B1935" s="1">
        <v>45857</v>
      </c>
      <c r="C1935" t="s">
        <v>672</v>
      </c>
      <c r="D1935" t="s">
        <v>1435</v>
      </c>
      <c r="E1935" t="s">
        <v>41</v>
      </c>
      <c r="F1935" t="s">
        <v>42</v>
      </c>
      <c r="G1935" t="s">
        <v>42</v>
      </c>
      <c r="H1935" t="s">
        <v>84</v>
      </c>
      <c r="I1935" t="s">
        <v>138</v>
      </c>
      <c r="J1935" t="s">
        <v>139</v>
      </c>
      <c r="K1935">
        <v>2</v>
      </c>
      <c r="L1935">
        <v>12925.81</v>
      </c>
      <c r="M1935">
        <v>0.05</v>
      </c>
      <c r="N1935">
        <v>24559.040000000001</v>
      </c>
      <c r="O1935">
        <v>19144.13</v>
      </c>
      <c r="P1935">
        <v>5414.91</v>
      </c>
      <c r="Q1935" t="s">
        <v>31</v>
      </c>
      <c r="R1935">
        <v>0.22048540985315379</v>
      </c>
      <c r="S1935">
        <v>2025</v>
      </c>
      <c r="T1935" t="s">
        <v>1384</v>
      </c>
      <c r="U1935">
        <v>7</v>
      </c>
      <c r="V1935" t="s">
        <v>1385</v>
      </c>
    </row>
    <row r="1936" spans="1:22" x14ac:dyDescent="0.3">
      <c r="A1936" t="s">
        <v>2949</v>
      </c>
      <c r="B1936" s="1">
        <v>45858</v>
      </c>
      <c r="C1936" t="s">
        <v>1465</v>
      </c>
      <c r="D1936" t="s">
        <v>789</v>
      </c>
      <c r="E1936" t="s">
        <v>61</v>
      </c>
      <c r="F1936" t="s">
        <v>62</v>
      </c>
      <c r="G1936" t="s">
        <v>63</v>
      </c>
      <c r="H1936" t="s">
        <v>28</v>
      </c>
      <c r="I1936" t="s">
        <v>29</v>
      </c>
      <c r="J1936" t="s">
        <v>57</v>
      </c>
      <c r="K1936">
        <v>1</v>
      </c>
      <c r="L1936">
        <v>16917.48</v>
      </c>
      <c r="M1936">
        <v>0</v>
      </c>
      <c r="N1936">
        <v>16917.48</v>
      </c>
      <c r="O1936">
        <v>12748.85</v>
      </c>
      <c r="P1936">
        <v>4168.63</v>
      </c>
      <c r="Q1936" t="s">
        <v>31</v>
      </c>
      <c r="R1936">
        <v>0.24640963074878769</v>
      </c>
      <c r="S1936">
        <v>2025</v>
      </c>
      <c r="T1936" t="s">
        <v>1384</v>
      </c>
      <c r="U1936">
        <v>7</v>
      </c>
      <c r="V1936" t="s">
        <v>1385</v>
      </c>
    </row>
    <row r="1937" spans="1:22" x14ac:dyDescent="0.3">
      <c r="A1937" t="s">
        <v>2950</v>
      </c>
      <c r="B1937" s="1">
        <v>45858</v>
      </c>
      <c r="C1937" t="s">
        <v>2033</v>
      </c>
      <c r="D1937" t="s">
        <v>1232</v>
      </c>
      <c r="E1937" t="s">
        <v>61</v>
      </c>
      <c r="F1937" t="s">
        <v>62</v>
      </c>
      <c r="G1937" t="s">
        <v>228</v>
      </c>
      <c r="H1937" t="s">
        <v>84</v>
      </c>
      <c r="I1937" t="s">
        <v>138</v>
      </c>
      <c r="J1937" t="s">
        <v>220</v>
      </c>
      <c r="K1937">
        <v>3</v>
      </c>
      <c r="L1937">
        <v>7313.06</v>
      </c>
      <c r="M1937">
        <v>0</v>
      </c>
      <c r="N1937">
        <v>21939.18</v>
      </c>
      <c r="O1937">
        <v>13961.41</v>
      </c>
      <c r="P1937">
        <v>7977.77</v>
      </c>
      <c r="Q1937" t="s">
        <v>53</v>
      </c>
      <c r="R1937">
        <v>0.36363118402784428</v>
      </c>
      <c r="S1937">
        <v>2025</v>
      </c>
      <c r="T1937" t="s">
        <v>1384</v>
      </c>
      <c r="U1937">
        <v>7</v>
      </c>
      <c r="V1937" t="s">
        <v>1385</v>
      </c>
    </row>
    <row r="1938" spans="1:22" x14ac:dyDescent="0.3">
      <c r="A1938" t="s">
        <v>2951</v>
      </c>
      <c r="B1938" s="1">
        <v>45858</v>
      </c>
      <c r="C1938" t="s">
        <v>1362</v>
      </c>
      <c r="D1938" t="s">
        <v>382</v>
      </c>
      <c r="E1938" t="s">
        <v>61</v>
      </c>
      <c r="F1938" t="s">
        <v>78</v>
      </c>
      <c r="G1938" t="s">
        <v>104</v>
      </c>
      <c r="H1938" t="s">
        <v>43</v>
      </c>
      <c r="I1938" t="s">
        <v>44</v>
      </c>
      <c r="J1938" t="s">
        <v>45</v>
      </c>
      <c r="K1938">
        <v>2</v>
      </c>
      <c r="L1938">
        <v>256.32</v>
      </c>
      <c r="M1938">
        <v>0.05</v>
      </c>
      <c r="N1938">
        <v>487.01</v>
      </c>
      <c r="O1938">
        <v>201.75</v>
      </c>
      <c r="P1938">
        <v>285.26</v>
      </c>
      <c r="Q1938" t="s">
        <v>31</v>
      </c>
      <c r="R1938">
        <v>0.58573745918974973</v>
      </c>
      <c r="S1938">
        <v>2025</v>
      </c>
      <c r="T1938" t="s">
        <v>1384</v>
      </c>
      <c r="U1938">
        <v>7</v>
      </c>
      <c r="V1938" t="s">
        <v>1385</v>
      </c>
    </row>
    <row r="1939" spans="1:22" x14ac:dyDescent="0.3">
      <c r="A1939" t="s">
        <v>2952</v>
      </c>
      <c r="B1939" s="1">
        <v>45859</v>
      </c>
      <c r="C1939" t="s">
        <v>1131</v>
      </c>
      <c r="D1939" t="s">
        <v>206</v>
      </c>
      <c r="E1939" t="s">
        <v>61</v>
      </c>
      <c r="F1939" t="s">
        <v>78</v>
      </c>
      <c r="G1939" t="s">
        <v>79</v>
      </c>
      <c r="H1939" t="s">
        <v>28</v>
      </c>
      <c r="I1939" t="s">
        <v>29</v>
      </c>
      <c r="J1939" t="s">
        <v>57</v>
      </c>
      <c r="K1939">
        <v>5</v>
      </c>
      <c r="L1939">
        <v>15106.8</v>
      </c>
      <c r="M1939">
        <v>0.1</v>
      </c>
      <c r="N1939">
        <v>67980.600000000006</v>
      </c>
      <c r="O1939">
        <v>57599.49</v>
      </c>
      <c r="P1939">
        <v>10381.11</v>
      </c>
      <c r="Q1939" t="s">
        <v>53</v>
      </c>
      <c r="R1939">
        <v>0.15270694874714261</v>
      </c>
      <c r="S1939">
        <v>2025</v>
      </c>
      <c r="T1939" t="s">
        <v>1384</v>
      </c>
      <c r="U1939">
        <v>7</v>
      </c>
      <c r="V1939" t="s">
        <v>1385</v>
      </c>
    </row>
    <row r="1940" spans="1:22" x14ac:dyDescent="0.3">
      <c r="A1940" t="s">
        <v>2953</v>
      </c>
      <c r="B1940" s="1">
        <v>45859</v>
      </c>
      <c r="C1940" t="s">
        <v>106</v>
      </c>
      <c r="D1940" t="s">
        <v>969</v>
      </c>
      <c r="E1940" t="s">
        <v>41</v>
      </c>
      <c r="F1940" t="s">
        <v>42</v>
      </c>
      <c r="G1940" t="s">
        <v>50</v>
      </c>
      <c r="H1940" t="s">
        <v>28</v>
      </c>
      <c r="I1940" t="s">
        <v>73</v>
      </c>
      <c r="J1940" t="s">
        <v>74</v>
      </c>
      <c r="K1940">
        <v>1</v>
      </c>
      <c r="L1940">
        <v>2530.44</v>
      </c>
      <c r="M1940">
        <v>0.1</v>
      </c>
      <c r="N1940">
        <v>2277.4</v>
      </c>
      <c r="O1940">
        <v>1433.87</v>
      </c>
      <c r="P1940">
        <v>843.53</v>
      </c>
      <c r="Q1940" t="s">
        <v>53</v>
      </c>
      <c r="R1940">
        <v>0.37039167471678219</v>
      </c>
      <c r="S1940">
        <v>2025</v>
      </c>
      <c r="T1940" t="s">
        <v>1384</v>
      </c>
      <c r="U1940">
        <v>7</v>
      </c>
      <c r="V1940" t="s">
        <v>1385</v>
      </c>
    </row>
    <row r="1941" spans="1:22" x14ac:dyDescent="0.3">
      <c r="A1941" t="s">
        <v>2954</v>
      </c>
      <c r="B1941" s="1">
        <v>45860</v>
      </c>
      <c r="C1941" t="s">
        <v>1458</v>
      </c>
      <c r="D1941" t="s">
        <v>1074</v>
      </c>
      <c r="E1941" t="s">
        <v>61</v>
      </c>
      <c r="F1941" t="s">
        <v>62</v>
      </c>
      <c r="G1941" t="s">
        <v>134</v>
      </c>
      <c r="H1941" t="s">
        <v>84</v>
      </c>
      <c r="I1941" t="s">
        <v>138</v>
      </c>
      <c r="J1941" t="s">
        <v>220</v>
      </c>
      <c r="K1941">
        <v>3</v>
      </c>
      <c r="L1941">
        <v>7667.28</v>
      </c>
      <c r="M1941">
        <v>0.2</v>
      </c>
      <c r="N1941">
        <v>18401.47</v>
      </c>
      <c r="O1941">
        <v>15500.33</v>
      </c>
      <c r="P1941">
        <v>2901.14</v>
      </c>
      <c r="Q1941" t="s">
        <v>113</v>
      </c>
      <c r="R1941">
        <v>0.15765805666612501</v>
      </c>
      <c r="S1941">
        <v>2025</v>
      </c>
      <c r="T1941" t="s">
        <v>1384</v>
      </c>
      <c r="U1941">
        <v>7</v>
      </c>
      <c r="V1941" t="s">
        <v>1385</v>
      </c>
    </row>
    <row r="1942" spans="1:22" x14ac:dyDescent="0.3">
      <c r="A1942" t="s">
        <v>2955</v>
      </c>
      <c r="B1942" s="1">
        <v>45860</v>
      </c>
      <c r="C1942" t="s">
        <v>2439</v>
      </c>
      <c r="D1942" t="s">
        <v>587</v>
      </c>
      <c r="E1942" t="s">
        <v>120</v>
      </c>
      <c r="F1942" t="s">
        <v>121</v>
      </c>
      <c r="G1942" t="s">
        <v>122</v>
      </c>
      <c r="H1942" t="s">
        <v>84</v>
      </c>
      <c r="I1942" t="s">
        <v>85</v>
      </c>
      <c r="J1942" t="s">
        <v>86</v>
      </c>
      <c r="K1942">
        <v>1</v>
      </c>
      <c r="L1942">
        <v>1838.09</v>
      </c>
      <c r="M1942">
        <v>0.1</v>
      </c>
      <c r="N1942">
        <v>1654.28</v>
      </c>
      <c r="O1942">
        <v>975.05</v>
      </c>
      <c r="P1942">
        <v>679.23</v>
      </c>
      <c r="Q1942" t="s">
        <v>67</v>
      </c>
      <c r="R1942">
        <v>0.41058950117271559</v>
      </c>
      <c r="S1942">
        <v>2025</v>
      </c>
      <c r="T1942" t="s">
        <v>1384</v>
      </c>
      <c r="U1942">
        <v>7</v>
      </c>
      <c r="V1942" t="s">
        <v>1385</v>
      </c>
    </row>
    <row r="1943" spans="1:22" x14ac:dyDescent="0.3">
      <c r="A1943" t="s">
        <v>2956</v>
      </c>
      <c r="B1943" s="1">
        <v>45860</v>
      </c>
      <c r="C1943" t="s">
        <v>410</v>
      </c>
      <c r="D1943" t="s">
        <v>770</v>
      </c>
      <c r="E1943" t="s">
        <v>25</v>
      </c>
      <c r="F1943" t="s">
        <v>26</v>
      </c>
      <c r="G1943" t="s">
        <v>171</v>
      </c>
      <c r="H1943" t="s">
        <v>84</v>
      </c>
      <c r="I1943" t="s">
        <v>85</v>
      </c>
      <c r="J1943" t="s">
        <v>86</v>
      </c>
      <c r="K1943">
        <v>4</v>
      </c>
      <c r="L1943">
        <v>1791.61</v>
      </c>
      <c r="M1943">
        <v>0.05</v>
      </c>
      <c r="N1943">
        <v>6808.12</v>
      </c>
      <c r="O1943">
        <v>3717.97</v>
      </c>
      <c r="P1943">
        <v>3090.15</v>
      </c>
      <c r="Q1943" t="s">
        <v>53</v>
      </c>
      <c r="R1943">
        <v>0.45389182329336147</v>
      </c>
      <c r="S1943">
        <v>2025</v>
      </c>
      <c r="T1943" t="s">
        <v>1384</v>
      </c>
      <c r="U1943">
        <v>7</v>
      </c>
      <c r="V1943" t="s">
        <v>1385</v>
      </c>
    </row>
    <row r="1944" spans="1:22" x14ac:dyDescent="0.3">
      <c r="A1944" t="s">
        <v>2957</v>
      </c>
      <c r="B1944" s="1">
        <v>45860</v>
      </c>
      <c r="C1944" t="s">
        <v>1342</v>
      </c>
      <c r="D1944" t="s">
        <v>963</v>
      </c>
      <c r="E1944" t="s">
        <v>41</v>
      </c>
      <c r="F1944" t="s">
        <v>42</v>
      </c>
      <c r="G1944" t="s">
        <v>42</v>
      </c>
      <c r="H1944" t="s">
        <v>64</v>
      </c>
      <c r="I1944" t="s">
        <v>108</v>
      </c>
      <c r="J1944" t="s">
        <v>155</v>
      </c>
      <c r="K1944">
        <v>2</v>
      </c>
      <c r="L1944">
        <v>8970.1</v>
      </c>
      <c r="M1944">
        <v>0.05</v>
      </c>
      <c r="N1944">
        <v>17043.189999999999</v>
      </c>
      <c r="O1944">
        <v>12550.87</v>
      </c>
      <c r="P1944">
        <v>4492.32</v>
      </c>
      <c r="Q1944" t="s">
        <v>46</v>
      </c>
      <c r="R1944">
        <v>0.26358445807386999</v>
      </c>
      <c r="S1944">
        <v>2025</v>
      </c>
      <c r="T1944" t="s">
        <v>1384</v>
      </c>
      <c r="U1944">
        <v>7</v>
      </c>
      <c r="V1944" t="s">
        <v>1385</v>
      </c>
    </row>
    <row r="1945" spans="1:22" x14ac:dyDescent="0.3">
      <c r="A1945" t="s">
        <v>2958</v>
      </c>
      <c r="B1945" s="1">
        <v>45860</v>
      </c>
      <c r="C1945" t="s">
        <v>648</v>
      </c>
      <c r="D1945" t="s">
        <v>1503</v>
      </c>
      <c r="E1945" t="s">
        <v>61</v>
      </c>
      <c r="F1945" t="s">
        <v>71</v>
      </c>
      <c r="G1945" t="s">
        <v>72</v>
      </c>
      <c r="H1945" t="s">
        <v>28</v>
      </c>
      <c r="I1945" t="s">
        <v>73</v>
      </c>
      <c r="J1945" t="s">
        <v>80</v>
      </c>
      <c r="K1945">
        <v>1</v>
      </c>
      <c r="L1945">
        <v>846.04</v>
      </c>
      <c r="M1945">
        <v>0.2</v>
      </c>
      <c r="N1945">
        <v>676.83</v>
      </c>
      <c r="O1945">
        <v>508.7</v>
      </c>
      <c r="P1945">
        <v>168.13</v>
      </c>
      <c r="Q1945" t="s">
        <v>53</v>
      </c>
      <c r="R1945">
        <v>0.24840801973907781</v>
      </c>
      <c r="S1945">
        <v>2025</v>
      </c>
      <c r="T1945" t="s">
        <v>1384</v>
      </c>
      <c r="U1945">
        <v>7</v>
      </c>
      <c r="V1945" t="s">
        <v>1385</v>
      </c>
    </row>
    <row r="1946" spans="1:22" x14ac:dyDescent="0.3">
      <c r="A1946" t="s">
        <v>2959</v>
      </c>
      <c r="B1946" s="1">
        <v>45861</v>
      </c>
      <c r="C1946" t="s">
        <v>1626</v>
      </c>
      <c r="D1946" t="s">
        <v>1066</v>
      </c>
      <c r="E1946" t="s">
        <v>61</v>
      </c>
      <c r="F1946" t="s">
        <v>78</v>
      </c>
      <c r="G1946" t="s">
        <v>104</v>
      </c>
      <c r="H1946" t="s">
        <v>28</v>
      </c>
      <c r="I1946" t="s">
        <v>91</v>
      </c>
      <c r="J1946" t="s">
        <v>126</v>
      </c>
      <c r="K1946">
        <v>5</v>
      </c>
      <c r="L1946">
        <v>1978.47</v>
      </c>
      <c r="M1946">
        <v>0.15</v>
      </c>
      <c r="N1946">
        <v>8408.5</v>
      </c>
      <c r="O1946">
        <v>5806.3</v>
      </c>
      <c r="P1946">
        <v>2602.1999999999998</v>
      </c>
      <c r="Q1946" t="s">
        <v>113</v>
      </c>
      <c r="R1946">
        <v>0.30947255753106973</v>
      </c>
      <c r="S1946">
        <v>2025</v>
      </c>
      <c r="T1946" t="s">
        <v>1384</v>
      </c>
      <c r="U1946">
        <v>7</v>
      </c>
      <c r="V1946" t="s">
        <v>1385</v>
      </c>
    </row>
    <row r="1947" spans="1:22" x14ac:dyDescent="0.3">
      <c r="A1947" t="s">
        <v>2960</v>
      </c>
      <c r="B1947" s="1">
        <v>45861</v>
      </c>
      <c r="C1947" t="s">
        <v>1008</v>
      </c>
      <c r="D1947" t="s">
        <v>24</v>
      </c>
      <c r="E1947" t="s">
        <v>25</v>
      </c>
      <c r="F1947" t="s">
        <v>26</v>
      </c>
      <c r="G1947" t="s">
        <v>171</v>
      </c>
      <c r="H1947" t="s">
        <v>43</v>
      </c>
      <c r="I1947" t="s">
        <v>51</v>
      </c>
      <c r="J1947" t="s">
        <v>96</v>
      </c>
      <c r="K1947">
        <v>4</v>
      </c>
      <c r="L1947">
        <v>514.27</v>
      </c>
      <c r="M1947">
        <v>0</v>
      </c>
      <c r="N1947">
        <v>2057.08</v>
      </c>
      <c r="O1947">
        <v>926.71</v>
      </c>
      <c r="P1947">
        <v>1130.3699999999999</v>
      </c>
      <c r="Q1947" t="s">
        <v>46</v>
      </c>
      <c r="R1947">
        <v>0.54950220701188091</v>
      </c>
      <c r="S1947">
        <v>2025</v>
      </c>
      <c r="T1947" t="s">
        <v>1384</v>
      </c>
      <c r="U1947">
        <v>7</v>
      </c>
      <c r="V1947" t="s">
        <v>1385</v>
      </c>
    </row>
    <row r="1948" spans="1:22" x14ac:dyDescent="0.3">
      <c r="A1948" t="s">
        <v>2961</v>
      </c>
      <c r="B1948" s="1">
        <v>45861</v>
      </c>
      <c r="C1948" t="s">
        <v>886</v>
      </c>
      <c r="D1948" t="s">
        <v>107</v>
      </c>
      <c r="E1948" t="s">
        <v>61</v>
      </c>
      <c r="F1948" t="s">
        <v>78</v>
      </c>
      <c r="G1948" t="s">
        <v>83</v>
      </c>
      <c r="H1948" t="s">
        <v>43</v>
      </c>
      <c r="I1948" t="s">
        <v>51</v>
      </c>
      <c r="J1948" t="s">
        <v>52</v>
      </c>
      <c r="K1948">
        <v>2</v>
      </c>
      <c r="L1948">
        <v>684.58</v>
      </c>
      <c r="M1948">
        <v>0.15</v>
      </c>
      <c r="N1948">
        <v>1163.79</v>
      </c>
      <c r="O1948">
        <v>659.26</v>
      </c>
      <c r="P1948">
        <v>504.53</v>
      </c>
      <c r="Q1948" t="s">
        <v>67</v>
      </c>
      <c r="R1948">
        <v>0.43352323013602112</v>
      </c>
      <c r="S1948">
        <v>2025</v>
      </c>
      <c r="T1948" t="s">
        <v>1384</v>
      </c>
      <c r="U1948">
        <v>7</v>
      </c>
      <c r="V1948" t="s">
        <v>1385</v>
      </c>
    </row>
    <row r="1949" spans="1:22" x14ac:dyDescent="0.3">
      <c r="A1949" t="s">
        <v>2962</v>
      </c>
      <c r="B1949" s="1">
        <v>45861</v>
      </c>
      <c r="C1949" t="s">
        <v>184</v>
      </c>
      <c r="D1949" t="s">
        <v>978</v>
      </c>
      <c r="E1949" t="s">
        <v>41</v>
      </c>
      <c r="F1949" t="s">
        <v>42</v>
      </c>
      <c r="G1949" t="s">
        <v>50</v>
      </c>
      <c r="H1949" t="s">
        <v>64</v>
      </c>
      <c r="I1949" t="s">
        <v>108</v>
      </c>
      <c r="J1949" t="s">
        <v>155</v>
      </c>
      <c r="K1949">
        <v>2</v>
      </c>
      <c r="L1949">
        <v>8309.52</v>
      </c>
      <c r="M1949">
        <v>0.1</v>
      </c>
      <c r="N1949">
        <v>14957.14</v>
      </c>
      <c r="O1949">
        <v>11010.54</v>
      </c>
      <c r="P1949">
        <v>3946.6</v>
      </c>
      <c r="Q1949" t="s">
        <v>31</v>
      </c>
      <c r="R1949">
        <v>0.26386060436687758</v>
      </c>
      <c r="S1949">
        <v>2025</v>
      </c>
      <c r="T1949" t="s">
        <v>1384</v>
      </c>
      <c r="U1949">
        <v>7</v>
      </c>
      <c r="V1949" t="s">
        <v>1385</v>
      </c>
    </row>
    <row r="1950" spans="1:22" x14ac:dyDescent="0.3">
      <c r="A1950" t="s">
        <v>2963</v>
      </c>
      <c r="B1950" s="1">
        <v>45862</v>
      </c>
      <c r="C1950" t="s">
        <v>1191</v>
      </c>
      <c r="D1950" t="s">
        <v>70</v>
      </c>
      <c r="E1950" t="s">
        <v>61</v>
      </c>
      <c r="F1950" t="s">
        <v>71</v>
      </c>
      <c r="G1950" t="s">
        <v>72</v>
      </c>
      <c r="H1950" t="s">
        <v>28</v>
      </c>
      <c r="I1950" t="s">
        <v>29</v>
      </c>
      <c r="J1950" t="s">
        <v>57</v>
      </c>
      <c r="K1950">
        <v>4</v>
      </c>
      <c r="L1950">
        <v>16920.5</v>
      </c>
      <c r="M1950">
        <v>0.05</v>
      </c>
      <c r="N1950">
        <v>64297.9</v>
      </c>
      <c r="O1950">
        <v>52318.98</v>
      </c>
      <c r="P1950">
        <v>11978.92</v>
      </c>
      <c r="Q1950" t="s">
        <v>31</v>
      </c>
      <c r="R1950">
        <v>0.18630344070335109</v>
      </c>
      <c r="S1950">
        <v>2025</v>
      </c>
      <c r="T1950" t="s">
        <v>1384</v>
      </c>
      <c r="U1950">
        <v>7</v>
      </c>
      <c r="V1950" t="s">
        <v>1385</v>
      </c>
    </row>
    <row r="1951" spans="1:22" x14ac:dyDescent="0.3">
      <c r="A1951" t="s">
        <v>2964</v>
      </c>
      <c r="B1951" s="1">
        <v>45862</v>
      </c>
      <c r="C1951" t="s">
        <v>2965</v>
      </c>
      <c r="D1951" t="s">
        <v>773</v>
      </c>
      <c r="E1951" t="s">
        <v>61</v>
      </c>
      <c r="F1951" t="s">
        <v>78</v>
      </c>
      <c r="G1951" t="s">
        <v>83</v>
      </c>
      <c r="H1951" t="s">
        <v>84</v>
      </c>
      <c r="I1951" t="s">
        <v>138</v>
      </c>
      <c r="J1951" t="s">
        <v>139</v>
      </c>
      <c r="K1951">
        <v>2</v>
      </c>
      <c r="L1951">
        <v>13275.17</v>
      </c>
      <c r="M1951">
        <v>0</v>
      </c>
      <c r="N1951">
        <v>26550.34</v>
      </c>
      <c r="O1951">
        <v>18854.759999999998</v>
      </c>
      <c r="P1951">
        <v>7695.58</v>
      </c>
      <c r="Q1951" t="s">
        <v>31</v>
      </c>
      <c r="R1951">
        <v>0.28984864223960971</v>
      </c>
      <c r="S1951">
        <v>2025</v>
      </c>
      <c r="T1951" t="s">
        <v>1384</v>
      </c>
      <c r="U1951">
        <v>7</v>
      </c>
      <c r="V1951" t="s">
        <v>1385</v>
      </c>
    </row>
    <row r="1952" spans="1:22" x14ac:dyDescent="0.3">
      <c r="A1952" t="s">
        <v>2966</v>
      </c>
      <c r="B1952" s="1">
        <v>45862</v>
      </c>
      <c r="C1952" t="s">
        <v>1209</v>
      </c>
      <c r="D1952" t="s">
        <v>1020</v>
      </c>
      <c r="E1952" t="s">
        <v>41</v>
      </c>
      <c r="F1952" t="s">
        <v>42</v>
      </c>
      <c r="G1952" t="s">
        <v>50</v>
      </c>
      <c r="H1952" t="s">
        <v>28</v>
      </c>
      <c r="I1952" t="s">
        <v>29</v>
      </c>
      <c r="J1952" t="s">
        <v>30</v>
      </c>
      <c r="K1952">
        <v>5</v>
      </c>
      <c r="L1952">
        <v>62244.08</v>
      </c>
      <c r="M1952">
        <v>0.15</v>
      </c>
      <c r="N1952">
        <v>264537.34000000003</v>
      </c>
      <c r="O1952">
        <v>282705.75</v>
      </c>
      <c r="P1952">
        <v>-18168.41</v>
      </c>
      <c r="Q1952" t="s">
        <v>113</v>
      </c>
      <c r="R1952">
        <v>-6.8679945144984059E-2</v>
      </c>
      <c r="S1952">
        <v>2025</v>
      </c>
      <c r="T1952" t="s">
        <v>1384</v>
      </c>
      <c r="U1952">
        <v>7</v>
      </c>
      <c r="V1952" t="s">
        <v>1385</v>
      </c>
    </row>
    <row r="1953" spans="1:22" x14ac:dyDescent="0.3">
      <c r="A1953" t="s">
        <v>2967</v>
      </c>
      <c r="B1953" s="1">
        <v>45862</v>
      </c>
      <c r="C1953" t="s">
        <v>570</v>
      </c>
      <c r="D1953" t="s">
        <v>770</v>
      </c>
      <c r="E1953" t="s">
        <v>25</v>
      </c>
      <c r="F1953" t="s">
        <v>26</v>
      </c>
      <c r="G1953" t="s">
        <v>171</v>
      </c>
      <c r="H1953" t="s">
        <v>28</v>
      </c>
      <c r="I1953" t="s">
        <v>73</v>
      </c>
      <c r="J1953" t="s">
        <v>80</v>
      </c>
      <c r="K1953">
        <v>6</v>
      </c>
      <c r="L1953">
        <v>841.66</v>
      </c>
      <c r="M1953">
        <v>0.05</v>
      </c>
      <c r="N1953">
        <v>4797.46</v>
      </c>
      <c r="O1953">
        <v>3091.82</v>
      </c>
      <c r="P1953">
        <v>1705.64</v>
      </c>
      <c r="Q1953" t="s">
        <v>31</v>
      </c>
      <c r="R1953">
        <v>0.35552980118646121</v>
      </c>
      <c r="S1953">
        <v>2025</v>
      </c>
      <c r="T1953" t="s">
        <v>1384</v>
      </c>
      <c r="U1953">
        <v>7</v>
      </c>
      <c r="V1953" t="s">
        <v>1385</v>
      </c>
    </row>
    <row r="1954" spans="1:22" x14ac:dyDescent="0.3">
      <c r="A1954" t="s">
        <v>2968</v>
      </c>
      <c r="B1954" s="1">
        <v>45863</v>
      </c>
      <c r="C1954" t="s">
        <v>1679</v>
      </c>
      <c r="D1954" t="s">
        <v>430</v>
      </c>
      <c r="E1954" t="s">
        <v>120</v>
      </c>
      <c r="F1954" t="s">
        <v>121</v>
      </c>
      <c r="G1954" t="s">
        <v>130</v>
      </c>
      <c r="H1954" t="s">
        <v>84</v>
      </c>
      <c r="I1954" t="s">
        <v>138</v>
      </c>
      <c r="J1954" t="s">
        <v>139</v>
      </c>
      <c r="K1954">
        <v>1</v>
      </c>
      <c r="L1954">
        <v>12668.72</v>
      </c>
      <c r="M1954">
        <v>0.05</v>
      </c>
      <c r="N1954">
        <v>12035.28</v>
      </c>
      <c r="O1954">
        <v>9358.0400000000009</v>
      </c>
      <c r="P1954">
        <v>2677.24</v>
      </c>
      <c r="Q1954" t="s">
        <v>67</v>
      </c>
      <c r="R1954">
        <v>0.22244933229638189</v>
      </c>
      <c r="S1954">
        <v>2025</v>
      </c>
      <c r="T1954" t="s">
        <v>1384</v>
      </c>
      <c r="U1954">
        <v>7</v>
      </c>
      <c r="V1954" t="s">
        <v>1385</v>
      </c>
    </row>
    <row r="1955" spans="1:22" x14ac:dyDescent="0.3">
      <c r="A1955" t="s">
        <v>2969</v>
      </c>
      <c r="B1955" s="1">
        <v>45863</v>
      </c>
      <c r="C1955" t="s">
        <v>593</v>
      </c>
      <c r="D1955" t="s">
        <v>925</v>
      </c>
      <c r="E1955" t="s">
        <v>25</v>
      </c>
      <c r="F1955" t="s">
        <v>26</v>
      </c>
      <c r="G1955" t="s">
        <v>27</v>
      </c>
      <c r="H1955" t="s">
        <v>64</v>
      </c>
      <c r="I1955" t="s">
        <v>65</v>
      </c>
      <c r="J1955" t="s">
        <v>66</v>
      </c>
      <c r="K1955">
        <v>2</v>
      </c>
      <c r="L1955">
        <v>4800.87</v>
      </c>
      <c r="M1955">
        <v>0.1</v>
      </c>
      <c r="N1955">
        <v>8641.57</v>
      </c>
      <c r="O1955">
        <v>5996.02</v>
      </c>
      <c r="P1955">
        <v>2645.55</v>
      </c>
      <c r="Q1955" t="s">
        <v>31</v>
      </c>
      <c r="R1955">
        <v>0.30614228664467219</v>
      </c>
      <c r="S1955">
        <v>2025</v>
      </c>
      <c r="T1955" t="s">
        <v>1384</v>
      </c>
      <c r="U1955">
        <v>7</v>
      </c>
      <c r="V1955" t="s">
        <v>1385</v>
      </c>
    </row>
    <row r="1956" spans="1:22" x14ac:dyDescent="0.3">
      <c r="A1956" t="s">
        <v>2970</v>
      </c>
      <c r="B1956" s="1">
        <v>45863</v>
      </c>
      <c r="C1956" t="s">
        <v>2439</v>
      </c>
      <c r="D1956" t="s">
        <v>680</v>
      </c>
      <c r="E1956" t="s">
        <v>41</v>
      </c>
      <c r="F1956" t="s">
        <v>42</v>
      </c>
      <c r="G1956" t="s">
        <v>42</v>
      </c>
      <c r="H1956" t="s">
        <v>64</v>
      </c>
      <c r="I1956" t="s">
        <v>108</v>
      </c>
      <c r="J1956" t="s">
        <v>155</v>
      </c>
      <c r="K1956">
        <v>5</v>
      </c>
      <c r="L1956">
        <v>8858.94</v>
      </c>
      <c r="M1956">
        <v>0.1</v>
      </c>
      <c r="N1956">
        <v>39865.230000000003</v>
      </c>
      <c r="O1956">
        <v>30530.31</v>
      </c>
      <c r="P1956">
        <v>9334.92</v>
      </c>
      <c r="Q1956" t="s">
        <v>53</v>
      </c>
      <c r="R1956">
        <v>0.2341619501505447</v>
      </c>
      <c r="S1956">
        <v>2025</v>
      </c>
      <c r="T1956" t="s">
        <v>1384</v>
      </c>
      <c r="U1956">
        <v>7</v>
      </c>
      <c r="V1956" t="s">
        <v>1385</v>
      </c>
    </row>
    <row r="1957" spans="1:22" x14ac:dyDescent="0.3">
      <c r="A1957" t="s">
        <v>2971</v>
      </c>
      <c r="B1957" s="1">
        <v>45863</v>
      </c>
      <c r="C1957" t="s">
        <v>1302</v>
      </c>
      <c r="D1957" t="s">
        <v>403</v>
      </c>
      <c r="E1957" t="s">
        <v>41</v>
      </c>
      <c r="F1957" t="s">
        <v>42</v>
      </c>
      <c r="G1957" t="s">
        <v>42</v>
      </c>
      <c r="H1957" t="s">
        <v>28</v>
      </c>
      <c r="I1957" t="s">
        <v>73</v>
      </c>
      <c r="J1957" t="s">
        <v>74</v>
      </c>
      <c r="K1957">
        <v>5</v>
      </c>
      <c r="L1957">
        <v>2538.04</v>
      </c>
      <c r="M1957">
        <v>0.2</v>
      </c>
      <c r="N1957">
        <v>10152.16</v>
      </c>
      <c r="O1957">
        <v>7239.79</v>
      </c>
      <c r="P1957">
        <v>2912.37</v>
      </c>
      <c r="Q1957" t="s">
        <v>46</v>
      </c>
      <c r="R1957">
        <v>0.28687195631274531</v>
      </c>
      <c r="S1957">
        <v>2025</v>
      </c>
      <c r="T1957" t="s">
        <v>1384</v>
      </c>
      <c r="U1957">
        <v>7</v>
      </c>
      <c r="V1957" t="s">
        <v>1385</v>
      </c>
    </row>
    <row r="1958" spans="1:22" x14ac:dyDescent="0.3">
      <c r="A1958" t="s">
        <v>2972</v>
      </c>
      <c r="B1958" s="1">
        <v>45865</v>
      </c>
      <c r="C1958" t="s">
        <v>924</v>
      </c>
      <c r="D1958" t="s">
        <v>876</v>
      </c>
      <c r="E1958" t="s">
        <v>120</v>
      </c>
      <c r="F1958" t="s">
        <v>121</v>
      </c>
      <c r="G1958" t="s">
        <v>122</v>
      </c>
      <c r="H1958" t="s">
        <v>84</v>
      </c>
      <c r="I1958" t="s">
        <v>85</v>
      </c>
      <c r="J1958" t="s">
        <v>145</v>
      </c>
      <c r="K1958">
        <v>4</v>
      </c>
      <c r="L1958">
        <v>3468.34</v>
      </c>
      <c r="M1958">
        <v>0.05</v>
      </c>
      <c r="N1958">
        <v>13179.69</v>
      </c>
      <c r="O1958">
        <v>7825.41</v>
      </c>
      <c r="P1958">
        <v>5354.28</v>
      </c>
      <c r="Q1958" t="s">
        <v>53</v>
      </c>
      <c r="R1958">
        <v>0.4062523473617361</v>
      </c>
      <c r="S1958">
        <v>2025</v>
      </c>
      <c r="T1958" t="s">
        <v>1384</v>
      </c>
      <c r="U1958">
        <v>7</v>
      </c>
      <c r="V1958" t="s">
        <v>1385</v>
      </c>
    </row>
    <row r="1959" spans="1:22" x14ac:dyDescent="0.3">
      <c r="A1959" t="s">
        <v>2973</v>
      </c>
      <c r="B1959" s="1">
        <v>45865</v>
      </c>
      <c r="C1959" t="s">
        <v>1147</v>
      </c>
      <c r="D1959" t="s">
        <v>1218</v>
      </c>
      <c r="E1959" t="s">
        <v>41</v>
      </c>
      <c r="F1959" t="s">
        <v>42</v>
      </c>
      <c r="G1959" t="s">
        <v>50</v>
      </c>
      <c r="H1959" t="s">
        <v>43</v>
      </c>
      <c r="I1959" t="s">
        <v>51</v>
      </c>
      <c r="J1959" t="s">
        <v>52</v>
      </c>
      <c r="K1959">
        <v>1</v>
      </c>
      <c r="L1959">
        <v>660.31</v>
      </c>
      <c r="M1959">
        <v>0.05</v>
      </c>
      <c r="N1959">
        <v>627.29</v>
      </c>
      <c r="O1959">
        <v>313.05</v>
      </c>
      <c r="P1959">
        <v>314.24</v>
      </c>
      <c r="Q1959" t="s">
        <v>53</v>
      </c>
      <c r="R1959">
        <v>0.50094852460584427</v>
      </c>
      <c r="S1959">
        <v>2025</v>
      </c>
      <c r="T1959" t="s">
        <v>1384</v>
      </c>
      <c r="U1959">
        <v>7</v>
      </c>
      <c r="V1959" t="s">
        <v>1385</v>
      </c>
    </row>
    <row r="1960" spans="1:22" x14ac:dyDescent="0.3">
      <c r="A1960" t="s">
        <v>2974</v>
      </c>
      <c r="B1960" s="1">
        <v>45865</v>
      </c>
      <c r="C1960" t="s">
        <v>1043</v>
      </c>
      <c r="D1960" t="s">
        <v>680</v>
      </c>
      <c r="E1960" t="s">
        <v>61</v>
      </c>
      <c r="F1960" t="s">
        <v>78</v>
      </c>
      <c r="G1960" t="s">
        <v>216</v>
      </c>
      <c r="H1960" t="s">
        <v>64</v>
      </c>
      <c r="I1960" t="s">
        <v>65</v>
      </c>
      <c r="J1960" t="s">
        <v>66</v>
      </c>
      <c r="K1960">
        <v>1</v>
      </c>
      <c r="L1960">
        <v>5101.76</v>
      </c>
      <c r="M1960">
        <v>0.2</v>
      </c>
      <c r="N1960">
        <v>4081.41</v>
      </c>
      <c r="O1960">
        <v>3197.76</v>
      </c>
      <c r="P1960">
        <v>883.65</v>
      </c>
      <c r="Q1960" t="s">
        <v>31</v>
      </c>
      <c r="R1960">
        <v>0.21650606040559511</v>
      </c>
      <c r="S1960">
        <v>2025</v>
      </c>
      <c r="T1960" t="s">
        <v>1384</v>
      </c>
      <c r="U1960">
        <v>7</v>
      </c>
      <c r="V1960" t="s">
        <v>1385</v>
      </c>
    </row>
    <row r="1961" spans="1:22" x14ac:dyDescent="0.3">
      <c r="A1961" t="s">
        <v>2975</v>
      </c>
      <c r="B1961" s="1">
        <v>45866</v>
      </c>
      <c r="C1961" t="s">
        <v>2976</v>
      </c>
      <c r="D1961" t="s">
        <v>1946</v>
      </c>
      <c r="E1961" t="s">
        <v>25</v>
      </c>
      <c r="F1961" t="s">
        <v>26</v>
      </c>
      <c r="G1961" t="s">
        <v>260</v>
      </c>
      <c r="H1961" t="s">
        <v>43</v>
      </c>
      <c r="I1961" t="s">
        <v>51</v>
      </c>
      <c r="J1961" t="s">
        <v>52</v>
      </c>
      <c r="K1961">
        <v>2</v>
      </c>
      <c r="L1961">
        <v>657.19</v>
      </c>
      <c r="M1961">
        <v>0.05</v>
      </c>
      <c r="N1961">
        <v>1248.6600000000001</v>
      </c>
      <c r="O1961">
        <v>627.99</v>
      </c>
      <c r="P1961">
        <v>620.66999999999996</v>
      </c>
      <c r="Q1961" t="s">
        <v>53</v>
      </c>
      <c r="R1961">
        <v>0.49706885781557819</v>
      </c>
      <c r="S1961">
        <v>2025</v>
      </c>
      <c r="T1961" t="s">
        <v>1384</v>
      </c>
      <c r="U1961">
        <v>7</v>
      </c>
      <c r="V1961" t="s">
        <v>1385</v>
      </c>
    </row>
    <row r="1962" spans="1:22" x14ac:dyDescent="0.3">
      <c r="A1962" t="s">
        <v>2977</v>
      </c>
      <c r="B1962" s="1">
        <v>45866</v>
      </c>
      <c r="C1962" t="s">
        <v>1901</v>
      </c>
      <c r="D1962" t="s">
        <v>524</v>
      </c>
      <c r="E1962" t="s">
        <v>41</v>
      </c>
      <c r="F1962" t="s">
        <v>42</v>
      </c>
      <c r="G1962" t="s">
        <v>50</v>
      </c>
      <c r="H1962" t="s">
        <v>84</v>
      </c>
      <c r="I1962" t="s">
        <v>138</v>
      </c>
      <c r="J1962" t="s">
        <v>139</v>
      </c>
      <c r="K1962">
        <v>6</v>
      </c>
      <c r="L1962">
        <v>12256.03</v>
      </c>
      <c r="M1962">
        <v>0.15</v>
      </c>
      <c r="N1962">
        <v>62505.75</v>
      </c>
      <c r="O1962">
        <v>51892.480000000003</v>
      </c>
      <c r="P1962">
        <v>10613.27</v>
      </c>
      <c r="Q1962" t="s">
        <v>53</v>
      </c>
      <c r="R1962">
        <v>0.1697966987037193</v>
      </c>
      <c r="S1962">
        <v>2025</v>
      </c>
      <c r="T1962" t="s">
        <v>1384</v>
      </c>
      <c r="U1962">
        <v>7</v>
      </c>
      <c r="V1962" t="s">
        <v>1385</v>
      </c>
    </row>
    <row r="1963" spans="1:22" x14ac:dyDescent="0.3">
      <c r="A1963" t="s">
        <v>2978</v>
      </c>
      <c r="B1963" s="1">
        <v>45866</v>
      </c>
      <c r="C1963" t="s">
        <v>147</v>
      </c>
      <c r="D1963" t="s">
        <v>670</v>
      </c>
      <c r="E1963" t="s">
        <v>25</v>
      </c>
      <c r="F1963" t="s">
        <v>26</v>
      </c>
      <c r="G1963" t="s">
        <v>260</v>
      </c>
      <c r="H1963" t="s">
        <v>43</v>
      </c>
      <c r="I1963" t="s">
        <v>51</v>
      </c>
      <c r="J1963" t="s">
        <v>52</v>
      </c>
      <c r="K1963">
        <v>2</v>
      </c>
      <c r="L1963">
        <v>737.63</v>
      </c>
      <c r="M1963">
        <v>0.1</v>
      </c>
      <c r="N1963">
        <v>1327.73</v>
      </c>
      <c r="O1963">
        <v>678.95</v>
      </c>
      <c r="P1963">
        <v>648.78</v>
      </c>
      <c r="Q1963" t="s">
        <v>31</v>
      </c>
      <c r="R1963">
        <v>0.4886385033101609</v>
      </c>
      <c r="S1963">
        <v>2025</v>
      </c>
      <c r="T1963" t="s">
        <v>1384</v>
      </c>
      <c r="U1963">
        <v>7</v>
      </c>
      <c r="V1963" t="s">
        <v>1385</v>
      </c>
    </row>
    <row r="1964" spans="1:22" x14ac:dyDescent="0.3">
      <c r="A1964" t="s">
        <v>2979</v>
      </c>
      <c r="B1964" s="1">
        <v>45866</v>
      </c>
      <c r="C1964" t="s">
        <v>853</v>
      </c>
      <c r="D1964" t="s">
        <v>841</v>
      </c>
      <c r="E1964" t="s">
        <v>61</v>
      </c>
      <c r="F1964" t="s">
        <v>62</v>
      </c>
      <c r="G1964" t="s">
        <v>228</v>
      </c>
      <c r="H1964" t="s">
        <v>28</v>
      </c>
      <c r="I1964" t="s">
        <v>73</v>
      </c>
      <c r="J1964" t="s">
        <v>74</v>
      </c>
      <c r="K1964">
        <v>3</v>
      </c>
      <c r="L1964">
        <v>2556.9699999999998</v>
      </c>
      <c r="M1964">
        <v>0.15</v>
      </c>
      <c r="N1964">
        <v>6520.27</v>
      </c>
      <c r="O1964">
        <v>4337.96</v>
      </c>
      <c r="P1964">
        <v>2182.31</v>
      </c>
      <c r="Q1964" t="s">
        <v>31</v>
      </c>
      <c r="R1964">
        <v>0.33469626257808338</v>
      </c>
      <c r="S1964">
        <v>2025</v>
      </c>
      <c r="T1964" t="s">
        <v>1384</v>
      </c>
      <c r="U1964">
        <v>7</v>
      </c>
      <c r="V1964" t="s">
        <v>1385</v>
      </c>
    </row>
    <row r="1965" spans="1:22" x14ac:dyDescent="0.3">
      <c r="A1965" t="s">
        <v>2980</v>
      </c>
      <c r="B1965" s="1">
        <v>45867</v>
      </c>
      <c r="C1965" t="s">
        <v>939</v>
      </c>
      <c r="D1965" t="s">
        <v>151</v>
      </c>
      <c r="E1965" t="s">
        <v>25</v>
      </c>
      <c r="F1965" t="s">
        <v>26</v>
      </c>
      <c r="G1965" t="s">
        <v>37</v>
      </c>
      <c r="H1965" t="s">
        <v>28</v>
      </c>
      <c r="I1965" t="s">
        <v>91</v>
      </c>
      <c r="J1965" t="s">
        <v>92</v>
      </c>
      <c r="K1965">
        <v>2</v>
      </c>
      <c r="L1965">
        <v>2907.36</v>
      </c>
      <c r="M1965">
        <v>0.05</v>
      </c>
      <c r="N1965">
        <v>5523.98</v>
      </c>
      <c r="O1965">
        <v>2953.37</v>
      </c>
      <c r="P1965">
        <v>2570.61</v>
      </c>
      <c r="Q1965" t="s">
        <v>31</v>
      </c>
      <c r="R1965">
        <v>0.46535468991560441</v>
      </c>
      <c r="S1965">
        <v>2025</v>
      </c>
      <c r="T1965" t="s">
        <v>1384</v>
      </c>
      <c r="U1965">
        <v>7</v>
      </c>
      <c r="V1965" t="s">
        <v>1385</v>
      </c>
    </row>
    <row r="1966" spans="1:22" x14ac:dyDescent="0.3">
      <c r="A1966" t="s">
        <v>2981</v>
      </c>
      <c r="B1966" s="1">
        <v>45867</v>
      </c>
      <c r="C1966" t="s">
        <v>321</v>
      </c>
      <c r="D1966" t="s">
        <v>206</v>
      </c>
      <c r="E1966" t="s">
        <v>25</v>
      </c>
      <c r="F1966" t="s">
        <v>26</v>
      </c>
      <c r="G1966" t="s">
        <v>171</v>
      </c>
      <c r="H1966" t="s">
        <v>43</v>
      </c>
      <c r="I1966" t="s">
        <v>51</v>
      </c>
      <c r="J1966" t="s">
        <v>96</v>
      </c>
      <c r="K1966">
        <v>4</v>
      </c>
      <c r="L1966">
        <v>469.59</v>
      </c>
      <c r="M1966">
        <v>0.15</v>
      </c>
      <c r="N1966">
        <v>1596.61</v>
      </c>
      <c r="O1966">
        <v>847.95</v>
      </c>
      <c r="P1966">
        <v>748.66</v>
      </c>
      <c r="Q1966" t="s">
        <v>31</v>
      </c>
      <c r="R1966">
        <v>0.4689059945760079</v>
      </c>
      <c r="S1966">
        <v>2025</v>
      </c>
      <c r="T1966" t="s">
        <v>1384</v>
      </c>
      <c r="U1966">
        <v>7</v>
      </c>
      <c r="V1966" t="s">
        <v>1385</v>
      </c>
    </row>
    <row r="1967" spans="1:22" x14ac:dyDescent="0.3">
      <c r="A1967" t="s">
        <v>2982</v>
      </c>
      <c r="B1967" s="1">
        <v>45867</v>
      </c>
      <c r="C1967" t="s">
        <v>1685</v>
      </c>
      <c r="D1967" t="s">
        <v>380</v>
      </c>
      <c r="E1967" t="s">
        <v>25</v>
      </c>
      <c r="F1967" t="s">
        <v>26</v>
      </c>
      <c r="G1967" t="s">
        <v>27</v>
      </c>
      <c r="H1967" t="s">
        <v>28</v>
      </c>
      <c r="I1967" t="s">
        <v>29</v>
      </c>
      <c r="J1967" t="s">
        <v>30</v>
      </c>
      <c r="K1967">
        <v>2</v>
      </c>
      <c r="L1967">
        <v>59891.15</v>
      </c>
      <c r="M1967">
        <v>0.05</v>
      </c>
      <c r="N1967">
        <v>113793.18</v>
      </c>
      <c r="O1967">
        <v>104233.39</v>
      </c>
      <c r="P1967">
        <v>9559.7900000000009</v>
      </c>
      <c r="Q1967" t="s">
        <v>113</v>
      </c>
      <c r="R1967">
        <v>8.4010219241610104E-2</v>
      </c>
      <c r="S1967">
        <v>2025</v>
      </c>
      <c r="T1967" t="s">
        <v>1384</v>
      </c>
      <c r="U1967">
        <v>7</v>
      </c>
      <c r="V1967" t="s">
        <v>1385</v>
      </c>
    </row>
    <row r="1968" spans="1:22" x14ac:dyDescent="0.3">
      <c r="A1968" t="s">
        <v>2983</v>
      </c>
      <c r="B1968" s="1">
        <v>45867</v>
      </c>
      <c r="C1968" t="s">
        <v>937</v>
      </c>
      <c r="D1968" t="s">
        <v>179</v>
      </c>
      <c r="E1968" t="s">
        <v>61</v>
      </c>
      <c r="F1968" t="s">
        <v>71</v>
      </c>
      <c r="G1968" t="s">
        <v>100</v>
      </c>
      <c r="H1968" t="s">
        <v>43</v>
      </c>
      <c r="I1968" t="s">
        <v>44</v>
      </c>
      <c r="J1968" t="s">
        <v>45</v>
      </c>
      <c r="K1968">
        <v>4</v>
      </c>
      <c r="L1968">
        <v>235.62</v>
      </c>
      <c r="M1968">
        <v>0.05</v>
      </c>
      <c r="N1968">
        <v>895.36</v>
      </c>
      <c r="O1968">
        <v>348.72</v>
      </c>
      <c r="P1968">
        <v>546.64</v>
      </c>
      <c r="Q1968" t="s">
        <v>46</v>
      </c>
      <c r="R1968">
        <v>0.61052537526804862</v>
      </c>
      <c r="S1968">
        <v>2025</v>
      </c>
      <c r="T1968" t="s">
        <v>1384</v>
      </c>
      <c r="U1968">
        <v>7</v>
      </c>
      <c r="V1968" t="s">
        <v>1385</v>
      </c>
    </row>
    <row r="1969" spans="1:22" x14ac:dyDescent="0.3">
      <c r="A1969" t="s">
        <v>2984</v>
      </c>
      <c r="B1969" s="1">
        <v>45867</v>
      </c>
      <c r="C1969" t="s">
        <v>1906</v>
      </c>
      <c r="D1969" t="s">
        <v>704</v>
      </c>
      <c r="E1969" t="s">
        <v>61</v>
      </c>
      <c r="F1969" t="s">
        <v>62</v>
      </c>
      <c r="G1969" t="s">
        <v>90</v>
      </c>
      <c r="H1969" t="s">
        <v>43</v>
      </c>
      <c r="I1969" t="s">
        <v>51</v>
      </c>
      <c r="J1969" t="s">
        <v>96</v>
      </c>
      <c r="K1969">
        <v>1</v>
      </c>
      <c r="L1969">
        <v>528.78</v>
      </c>
      <c r="M1969">
        <v>0.15</v>
      </c>
      <c r="N1969">
        <v>449.46</v>
      </c>
      <c r="O1969">
        <v>243.19</v>
      </c>
      <c r="P1969">
        <v>206.27</v>
      </c>
      <c r="Q1969" t="s">
        <v>31</v>
      </c>
      <c r="R1969">
        <v>0.45892849196813962</v>
      </c>
      <c r="S1969">
        <v>2025</v>
      </c>
      <c r="T1969" t="s">
        <v>1384</v>
      </c>
      <c r="U1969">
        <v>7</v>
      </c>
      <c r="V1969" t="s">
        <v>1385</v>
      </c>
    </row>
    <row r="1970" spans="1:22" x14ac:dyDescent="0.3">
      <c r="A1970" t="s">
        <v>2985</v>
      </c>
      <c r="B1970" s="1">
        <v>45867</v>
      </c>
      <c r="C1970" t="s">
        <v>1969</v>
      </c>
      <c r="D1970" t="s">
        <v>752</v>
      </c>
      <c r="E1970" t="s">
        <v>61</v>
      </c>
      <c r="F1970" t="s">
        <v>62</v>
      </c>
      <c r="G1970" t="s">
        <v>90</v>
      </c>
      <c r="H1970" t="s">
        <v>84</v>
      </c>
      <c r="I1970" t="s">
        <v>85</v>
      </c>
      <c r="J1970" t="s">
        <v>86</v>
      </c>
      <c r="K1970">
        <v>4</v>
      </c>
      <c r="L1970">
        <v>1728.88</v>
      </c>
      <c r="M1970">
        <v>0.1</v>
      </c>
      <c r="N1970">
        <v>6223.97</v>
      </c>
      <c r="O1970">
        <v>3691.86</v>
      </c>
      <c r="P1970">
        <v>2532.11</v>
      </c>
      <c r="Q1970" t="s">
        <v>31</v>
      </c>
      <c r="R1970">
        <v>0.40683197380450098</v>
      </c>
      <c r="S1970">
        <v>2025</v>
      </c>
      <c r="T1970" t="s">
        <v>1384</v>
      </c>
      <c r="U1970">
        <v>7</v>
      </c>
      <c r="V1970" t="s">
        <v>1385</v>
      </c>
    </row>
    <row r="1971" spans="1:22" x14ac:dyDescent="0.3">
      <c r="A1971" t="s">
        <v>2986</v>
      </c>
      <c r="B1971" s="1">
        <v>45867</v>
      </c>
      <c r="C1971" t="s">
        <v>1789</v>
      </c>
      <c r="D1971" t="s">
        <v>775</v>
      </c>
      <c r="E1971" t="s">
        <v>41</v>
      </c>
      <c r="F1971" t="s">
        <v>42</v>
      </c>
      <c r="G1971" t="s">
        <v>50</v>
      </c>
      <c r="H1971" t="s">
        <v>84</v>
      </c>
      <c r="I1971" t="s">
        <v>85</v>
      </c>
      <c r="J1971" t="s">
        <v>145</v>
      </c>
      <c r="K1971">
        <v>3</v>
      </c>
      <c r="L1971">
        <v>3410.14</v>
      </c>
      <c r="M1971">
        <v>0.1</v>
      </c>
      <c r="N1971">
        <v>9207.3799999999992</v>
      </c>
      <c r="O1971">
        <v>5812.17</v>
      </c>
      <c r="P1971">
        <v>3395.21</v>
      </c>
      <c r="Q1971" t="s">
        <v>31</v>
      </c>
      <c r="R1971">
        <v>0.36874876457797989</v>
      </c>
      <c r="S1971">
        <v>2025</v>
      </c>
      <c r="T1971" t="s">
        <v>1384</v>
      </c>
      <c r="U1971">
        <v>7</v>
      </c>
      <c r="V1971" t="s">
        <v>1385</v>
      </c>
    </row>
    <row r="1972" spans="1:22" x14ac:dyDescent="0.3">
      <c r="A1972" t="s">
        <v>2987</v>
      </c>
      <c r="B1972" s="1">
        <v>45867</v>
      </c>
      <c r="C1972" t="s">
        <v>291</v>
      </c>
      <c r="D1972" t="s">
        <v>604</v>
      </c>
      <c r="E1972" t="s">
        <v>120</v>
      </c>
      <c r="F1972" t="s">
        <v>121</v>
      </c>
      <c r="G1972" t="s">
        <v>122</v>
      </c>
      <c r="H1972" t="s">
        <v>43</v>
      </c>
      <c r="I1972" t="s">
        <v>51</v>
      </c>
      <c r="J1972" t="s">
        <v>52</v>
      </c>
      <c r="K1972">
        <v>3</v>
      </c>
      <c r="L1972">
        <v>739.35</v>
      </c>
      <c r="M1972">
        <v>0.15</v>
      </c>
      <c r="N1972">
        <v>1885.34</v>
      </c>
      <c r="O1972">
        <v>1004.32</v>
      </c>
      <c r="P1972">
        <v>881.02</v>
      </c>
      <c r="Q1972" t="s">
        <v>31</v>
      </c>
      <c r="R1972">
        <v>0.46730032779233449</v>
      </c>
      <c r="S1972">
        <v>2025</v>
      </c>
      <c r="T1972" t="s">
        <v>1384</v>
      </c>
      <c r="U1972">
        <v>7</v>
      </c>
      <c r="V1972" t="s">
        <v>1385</v>
      </c>
    </row>
    <row r="1973" spans="1:22" x14ac:dyDescent="0.3">
      <c r="A1973" t="s">
        <v>2988</v>
      </c>
      <c r="B1973" s="1">
        <v>45868</v>
      </c>
      <c r="C1973" t="s">
        <v>2989</v>
      </c>
      <c r="D1973" t="s">
        <v>775</v>
      </c>
      <c r="E1973" t="s">
        <v>41</v>
      </c>
      <c r="F1973" t="s">
        <v>42</v>
      </c>
      <c r="G1973" t="s">
        <v>50</v>
      </c>
      <c r="H1973" t="s">
        <v>28</v>
      </c>
      <c r="I1973" t="s">
        <v>73</v>
      </c>
      <c r="J1973" t="s">
        <v>80</v>
      </c>
      <c r="K1973">
        <v>5</v>
      </c>
      <c r="L1973">
        <v>829.97</v>
      </c>
      <c r="M1973">
        <v>0.15</v>
      </c>
      <c r="N1973">
        <v>3527.37</v>
      </c>
      <c r="O1973">
        <v>2674.22</v>
      </c>
      <c r="P1973">
        <v>853.15</v>
      </c>
      <c r="Q1973" t="s">
        <v>67</v>
      </c>
      <c r="R1973">
        <v>0.24186575267125371</v>
      </c>
      <c r="S1973">
        <v>2025</v>
      </c>
      <c r="T1973" t="s">
        <v>1384</v>
      </c>
      <c r="U1973">
        <v>7</v>
      </c>
      <c r="V1973" t="s">
        <v>1385</v>
      </c>
    </row>
    <row r="1974" spans="1:22" x14ac:dyDescent="0.3">
      <c r="A1974" t="s">
        <v>2990</v>
      </c>
      <c r="B1974" s="1">
        <v>45868</v>
      </c>
      <c r="C1974" t="s">
        <v>1906</v>
      </c>
      <c r="D1974" t="s">
        <v>737</v>
      </c>
      <c r="E1974" t="s">
        <v>25</v>
      </c>
      <c r="F1974" t="s">
        <v>26</v>
      </c>
      <c r="G1974" t="s">
        <v>37</v>
      </c>
      <c r="H1974" t="s">
        <v>28</v>
      </c>
      <c r="I1974" t="s">
        <v>29</v>
      </c>
      <c r="J1974" t="s">
        <v>57</v>
      </c>
      <c r="K1974">
        <v>2</v>
      </c>
      <c r="L1974">
        <v>16133.36</v>
      </c>
      <c r="M1974">
        <v>0.05</v>
      </c>
      <c r="N1974">
        <v>30653.38</v>
      </c>
      <c r="O1974">
        <v>23257.93</v>
      </c>
      <c r="P1974">
        <v>7395.45</v>
      </c>
      <c r="Q1974" t="s">
        <v>67</v>
      </c>
      <c r="R1974">
        <v>0.2412605069979232</v>
      </c>
      <c r="S1974">
        <v>2025</v>
      </c>
      <c r="T1974" t="s">
        <v>1384</v>
      </c>
      <c r="U1974">
        <v>7</v>
      </c>
      <c r="V1974" t="s">
        <v>1385</v>
      </c>
    </row>
    <row r="1975" spans="1:22" x14ac:dyDescent="0.3">
      <c r="A1975" t="s">
        <v>2991</v>
      </c>
      <c r="B1975" s="1">
        <v>45869</v>
      </c>
      <c r="C1975" t="s">
        <v>262</v>
      </c>
      <c r="D1975" t="s">
        <v>158</v>
      </c>
      <c r="E1975" t="s">
        <v>25</v>
      </c>
      <c r="F1975" t="s">
        <v>26</v>
      </c>
      <c r="G1975" t="s">
        <v>37</v>
      </c>
      <c r="H1975" t="s">
        <v>84</v>
      </c>
      <c r="I1975" t="s">
        <v>138</v>
      </c>
      <c r="J1975" t="s">
        <v>220</v>
      </c>
      <c r="K1975">
        <v>2</v>
      </c>
      <c r="L1975">
        <v>7180.19</v>
      </c>
      <c r="M1975">
        <v>0.05</v>
      </c>
      <c r="N1975">
        <v>13642.36</v>
      </c>
      <c r="O1975">
        <v>9705.89</v>
      </c>
      <c r="P1975">
        <v>3936.47</v>
      </c>
      <c r="Q1975" t="s">
        <v>31</v>
      </c>
      <c r="R1975">
        <v>0.28854758267631109</v>
      </c>
      <c r="S1975">
        <v>2025</v>
      </c>
      <c r="T1975" t="s">
        <v>1384</v>
      </c>
      <c r="U1975">
        <v>7</v>
      </c>
      <c r="V1975" t="s">
        <v>1385</v>
      </c>
    </row>
    <row r="1976" spans="1:22" x14ac:dyDescent="0.3">
      <c r="A1976" t="s">
        <v>2992</v>
      </c>
      <c r="B1976" s="1">
        <v>45869</v>
      </c>
      <c r="C1976" t="s">
        <v>2037</v>
      </c>
      <c r="D1976" t="s">
        <v>599</v>
      </c>
      <c r="E1976" t="s">
        <v>25</v>
      </c>
      <c r="F1976" t="s">
        <v>26</v>
      </c>
      <c r="G1976" t="s">
        <v>171</v>
      </c>
      <c r="H1976" t="s">
        <v>43</v>
      </c>
      <c r="I1976" t="s">
        <v>51</v>
      </c>
      <c r="J1976" t="s">
        <v>96</v>
      </c>
      <c r="K1976">
        <v>3</v>
      </c>
      <c r="L1976">
        <v>493.27</v>
      </c>
      <c r="M1976">
        <v>0.15</v>
      </c>
      <c r="N1976">
        <v>1257.8399999999999</v>
      </c>
      <c r="O1976">
        <v>685.07</v>
      </c>
      <c r="P1976">
        <v>572.77</v>
      </c>
      <c r="Q1976" t="s">
        <v>53</v>
      </c>
      <c r="R1976">
        <v>0.45535998219169371</v>
      </c>
      <c r="S1976">
        <v>2025</v>
      </c>
      <c r="T1976" t="s">
        <v>1384</v>
      </c>
      <c r="U1976">
        <v>7</v>
      </c>
      <c r="V1976" t="s">
        <v>1385</v>
      </c>
    </row>
    <row r="1977" spans="1:22" x14ac:dyDescent="0.3">
      <c r="A1977" t="s">
        <v>2993</v>
      </c>
      <c r="B1977" s="1">
        <v>45870</v>
      </c>
      <c r="C1977" t="s">
        <v>199</v>
      </c>
      <c r="D1977" t="s">
        <v>906</v>
      </c>
      <c r="E1977" t="s">
        <v>61</v>
      </c>
      <c r="F1977" t="s">
        <v>78</v>
      </c>
      <c r="G1977" t="s">
        <v>104</v>
      </c>
      <c r="H1977" t="s">
        <v>43</v>
      </c>
      <c r="I1977" t="s">
        <v>51</v>
      </c>
      <c r="J1977" t="s">
        <v>96</v>
      </c>
      <c r="K1977">
        <v>3</v>
      </c>
      <c r="L1977">
        <v>496.83</v>
      </c>
      <c r="M1977">
        <v>0.2</v>
      </c>
      <c r="N1977">
        <v>1192.3900000000001</v>
      </c>
      <c r="O1977">
        <v>646.01</v>
      </c>
      <c r="P1977">
        <v>546.38</v>
      </c>
      <c r="Q1977" t="s">
        <v>31</v>
      </c>
      <c r="R1977">
        <v>0.45822256141027679</v>
      </c>
      <c r="S1977">
        <v>2025</v>
      </c>
      <c r="T1977" t="s">
        <v>1519</v>
      </c>
      <c r="U1977">
        <v>8</v>
      </c>
      <c r="V1977" t="s">
        <v>1385</v>
      </c>
    </row>
    <row r="1978" spans="1:22" x14ac:dyDescent="0.3">
      <c r="A1978" t="s">
        <v>2994</v>
      </c>
      <c r="B1978" s="1">
        <v>45870</v>
      </c>
      <c r="C1978" t="s">
        <v>2507</v>
      </c>
      <c r="D1978" t="s">
        <v>1509</v>
      </c>
      <c r="E1978" t="s">
        <v>61</v>
      </c>
      <c r="F1978" t="s">
        <v>71</v>
      </c>
      <c r="G1978" t="s">
        <v>201</v>
      </c>
      <c r="H1978" t="s">
        <v>84</v>
      </c>
      <c r="I1978" t="s">
        <v>85</v>
      </c>
      <c r="J1978" t="s">
        <v>86</v>
      </c>
      <c r="K1978">
        <v>6</v>
      </c>
      <c r="L1978">
        <v>1743.59</v>
      </c>
      <c r="M1978">
        <v>0</v>
      </c>
      <c r="N1978">
        <v>10461.540000000001</v>
      </c>
      <c r="O1978">
        <v>5559.23</v>
      </c>
      <c r="P1978">
        <v>4902.3100000000004</v>
      </c>
      <c r="Q1978" t="s">
        <v>31</v>
      </c>
      <c r="R1978">
        <v>0.46860309285248641</v>
      </c>
      <c r="S1978">
        <v>2025</v>
      </c>
      <c r="T1978" t="s">
        <v>1519</v>
      </c>
      <c r="U1978">
        <v>8</v>
      </c>
      <c r="V1978" t="s">
        <v>1385</v>
      </c>
    </row>
    <row r="1979" spans="1:22" x14ac:dyDescent="0.3">
      <c r="A1979" t="s">
        <v>2995</v>
      </c>
      <c r="B1979" s="1">
        <v>45870</v>
      </c>
      <c r="C1979" t="s">
        <v>2669</v>
      </c>
      <c r="D1979" t="s">
        <v>1232</v>
      </c>
      <c r="E1979" t="s">
        <v>61</v>
      </c>
      <c r="F1979" t="s">
        <v>62</v>
      </c>
      <c r="G1979" t="s">
        <v>90</v>
      </c>
      <c r="H1979" t="s">
        <v>84</v>
      </c>
      <c r="I1979" t="s">
        <v>85</v>
      </c>
      <c r="J1979" t="s">
        <v>86</v>
      </c>
      <c r="K1979">
        <v>4</v>
      </c>
      <c r="L1979">
        <v>1717.93</v>
      </c>
      <c r="M1979">
        <v>0</v>
      </c>
      <c r="N1979">
        <v>6871.72</v>
      </c>
      <c r="O1979">
        <v>3686.01</v>
      </c>
      <c r="P1979">
        <v>3185.71</v>
      </c>
      <c r="Q1979" t="s">
        <v>31</v>
      </c>
      <c r="R1979">
        <v>0.46359717799910349</v>
      </c>
      <c r="S1979">
        <v>2025</v>
      </c>
      <c r="T1979" t="s">
        <v>1519</v>
      </c>
      <c r="U1979">
        <v>8</v>
      </c>
      <c r="V1979" t="s">
        <v>1385</v>
      </c>
    </row>
    <row r="1980" spans="1:22" x14ac:dyDescent="0.3">
      <c r="A1980" t="s">
        <v>2996</v>
      </c>
      <c r="B1980" s="1">
        <v>45871</v>
      </c>
      <c r="C1980" t="s">
        <v>1772</v>
      </c>
      <c r="D1980" t="s">
        <v>468</v>
      </c>
      <c r="E1980" t="s">
        <v>25</v>
      </c>
      <c r="F1980" t="s">
        <v>26</v>
      </c>
      <c r="G1980" t="s">
        <v>260</v>
      </c>
      <c r="H1980" t="s">
        <v>28</v>
      </c>
      <c r="I1980" t="s">
        <v>29</v>
      </c>
      <c r="J1980" t="s">
        <v>30</v>
      </c>
      <c r="K1980">
        <v>3</v>
      </c>
      <c r="L1980">
        <v>59135.74</v>
      </c>
      <c r="M1980">
        <v>0.1</v>
      </c>
      <c r="N1980">
        <v>159666.5</v>
      </c>
      <c r="O1980">
        <v>156798.03</v>
      </c>
      <c r="P1980">
        <v>2868.47</v>
      </c>
      <c r="Q1980" t="s">
        <v>53</v>
      </c>
      <c r="R1980">
        <v>1.7965384097478179E-2</v>
      </c>
      <c r="S1980">
        <v>2025</v>
      </c>
      <c r="T1980" t="s">
        <v>1519</v>
      </c>
      <c r="U1980">
        <v>8</v>
      </c>
      <c r="V1980" t="s">
        <v>1385</v>
      </c>
    </row>
    <row r="1981" spans="1:22" x14ac:dyDescent="0.3">
      <c r="A1981" t="s">
        <v>2997</v>
      </c>
      <c r="B1981" s="1">
        <v>45871</v>
      </c>
      <c r="C1981" t="s">
        <v>115</v>
      </c>
      <c r="D1981" t="s">
        <v>194</v>
      </c>
      <c r="E1981" t="s">
        <v>61</v>
      </c>
      <c r="F1981" t="s">
        <v>71</v>
      </c>
      <c r="G1981" t="s">
        <v>100</v>
      </c>
      <c r="H1981" t="s">
        <v>64</v>
      </c>
      <c r="I1981" t="s">
        <v>65</v>
      </c>
      <c r="J1981" t="s">
        <v>232</v>
      </c>
      <c r="K1981">
        <v>3</v>
      </c>
      <c r="L1981">
        <v>3988.69</v>
      </c>
      <c r="M1981">
        <v>0.2</v>
      </c>
      <c r="N1981">
        <v>9572.86</v>
      </c>
      <c r="O1981">
        <v>7723.73</v>
      </c>
      <c r="P1981">
        <v>1849.13</v>
      </c>
      <c r="Q1981" t="s">
        <v>31</v>
      </c>
      <c r="R1981">
        <v>0.1931637984886439</v>
      </c>
      <c r="S1981">
        <v>2025</v>
      </c>
      <c r="T1981" t="s">
        <v>1519</v>
      </c>
      <c r="U1981">
        <v>8</v>
      </c>
      <c r="V1981" t="s">
        <v>1385</v>
      </c>
    </row>
    <row r="1982" spans="1:22" x14ac:dyDescent="0.3">
      <c r="A1982" t="s">
        <v>2998</v>
      </c>
      <c r="B1982" s="1">
        <v>45871</v>
      </c>
      <c r="C1982" t="s">
        <v>2471</v>
      </c>
      <c r="D1982" t="s">
        <v>571</v>
      </c>
      <c r="E1982" t="s">
        <v>61</v>
      </c>
      <c r="F1982" t="s">
        <v>71</v>
      </c>
      <c r="G1982" t="s">
        <v>317</v>
      </c>
      <c r="H1982" t="s">
        <v>64</v>
      </c>
      <c r="I1982" t="s">
        <v>65</v>
      </c>
      <c r="J1982" t="s">
        <v>66</v>
      </c>
      <c r="K1982">
        <v>6</v>
      </c>
      <c r="L1982">
        <v>5217.91</v>
      </c>
      <c r="M1982">
        <v>0.1</v>
      </c>
      <c r="N1982">
        <v>28176.71</v>
      </c>
      <c r="O1982">
        <v>19101.580000000002</v>
      </c>
      <c r="P1982">
        <v>9075.1299999999992</v>
      </c>
      <c r="Q1982" t="s">
        <v>46</v>
      </c>
      <c r="R1982">
        <v>0.32207912137364508</v>
      </c>
      <c r="S1982">
        <v>2025</v>
      </c>
      <c r="T1982" t="s">
        <v>1519</v>
      </c>
      <c r="U1982">
        <v>8</v>
      </c>
      <c r="V1982" t="s">
        <v>1385</v>
      </c>
    </row>
    <row r="1983" spans="1:22" x14ac:dyDescent="0.3">
      <c r="A1983" t="s">
        <v>2999</v>
      </c>
      <c r="B1983" s="1">
        <v>45871</v>
      </c>
      <c r="C1983" t="s">
        <v>730</v>
      </c>
      <c r="D1983" t="s">
        <v>789</v>
      </c>
      <c r="E1983" t="s">
        <v>61</v>
      </c>
      <c r="F1983" t="s">
        <v>78</v>
      </c>
      <c r="G1983" t="s">
        <v>83</v>
      </c>
      <c r="H1983" t="s">
        <v>84</v>
      </c>
      <c r="I1983" t="s">
        <v>85</v>
      </c>
      <c r="J1983" t="s">
        <v>145</v>
      </c>
      <c r="K1983">
        <v>1</v>
      </c>
      <c r="L1983">
        <v>3434.23</v>
      </c>
      <c r="M1983">
        <v>0.05</v>
      </c>
      <c r="N1983">
        <v>3262.52</v>
      </c>
      <c r="O1983">
        <v>1995.28</v>
      </c>
      <c r="P1983">
        <v>1267.24</v>
      </c>
      <c r="Q1983" t="s">
        <v>31</v>
      </c>
      <c r="R1983">
        <v>0.38842367249855941</v>
      </c>
      <c r="S1983">
        <v>2025</v>
      </c>
      <c r="T1983" t="s">
        <v>1519</v>
      </c>
      <c r="U1983">
        <v>8</v>
      </c>
      <c r="V1983" t="s">
        <v>1385</v>
      </c>
    </row>
    <row r="1984" spans="1:22" x14ac:dyDescent="0.3">
      <c r="A1984" t="s">
        <v>3000</v>
      </c>
      <c r="B1984" s="1">
        <v>45871</v>
      </c>
      <c r="C1984" t="s">
        <v>526</v>
      </c>
      <c r="D1984" t="s">
        <v>465</v>
      </c>
      <c r="E1984" t="s">
        <v>61</v>
      </c>
      <c r="F1984" t="s">
        <v>62</v>
      </c>
      <c r="G1984" t="s">
        <v>90</v>
      </c>
      <c r="H1984" t="s">
        <v>64</v>
      </c>
      <c r="I1984" t="s">
        <v>108</v>
      </c>
      <c r="J1984" t="s">
        <v>109</v>
      </c>
      <c r="K1984">
        <v>4</v>
      </c>
      <c r="L1984">
        <v>6636.36</v>
      </c>
      <c r="M1984">
        <v>0.05</v>
      </c>
      <c r="N1984">
        <v>25218.17</v>
      </c>
      <c r="O1984">
        <v>16690.330000000002</v>
      </c>
      <c r="P1984">
        <v>8527.84</v>
      </c>
      <c r="Q1984" t="s">
        <v>113</v>
      </c>
      <c r="R1984">
        <v>0.33816252329173768</v>
      </c>
      <c r="S1984">
        <v>2025</v>
      </c>
      <c r="T1984" t="s">
        <v>1519</v>
      </c>
      <c r="U1984">
        <v>8</v>
      </c>
      <c r="V1984" t="s">
        <v>1385</v>
      </c>
    </row>
    <row r="1985" spans="1:22" x14ac:dyDescent="0.3">
      <c r="A1985" t="s">
        <v>3001</v>
      </c>
      <c r="B1985" s="1">
        <v>45871</v>
      </c>
      <c r="C1985" t="s">
        <v>344</v>
      </c>
      <c r="D1985" t="s">
        <v>112</v>
      </c>
      <c r="E1985" t="s">
        <v>61</v>
      </c>
      <c r="F1985" t="s">
        <v>78</v>
      </c>
      <c r="G1985" t="s">
        <v>216</v>
      </c>
      <c r="H1985" t="s">
        <v>84</v>
      </c>
      <c r="I1985" t="s">
        <v>85</v>
      </c>
      <c r="J1985" t="s">
        <v>145</v>
      </c>
      <c r="K1985">
        <v>1</v>
      </c>
      <c r="L1985">
        <v>3492.01</v>
      </c>
      <c r="M1985">
        <v>0.1</v>
      </c>
      <c r="N1985">
        <v>3142.81</v>
      </c>
      <c r="O1985">
        <v>2053.35</v>
      </c>
      <c r="P1985">
        <v>1089.46</v>
      </c>
      <c r="Q1985" t="s">
        <v>31</v>
      </c>
      <c r="R1985">
        <v>0.34665156340981479</v>
      </c>
      <c r="S1985">
        <v>2025</v>
      </c>
      <c r="T1985" t="s">
        <v>1519</v>
      </c>
      <c r="U1985">
        <v>8</v>
      </c>
      <c r="V1985" t="s">
        <v>1385</v>
      </c>
    </row>
    <row r="1986" spans="1:22" x14ac:dyDescent="0.3">
      <c r="A1986" t="s">
        <v>3002</v>
      </c>
      <c r="B1986" s="1">
        <v>45872</v>
      </c>
      <c r="C1986" t="s">
        <v>1789</v>
      </c>
      <c r="D1986" t="s">
        <v>430</v>
      </c>
      <c r="E1986" t="s">
        <v>61</v>
      </c>
      <c r="F1986" t="s">
        <v>71</v>
      </c>
      <c r="G1986" t="s">
        <v>201</v>
      </c>
      <c r="H1986" t="s">
        <v>43</v>
      </c>
      <c r="I1986" t="s">
        <v>44</v>
      </c>
      <c r="J1986" t="s">
        <v>248</v>
      </c>
      <c r="K1986">
        <v>2</v>
      </c>
      <c r="L1986">
        <v>293.64</v>
      </c>
      <c r="M1986">
        <v>0.05</v>
      </c>
      <c r="N1986">
        <v>557.91999999999996</v>
      </c>
      <c r="O1986">
        <v>244.88</v>
      </c>
      <c r="P1986">
        <v>313.04000000000002</v>
      </c>
      <c r="Q1986" t="s">
        <v>46</v>
      </c>
      <c r="R1986">
        <v>0.56108402638371102</v>
      </c>
      <c r="S1986">
        <v>2025</v>
      </c>
      <c r="T1986" t="s">
        <v>1519</v>
      </c>
      <c r="U1986">
        <v>8</v>
      </c>
      <c r="V1986" t="s">
        <v>1385</v>
      </c>
    </row>
    <row r="1987" spans="1:22" x14ac:dyDescent="0.3">
      <c r="A1987" t="s">
        <v>3003</v>
      </c>
      <c r="B1987" s="1">
        <v>45872</v>
      </c>
      <c r="C1987" t="s">
        <v>1477</v>
      </c>
      <c r="D1987" t="s">
        <v>451</v>
      </c>
      <c r="E1987" t="s">
        <v>41</v>
      </c>
      <c r="F1987" t="s">
        <v>42</v>
      </c>
      <c r="G1987" t="s">
        <v>42</v>
      </c>
      <c r="H1987" t="s">
        <v>28</v>
      </c>
      <c r="I1987" t="s">
        <v>91</v>
      </c>
      <c r="J1987" t="s">
        <v>92</v>
      </c>
      <c r="K1987">
        <v>3</v>
      </c>
      <c r="L1987">
        <v>3107.87</v>
      </c>
      <c r="M1987">
        <v>0.2</v>
      </c>
      <c r="N1987">
        <v>7458.89</v>
      </c>
      <c r="O1987">
        <v>4809.57</v>
      </c>
      <c r="P1987">
        <v>2649.32</v>
      </c>
      <c r="Q1987" t="s">
        <v>31</v>
      </c>
      <c r="R1987">
        <v>0.35518957914649502</v>
      </c>
      <c r="S1987">
        <v>2025</v>
      </c>
      <c r="T1987" t="s">
        <v>1519</v>
      </c>
      <c r="U1987">
        <v>8</v>
      </c>
      <c r="V1987" t="s">
        <v>1385</v>
      </c>
    </row>
    <row r="1988" spans="1:22" x14ac:dyDescent="0.3">
      <c r="A1988" t="s">
        <v>3004</v>
      </c>
      <c r="B1988" s="1">
        <v>45872</v>
      </c>
      <c r="C1988" t="s">
        <v>910</v>
      </c>
      <c r="D1988" t="s">
        <v>519</v>
      </c>
      <c r="E1988" t="s">
        <v>41</v>
      </c>
      <c r="F1988" t="s">
        <v>42</v>
      </c>
      <c r="G1988" t="s">
        <v>50</v>
      </c>
      <c r="H1988" t="s">
        <v>84</v>
      </c>
      <c r="I1988" t="s">
        <v>138</v>
      </c>
      <c r="J1988" t="s">
        <v>139</v>
      </c>
      <c r="K1988">
        <v>2</v>
      </c>
      <c r="L1988">
        <v>12648.85</v>
      </c>
      <c r="M1988">
        <v>0.1</v>
      </c>
      <c r="N1988">
        <v>22767.93</v>
      </c>
      <c r="O1988">
        <v>18919.38</v>
      </c>
      <c r="P1988">
        <v>3848.55</v>
      </c>
      <c r="Q1988" t="s">
        <v>46</v>
      </c>
      <c r="R1988">
        <v>0.16903381203297799</v>
      </c>
      <c r="S1988">
        <v>2025</v>
      </c>
      <c r="T1988" t="s">
        <v>1519</v>
      </c>
      <c r="U1988">
        <v>8</v>
      </c>
      <c r="V1988" t="s">
        <v>1385</v>
      </c>
    </row>
    <row r="1989" spans="1:22" x14ac:dyDescent="0.3">
      <c r="A1989" t="s">
        <v>3005</v>
      </c>
      <c r="B1989" s="1">
        <v>45872</v>
      </c>
      <c r="C1989" t="s">
        <v>2211</v>
      </c>
      <c r="D1989" t="s">
        <v>644</v>
      </c>
      <c r="E1989" t="s">
        <v>61</v>
      </c>
      <c r="F1989" t="s">
        <v>78</v>
      </c>
      <c r="G1989" t="s">
        <v>83</v>
      </c>
      <c r="H1989" t="s">
        <v>64</v>
      </c>
      <c r="I1989" t="s">
        <v>65</v>
      </c>
      <c r="J1989" t="s">
        <v>66</v>
      </c>
      <c r="K1989">
        <v>1</v>
      </c>
      <c r="L1989">
        <v>5239.66</v>
      </c>
      <c r="M1989">
        <v>0.1</v>
      </c>
      <c r="N1989">
        <v>4715.6899999999996</v>
      </c>
      <c r="O1989">
        <v>3213.31</v>
      </c>
      <c r="P1989">
        <v>1502.38</v>
      </c>
      <c r="Q1989" t="s">
        <v>53</v>
      </c>
      <c r="R1989">
        <v>0.31859176493789892</v>
      </c>
      <c r="S1989">
        <v>2025</v>
      </c>
      <c r="T1989" t="s">
        <v>1519</v>
      </c>
      <c r="U1989">
        <v>8</v>
      </c>
      <c r="V1989" t="s">
        <v>1385</v>
      </c>
    </row>
    <row r="1990" spans="1:22" x14ac:dyDescent="0.3">
      <c r="A1990" t="s">
        <v>3006</v>
      </c>
      <c r="B1990" s="1">
        <v>45873</v>
      </c>
      <c r="C1990" t="s">
        <v>910</v>
      </c>
      <c r="D1990" t="s">
        <v>1373</v>
      </c>
      <c r="E1990" t="s">
        <v>61</v>
      </c>
      <c r="F1990" t="s">
        <v>78</v>
      </c>
      <c r="G1990" t="s">
        <v>104</v>
      </c>
      <c r="H1990" t="s">
        <v>84</v>
      </c>
      <c r="I1990" t="s">
        <v>85</v>
      </c>
      <c r="J1990" t="s">
        <v>145</v>
      </c>
      <c r="K1990">
        <v>5</v>
      </c>
      <c r="L1990">
        <v>3441.32</v>
      </c>
      <c r="M1990">
        <v>0.05</v>
      </c>
      <c r="N1990">
        <v>16346.27</v>
      </c>
      <c r="O1990">
        <v>10115.14</v>
      </c>
      <c r="P1990">
        <v>6231.13</v>
      </c>
      <c r="Q1990" t="s">
        <v>31</v>
      </c>
      <c r="R1990">
        <v>0.38119583244373179</v>
      </c>
      <c r="S1990">
        <v>2025</v>
      </c>
      <c r="T1990" t="s">
        <v>1519</v>
      </c>
      <c r="U1990">
        <v>8</v>
      </c>
      <c r="V1990" t="s">
        <v>1385</v>
      </c>
    </row>
    <row r="1991" spans="1:22" x14ac:dyDescent="0.3">
      <c r="A1991" t="s">
        <v>3007</v>
      </c>
      <c r="B1991" s="1">
        <v>45873</v>
      </c>
      <c r="C1991" t="s">
        <v>1022</v>
      </c>
      <c r="D1991" t="s">
        <v>231</v>
      </c>
      <c r="E1991" t="s">
        <v>41</v>
      </c>
      <c r="F1991" t="s">
        <v>42</v>
      </c>
      <c r="G1991" t="s">
        <v>42</v>
      </c>
      <c r="H1991" t="s">
        <v>28</v>
      </c>
      <c r="I1991" t="s">
        <v>91</v>
      </c>
      <c r="J1991" t="s">
        <v>92</v>
      </c>
      <c r="K1991">
        <v>1</v>
      </c>
      <c r="L1991">
        <v>2824.37</v>
      </c>
      <c r="M1991">
        <v>0.2</v>
      </c>
      <c r="N1991">
        <v>2259.5</v>
      </c>
      <c r="O1991">
        <v>1480.05</v>
      </c>
      <c r="P1991">
        <v>779.45</v>
      </c>
      <c r="Q1991" t="s">
        <v>53</v>
      </c>
      <c r="R1991">
        <v>0.34496570037618951</v>
      </c>
      <c r="S1991">
        <v>2025</v>
      </c>
      <c r="T1991" t="s">
        <v>1519</v>
      </c>
      <c r="U1991">
        <v>8</v>
      </c>
      <c r="V1991" t="s">
        <v>1385</v>
      </c>
    </row>
    <row r="1992" spans="1:22" x14ac:dyDescent="0.3">
      <c r="A1992" t="s">
        <v>3008</v>
      </c>
      <c r="B1992" s="1">
        <v>45873</v>
      </c>
      <c r="C1992" t="s">
        <v>1037</v>
      </c>
      <c r="D1992" t="s">
        <v>1136</v>
      </c>
      <c r="E1992" t="s">
        <v>120</v>
      </c>
      <c r="F1992" t="s">
        <v>121</v>
      </c>
      <c r="G1992" t="s">
        <v>224</v>
      </c>
      <c r="H1992" t="s">
        <v>84</v>
      </c>
      <c r="I1992" t="s">
        <v>85</v>
      </c>
      <c r="J1992" t="s">
        <v>86</v>
      </c>
      <c r="K1992">
        <v>2</v>
      </c>
      <c r="L1992">
        <v>1818.05</v>
      </c>
      <c r="M1992">
        <v>0</v>
      </c>
      <c r="N1992">
        <v>3636.1</v>
      </c>
      <c r="O1992">
        <v>2016.01</v>
      </c>
      <c r="P1992">
        <v>1620.09</v>
      </c>
      <c r="Q1992" t="s">
        <v>31</v>
      </c>
      <c r="R1992">
        <v>0.44555705288633418</v>
      </c>
      <c r="S1992">
        <v>2025</v>
      </c>
      <c r="T1992" t="s">
        <v>1519</v>
      </c>
      <c r="U1992">
        <v>8</v>
      </c>
      <c r="V1992" t="s">
        <v>1385</v>
      </c>
    </row>
    <row r="1993" spans="1:22" x14ac:dyDescent="0.3">
      <c r="A1993" t="s">
        <v>3009</v>
      </c>
      <c r="B1993" s="1">
        <v>45873</v>
      </c>
      <c r="C1993" t="s">
        <v>1899</v>
      </c>
      <c r="D1993" t="s">
        <v>424</v>
      </c>
      <c r="E1993" t="s">
        <v>61</v>
      </c>
      <c r="F1993" t="s">
        <v>78</v>
      </c>
      <c r="G1993" t="s">
        <v>83</v>
      </c>
      <c r="H1993" t="s">
        <v>28</v>
      </c>
      <c r="I1993" t="s">
        <v>91</v>
      </c>
      <c r="J1993" t="s">
        <v>92</v>
      </c>
      <c r="K1993">
        <v>1</v>
      </c>
      <c r="L1993">
        <v>2824.38</v>
      </c>
      <c r="M1993">
        <v>0.05</v>
      </c>
      <c r="N1993">
        <v>2683.16</v>
      </c>
      <c r="O1993">
        <v>1494.35</v>
      </c>
      <c r="P1993">
        <v>1188.81</v>
      </c>
      <c r="Q1993" t="s">
        <v>46</v>
      </c>
      <c r="R1993">
        <v>0.443063402853352</v>
      </c>
      <c r="S1993">
        <v>2025</v>
      </c>
      <c r="T1993" t="s">
        <v>1519</v>
      </c>
      <c r="U1993">
        <v>8</v>
      </c>
      <c r="V1993" t="s">
        <v>1385</v>
      </c>
    </row>
    <row r="1994" spans="1:22" x14ac:dyDescent="0.3">
      <c r="A1994" t="s">
        <v>3010</v>
      </c>
      <c r="B1994" s="1">
        <v>45873</v>
      </c>
      <c r="C1994" t="s">
        <v>2391</v>
      </c>
      <c r="D1994" t="s">
        <v>2047</v>
      </c>
      <c r="E1994" t="s">
        <v>120</v>
      </c>
      <c r="F1994" t="s">
        <v>121</v>
      </c>
      <c r="G1994" t="s">
        <v>122</v>
      </c>
      <c r="H1994" t="s">
        <v>84</v>
      </c>
      <c r="I1994" t="s">
        <v>138</v>
      </c>
      <c r="J1994" t="s">
        <v>139</v>
      </c>
      <c r="K1994">
        <v>5</v>
      </c>
      <c r="L1994">
        <v>12389.6</v>
      </c>
      <c r="M1994">
        <v>0.1</v>
      </c>
      <c r="N1994">
        <v>55753.2</v>
      </c>
      <c r="O1994">
        <v>43983.62</v>
      </c>
      <c r="P1994">
        <v>11769.58</v>
      </c>
      <c r="Q1994" t="s">
        <v>67</v>
      </c>
      <c r="R1994">
        <v>0.21110142556839789</v>
      </c>
      <c r="S1994">
        <v>2025</v>
      </c>
      <c r="T1994" t="s">
        <v>1519</v>
      </c>
      <c r="U1994">
        <v>8</v>
      </c>
      <c r="V1994" t="s">
        <v>1385</v>
      </c>
    </row>
    <row r="1995" spans="1:22" x14ac:dyDescent="0.3">
      <c r="A1995" t="s">
        <v>3011</v>
      </c>
      <c r="B1995" s="1">
        <v>45874</v>
      </c>
      <c r="C1995" t="s">
        <v>2037</v>
      </c>
      <c r="D1995" t="s">
        <v>215</v>
      </c>
      <c r="E1995" t="s">
        <v>25</v>
      </c>
      <c r="F1995" t="s">
        <v>26</v>
      </c>
      <c r="G1995" t="s">
        <v>171</v>
      </c>
      <c r="H1995" t="s">
        <v>64</v>
      </c>
      <c r="I1995" t="s">
        <v>108</v>
      </c>
      <c r="J1995" t="s">
        <v>109</v>
      </c>
      <c r="K1995">
        <v>4</v>
      </c>
      <c r="L1995">
        <v>7145.27</v>
      </c>
      <c r="M1995">
        <v>0.1</v>
      </c>
      <c r="N1995">
        <v>25722.97</v>
      </c>
      <c r="O1995">
        <v>18328.61</v>
      </c>
      <c r="P1995">
        <v>7394.36</v>
      </c>
      <c r="Q1995" t="s">
        <v>31</v>
      </c>
      <c r="R1995">
        <v>0.28746136235434711</v>
      </c>
      <c r="S1995">
        <v>2025</v>
      </c>
      <c r="T1995" t="s">
        <v>1519</v>
      </c>
      <c r="U1995">
        <v>8</v>
      </c>
      <c r="V1995" t="s">
        <v>1385</v>
      </c>
    </row>
    <row r="1996" spans="1:22" x14ac:dyDescent="0.3">
      <c r="A1996" t="s">
        <v>3012</v>
      </c>
      <c r="B1996" s="1">
        <v>45874</v>
      </c>
      <c r="C1996" t="s">
        <v>943</v>
      </c>
      <c r="D1996" t="s">
        <v>1798</v>
      </c>
      <c r="E1996" t="s">
        <v>25</v>
      </c>
      <c r="F1996" t="s">
        <v>26</v>
      </c>
      <c r="G1996" t="s">
        <v>37</v>
      </c>
      <c r="H1996" t="s">
        <v>28</v>
      </c>
      <c r="I1996" t="s">
        <v>73</v>
      </c>
      <c r="J1996" t="s">
        <v>74</v>
      </c>
      <c r="K1996">
        <v>6</v>
      </c>
      <c r="L1996">
        <v>2456.71</v>
      </c>
      <c r="M1996">
        <v>0.05</v>
      </c>
      <c r="N1996">
        <v>14003.25</v>
      </c>
      <c r="O1996">
        <v>8187.33</v>
      </c>
      <c r="P1996">
        <v>5815.92</v>
      </c>
      <c r="Q1996" t="s">
        <v>67</v>
      </c>
      <c r="R1996">
        <v>0.41532644207594671</v>
      </c>
      <c r="S1996">
        <v>2025</v>
      </c>
      <c r="T1996" t="s">
        <v>1519</v>
      </c>
      <c r="U1996">
        <v>8</v>
      </c>
      <c r="V1996" t="s">
        <v>1385</v>
      </c>
    </row>
    <row r="1997" spans="1:22" x14ac:dyDescent="0.3">
      <c r="A1997" t="s">
        <v>3013</v>
      </c>
      <c r="B1997" s="1">
        <v>45874</v>
      </c>
      <c r="C1997" t="s">
        <v>323</v>
      </c>
      <c r="D1997" t="s">
        <v>925</v>
      </c>
      <c r="E1997" t="s">
        <v>41</v>
      </c>
      <c r="F1997" t="s">
        <v>42</v>
      </c>
      <c r="G1997" t="s">
        <v>50</v>
      </c>
      <c r="H1997" t="s">
        <v>28</v>
      </c>
      <c r="I1997" t="s">
        <v>29</v>
      </c>
      <c r="J1997" t="s">
        <v>30</v>
      </c>
      <c r="K1997">
        <v>2</v>
      </c>
      <c r="L1997">
        <v>58905.3</v>
      </c>
      <c r="M1997">
        <v>0</v>
      </c>
      <c r="N1997">
        <v>117810.6</v>
      </c>
      <c r="O1997">
        <v>106265.03</v>
      </c>
      <c r="P1997">
        <v>11545.57</v>
      </c>
      <c r="Q1997" t="s">
        <v>46</v>
      </c>
      <c r="R1997">
        <v>9.8001113651912469E-2</v>
      </c>
      <c r="S1997">
        <v>2025</v>
      </c>
      <c r="T1997" t="s">
        <v>1519</v>
      </c>
      <c r="U1997">
        <v>8</v>
      </c>
      <c r="V1997" t="s">
        <v>1385</v>
      </c>
    </row>
    <row r="1998" spans="1:22" x14ac:dyDescent="0.3">
      <c r="A1998" t="s">
        <v>3014</v>
      </c>
      <c r="B1998" s="1">
        <v>45874</v>
      </c>
      <c r="C1998" t="s">
        <v>1875</v>
      </c>
      <c r="D1998" t="s">
        <v>1227</v>
      </c>
      <c r="E1998" t="s">
        <v>61</v>
      </c>
      <c r="F1998" t="s">
        <v>78</v>
      </c>
      <c r="G1998" t="s">
        <v>104</v>
      </c>
      <c r="H1998" t="s">
        <v>84</v>
      </c>
      <c r="I1998" t="s">
        <v>138</v>
      </c>
      <c r="J1998" t="s">
        <v>139</v>
      </c>
      <c r="K1998">
        <v>1</v>
      </c>
      <c r="L1998">
        <v>13214.9</v>
      </c>
      <c r="M1998">
        <v>0</v>
      </c>
      <c r="N1998">
        <v>13214.9</v>
      </c>
      <c r="O1998">
        <v>9433.3799999999992</v>
      </c>
      <c r="P1998">
        <v>3781.52</v>
      </c>
      <c r="Q1998" t="s">
        <v>31</v>
      </c>
      <c r="R1998">
        <v>0.28615577870434128</v>
      </c>
      <c r="S1998">
        <v>2025</v>
      </c>
      <c r="T1998" t="s">
        <v>1519</v>
      </c>
      <c r="U1998">
        <v>8</v>
      </c>
      <c r="V1998" t="s">
        <v>1385</v>
      </c>
    </row>
    <row r="1999" spans="1:22" x14ac:dyDescent="0.3">
      <c r="A1999" t="s">
        <v>3015</v>
      </c>
      <c r="B1999" s="1">
        <v>45875</v>
      </c>
      <c r="C1999" t="s">
        <v>586</v>
      </c>
      <c r="D1999" t="s">
        <v>357</v>
      </c>
      <c r="E1999" t="s">
        <v>25</v>
      </c>
      <c r="F1999" t="s">
        <v>26</v>
      </c>
      <c r="G1999" t="s">
        <v>171</v>
      </c>
      <c r="H1999" t="s">
        <v>28</v>
      </c>
      <c r="I1999" t="s">
        <v>29</v>
      </c>
      <c r="J1999" t="s">
        <v>30</v>
      </c>
      <c r="K1999">
        <v>3</v>
      </c>
      <c r="L1999">
        <v>59452.62</v>
      </c>
      <c r="M1999">
        <v>0</v>
      </c>
      <c r="N1999">
        <v>178357.86</v>
      </c>
      <c r="O1999">
        <v>151450.13</v>
      </c>
      <c r="P1999">
        <v>26907.73</v>
      </c>
      <c r="Q1999" t="s">
        <v>53</v>
      </c>
      <c r="R1999">
        <v>0.1508637185936185</v>
      </c>
      <c r="S1999">
        <v>2025</v>
      </c>
      <c r="T1999" t="s">
        <v>1519</v>
      </c>
      <c r="U1999">
        <v>8</v>
      </c>
      <c r="V1999" t="s">
        <v>1385</v>
      </c>
    </row>
    <row r="2000" spans="1:22" x14ac:dyDescent="0.3">
      <c r="A2000" t="s">
        <v>3016</v>
      </c>
      <c r="B2000" s="1">
        <v>45876</v>
      </c>
      <c r="C2000" t="s">
        <v>1826</v>
      </c>
      <c r="D2000" t="s">
        <v>735</v>
      </c>
      <c r="E2000" t="s">
        <v>61</v>
      </c>
      <c r="F2000" t="s">
        <v>71</v>
      </c>
      <c r="G2000" t="s">
        <v>201</v>
      </c>
      <c r="H2000" t="s">
        <v>28</v>
      </c>
      <c r="I2000" t="s">
        <v>29</v>
      </c>
      <c r="J2000" t="s">
        <v>30</v>
      </c>
      <c r="K2000">
        <v>4</v>
      </c>
      <c r="L2000">
        <v>59006.19</v>
      </c>
      <c r="M2000">
        <v>0.1</v>
      </c>
      <c r="N2000">
        <v>212422.28</v>
      </c>
      <c r="O2000">
        <v>203472.91</v>
      </c>
      <c r="P2000">
        <v>8949.3700000000008</v>
      </c>
      <c r="Q2000" t="s">
        <v>31</v>
      </c>
      <c r="R2000">
        <v>4.2130091062011023E-2</v>
      </c>
      <c r="S2000">
        <v>2025</v>
      </c>
      <c r="T2000" t="s">
        <v>1519</v>
      </c>
      <c r="U2000">
        <v>8</v>
      </c>
      <c r="V2000" t="s">
        <v>1385</v>
      </c>
    </row>
    <row r="2001" spans="1:22" x14ac:dyDescent="0.3">
      <c r="A2001" t="s">
        <v>3017</v>
      </c>
      <c r="B2001" s="1">
        <v>45876</v>
      </c>
      <c r="C2001" t="s">
        <v>870</v>
      </c>
      <c r="D2001" t="s">
        <v>542</v>
      </c>
      <c r="E2001" t="s">
        <v>120</v>
      </c>
      <c r="F2001" t="s">
        <v>121</v>
      </c>
      <c r="G2001" t="s">
        <v>224</v>
      </c>
      <c r="H2001" t="s">
        <v>43</v>
      </c>
      <c r="I2001" t="s">
        <v>44</v>
      </c>
      <c r="J2001" t="s">
        <v>248</v>
      </c>
      <c r="K2001">
        <v>4</v>
      </c>
      <c r="L2001">
        <v>305.55</v>
      </c>
      <c r="M2001">
        <v>0</v>
      </c>
      <c r="N2001">
        <v>1222.2</v>
      </c>
      <c r="O2001">
        <v>501.69</v>
      </c>
      <c r="P2001">
        <v>720.51</v>
      </c>
      <c r="Q2001" t="s">
        <v>53</v>
      </c>
      <c r="R2001">
        <v>0.58951890034364263</v>
      </c>
      <c r="S2001">
        <v>2025</v>
      </c>
      <c r="T2001" t="s">
        <v>1519</v>
      </c>
      <c r="U2001">
        <v>8</v>
      </c>
      <c r="V2001" t="s">
        <v>1385</v>
      </c>
    </row>
    <row r="2002" spans="1:22" x14ac:dyDescent="0.3">
      <c r="A2002" t="s">
        <v>3018</v>
      </c>
      <c r="B2002" s="1">
        <v>45876</v>
      </c>
      <c r="C2002" t="s">
        <v>211</v>
      </c>
      <c r="D2002" t="s">
        <v>444</v>
      </c>
      <c r="E2002" t="s">
        <v>61</v>
      </c>
      <c r="F2002" t="s">
        <v>71</v>
      </c>
      <c r="G2002" t="s">
        <v>201</v>
      </c>
      <c r="H2002" t="s">
        <v>28</v>
      </c>
      <c r="I2002" t="s">
        <v>29</v>
      </c>
      <c r="J2002" t="s">
        <v>30</v>
      </c>
      <c r="K2002">
        <v>3</v>
      </c>
      <c r="L2002">
        <v>56489.87</v>
      </c>
      <c r="M2002">
        <v>0.15</v>
      </c>
      <c r="N2002">
        <v>144049.17000000001</v>
      </c>
      <c r="O2002">
        <v>151253.01999999999</v>
      </c>
      <c r="P2002">
        <v>-7203.85</v>
      </c>
      <c r="Q2002" t="s">
        <v>113</v>
      </c>
      <c r="R2002">
        <v>-5.0009659895992459E-2</v>
      </c>
      <c r="S2002">
        <v>2025</v>
      </c>
      <c r="T2002" t="s">
        <v>1519</v>
      </c>
      <c r="U2002">
        <v>8</v>
      </c>
      <c r="V2002" t="s">
        <v>1385</v>
      </c>
    </row>
    <row r="2003" spans="1:22" x14ac:dyDescent="0.3">
      <c r="A2003" t="s">
        <v>3019</v>
      </c>
      <c r="B2003" s="1">
        <v>45876</v>
      </c>
      <c r="C2003" t="s">
        <v>1927</v>
      </c>
      <c r="D2003" t="s">
        <v>1066</v>
      </c>
      <c r="E2003" t="s">
        <v>61</v>
      </c>
      <c r="F2003" t="s">
        <v>78</v>
      </c>
      <c r="G2003" t="s">
        <v>104</v>
      </c>
      <c r="H2003" t="s">
        <v>64</v>
      </c>
      <c r="I2003" t="s">
        <v>65</v>
      </c>
      <c r="J2003" t="s">
        <v>66</v>
      </c>
      <c r="K2003">
        <v>3</v>
      </c>
      <c r="L2003">
        <v>4700.76</v>
      </c>
      <c r="M2003">
        <v>0.2</v>
      </c>
      <c r="N2003">
        <v>11281.82</v>
      </c>
      <c r="O2003">
        <v>8722.85</v>
      </c>
      <c r="P2003">
        <v>2558.9699999999998</v>
      </c>
      <c r="Q2003" t="s">
        <v>113</v>
      </c>
      <c r="R2003">
        <v>0.22682244531467441</v>
      </c>
      <c r="S2003">
        <v>2025</v>
      </c>
      <c r="T2003" t="s">
        <v>1519</v>
      </c>
      <c r="U2003">
        <v>8</v>
      </c>
      <c r="V2003" t="s">
        <v>1385</v>
      </c>
    </row>
    <row r="2004" spans="1:22" x14ac:dyDescent="0.3">
      <c r="A2004" t="s">
        <v>3020</v>
      </c>
      <c r="B2004" s="1">
        <v>45877</v>
      </c>
      <c r="C2004" t="s">
        <v>1272</v>
      </c>
      <c r="D2004" t="s">
        <v>326</v>
      </c>
      <c r="E2004" t="s">
        <v>61</v>
      </c>
      <c r="F2004" t="s">
        <v>71</v>
      </c>
      <c r="G2004" t="s">
        <v>201</v>
      </c>
      <c r="H2004" t="s">
        <v>84</v>
      </c>
      <c r="I2004" t="s">
        <v>138</v>
      </c>
      <c r="J2004" t="s">
        <v>139</v>
      </c>
      <c r="K2004">
        <v>2</v>
      </c>
      <c r="L2004">
        <v>12652.8</v>
      </c>
      <c r="M2004">
        <v>0.15</v>
      </c>
      <c r="N2004">
        <v>21509.759999999998</v>
      </c>
      <c r="O2004">
        <v>17529.099999999999</v>
      </c>
      <c r="P2004">
        <v>3980.66</v>
      </c>
      <c r="Q2004" t="s">
        <v>53</v>
      </c>
      <c r="R2004">
        <v>0.18506296676485459</v>
      </c>
      <c r="S2004">
        <v>2025</v>
      </c>
      <c r="T2004" t="s">
        <v>1519</v>
      </c>
      <c r="U2004">
        <v>8</v>
      </c>
      <c r="V2004" t="s">
        <v>1385</v>
      </c>
    </row>
    <row r="2005" spans="1:22" x14ac:dyDescent="0.3">
      <c r="A2005" t="s">
        <v>3021</v>
      </c>
      <c r="B2005" s="1">
        <v>45877</v>
      </c>
      <c r="C2005" t="s">
        <v>1388</v>
      </c>
      <c r="D2005" t="s">
        <v>363</v>
      </c>
      <c r="E2005" t="s">
        <v>61</v>
      </c>
      <c r="F2005" t="s">
        <v>71</v>
      </c>
      <c r="G2005" t="s">
        <v>317</v>
      </c>
      <c r="H2005" t="s">
        <v>64</v>
      </c>
      <c r="I2005" t="s">
        <v>108</v>
      </c>
      <c r="J2005" t="s">
        <v>155</v>
      </c>
      <c r="K2005">
        <v>1</v>
      </c>
      <c r="L2005">
        <v>8088.56</v>
      </c>
      <c r="M2005">
        <v>0.05</v>
      </c>
      <c r="N2005">
        <v>7684.13</v>
      </c>
      <c r="O2005">
        <v>5303.33</v>
      </c>
      <c r="P2005">
        <v>2380.8000000000002</v>
      </c>
      <c r="Q2005" t="s">
        <v>113</v>
      </c>
      <c r="R2005">
        <v>0.30983338387039261</v>
      </c>
      <c r="S2005">
        <v>2025</v>
      </c>
      <c r="T2005" t="s">
        <v>1519</v>
      </c>
      <c r="U2005">
        <v>8</v>
      </c>
      <c r="V2005" t="s">
        <v>1385</v>
      </c>
    </row>
    <row r="2006" spans="1:22" x14ac:dyDescent="0.3">
      <c r="A2006" t="s">
        <v>3022</v>
      </c>
      <c r="B2006" s="1">
        <v>45878</v>
      </c>
      <c r="C2006" t="s">
        <v>591</v>
      </c>
      <c r="D2006" t="s">
        <v>747</v>
      </c>
      <c r="E2006" t="s">
        <v>61</v>
      </c>
      <c r="F2006" t="s">
        <v>78</v>
      </c>
      <c r="G2006" t="s">
        <v>104</v>
      </c>
      <c r="H2006" t="s">
        <v>28</v>
      </c>
      <c r="I2006" t="s">
        <v>91</v>
      </c>
      <c r="J2006" t="s">
        <v>92</v>
      </c>
      <c r="K2006">
        <v>1</v>
      </c>
      <c r="L2006">
        <v>3167.63</v>
      </c>
      <c r="M2006">
        <v>0.15</v>
      </c>
      <c r="N2006">
        <v>2692.49</v>
      </c>
      <c r="O2006">
        <v>1679.08</v>
      </c>
      <c r="P2006">
        <v>1013.41</v>
      </c>
      <c r="Q2006" t="s">
        <v>46</v>
      </c>
      <c r="R2006">
        <v>0.3763839420016416</v>
      </c>
      <c r="S2006">
        <v>2025</v>
      </c>
      <c r="T2006" t="s">
        <v>1519</v>
      </c>
      <c r="U2006">
        <v>8</v>
      </c>
      <c r="V2006" t="s">
        <v>1385</v>
      </c>
    </row>
    <row r="2007" spans="1:22" x14ac:dyDescent="0.3">
      <c r="A2007" t="s">
        <v>3023</v>
      </c>
      <c r="B2007" s="1">
        <v>45878</v>
      </c>
      <c r="C2007" t="s">
        <v>1124</v>
      </c>
      <c r="D2007" t="s">
        <v>99</v>
      </c>
      <c r="E2007" t="s">
        <v>120</v>
      </c>
      <c r="F2007" t="s">
        <v>121</v>
      </c>
      <c r="G2007" t="s">
        <v>130</v>
      </c>
      <c r="H2007" t="s">
        <v>43</v>
      </c>
      <c r="I2007" t="s">
        <v>51</v>
      </c>
      <c r="J2007" t="s">
        <v>52</v>
      </c>
      <c r="K2007">
        <v>2</v>
      </c>
      <c r="L2007">
        <v>676.96</v>
      </c>
      <c r="M2007">
        <v>0.05</v>
      </c>
      <c r="N2007">
        <v>1286.22</v>
      </c>
      <c r="O2007">
        <v>640.03</v>
      </c>
      <c r="P2007">
        <v>646.19000000000005</v>
      </c>
      <c r="Q2007" t="s">
        <v>31</v>
      </c>
      <c r="R2007">
        <v>0.50239461367417704</v>
      </c>
      <c r="S2007">
        <v>2025</v>
      </c>
      <c r="T2007" t="s">
        <v>1519</v>
      </c>
      <c r="U2007">
        <v>8</v>
      </c>
      <c r="V2007" t="s">
        <v>1385</v>
      </c>
    </row>
    <row r="2008" spans="1:22" x14ac:dyDescent="0.3">
      <c r="A2008" t="s">
        <v>3024</v>
      </c>
      <c r="B2008" s="1">
        <v>45879</v>
      </c>
      <c r="C2008" t="s">
        <v>1169</v>
      </c>
      <c r="D2008" t="s">
        <v>609</v>
      </c>
      <c r="E2008" t="s">
        <v>41</v>
      </c>
      <c r="F2008" t="s">
        <v>42</v>
      </c>
      <c r="G2008" t="s">
        <v>42</v>
      </c>
      <c r="H2008" t="s">
        <v>43</v>
      </c>
      <c r="I2008" t="s">
        <v>51</v>
      </c>
      <c r="J2008" t="s">
        <v>52</v>
      </c>
      <c r="K2008">
        <v>2</v>
      </c>
      <c r="L2008">
        <v>672.86</v>
      </c>
      <c r="M2008">
        <v>0.15</v>
      </c>
      <c r="N2008">
        <v>1143.8599999999999</v>
      </c>
      <c r="O2008">
        <v>612.72</v>
      </c>
      <c r="P2008">
        <v>531.14</v>
      </c>
      <c r="Q2008" t="s">
        <v>67</v>
      </c>
      <c r="R2008">
        <v>0.46434004161348419</v>
      </c>
      <c r="S2008">
        <v>2025</v>
      </c>
      <c r="T2008" t="s">
        <v>1519</v>
      </c>
      <c r="U2008">
        <v>8</v>
      </c>
      <c r="V2008" t="s">
        <v>1385</v>
      </c>
    </row>
    <row r="2009" spans="1:22" x14ac:dyDescent="0.3">
      <c r="A2009" t="s">
        <v>3025</v>
      </c>
      <c r="B2009" s="1">
        <v>45879</v>
      </c>
      <c r="C2009" t="s">
        <v>1673</v>
      </c>
      <c r="D2009" t="s">
        <v>1525</v>
      </c>
      <c r="E2009" t="s">
        <v>61</v>
      </c>
      <c r="F2009" t="s">
        <v>71</v>
      </c>
      <c r="G2009" t="s">
        <v>100</v>
      </c>
      <c r="H2009" t="s">
        <v>84</v>
      </c>
      <c r="I2009" t="s">
        <v>85</v>
      </c>
      <c r="J2009" t="s">
        <v>86</v>
      </c>
      <c r="K2009">
        <v>4</v>
      </c>
      <c r="L2009">
        <v>1847.08</v>
      </c>
      <c r="M2009">
        <v>0.1</v>
      </c>
      <c r="N2009">
        <v>6649.49</v>
      </c>
      <c r="O2009">
        <v>3962.22</v>
      </c>
      <c r="P2009">
        <v>2687.27</v>
      </c>
      <c r="Q2009" t="s">
        <v>31</v>
      </c>
      <c r="R2009">
        <v>0.40413174544213171</v>
      </c>
      <c r="S2009">
        <v>2025</v>
      </c>
      <c r="T2009" t="s">
        <v>1519</v>
      </c>
      <c r="U2009">
        <v>8</v>
      </c>
      <c r="V2009" t="s">
        <v>1385</v>
      </c>
    </row>
    <row r="2010" spans="1:22" x14ac:dyDescent="0.3">
      <c r="A2010" t="s">
        <v>3026</v>
      </c>
      <c r="B2010" s="1">
        <v>45880</v>
      </c>
      <c r="C2010" t="s">
        <v>467</v>
      </c>
      <c r="D2010" t="s">
        <v>894</v>
      </c>
      <c r="E2010" t="s">
        <v>25</v>
      </c>
      <c r="F2010" t="s">
        <v>26</v>
      </c>
      <c r="G2010" t="s">
        <v>37</v>
      </c>
      <c r="H2010" t="s">
        <v>84</v>
      </c>
      <c r="I2010" t="s">
        <v>138</v>
      </c>
      <c r="J2010" t="s">
        <v>220</v>
      </c>
      <c r="K2010">
        <v>4</v>
      </c>
      <c r="L2010">
        <v>7515.73</v>
      </c>
      <c r="M2010">
        <v>0.05</v>
      </c>
      <c r="N2010">
        <v>28559.77</v>
      </c>
      <c r="O2010">
        <v>20024.68</v>
      </c>
      <c r="P2010">
        <v>8535.09</v>
      </c>
      <c r="Q2010" t="s">
        <v>53</v>
      </c>
      <c r="R2010">
        <v>0.29885009578158372</v>
      </c>
      <c r="S2010">
        <v>2025</v>
      </c>
      <c r="T2010" t="s">
        <v>1519</v>
      </c>
      <c r="U2010">
        <v>8</v>
      </c>
      <c r="V2010" t="s">
        <v>1385</v>
      </c>
    </row>
    <row r="2011" spans="1:22" x14ac:dyDescent="0.3">
      <c r="A2011" t="s">
        <v>3027</v>
      </c>
      <c r="B2011" s="1">
        <v>45880</v>
      </c>
      <c r="C2011" t="s">
        <v>596</v>
      </c>
      <c r="D2011" t="s">
        <v>1345</v>
      </c>
      <c r="E2011" t="s">
        <v>61</v>
      </c>
      <c r="F2011" t="s">
        <v>62</v>
      </c>
      <c r="G2011" t="s">
        <v>228</v>
      </c>
      <c r="H2011" t="s">
        <v>43</v>
      </c>
      <c r="I2011" t="s">
        <v>44</v>
      </c>
      <c r="J2011" t="s">
        <v>45</v>
      </c>
      <c r="K2011">
        <v>1</v>
      </c>
      <c r="L2011">
        <v>235.7</v>
      </c>
      <c r="M2011">
        <v>0</v>
      </c>
      <c r="N2011">
        <v>235.7</v>
      </c>
      <c r="O2011">
        <v>90.15</v>
      </c>
      <c r="P2011">
        <v>145.55000000000001</v>
      </c>
      <c r="Q2011" t="s">
        <v>31</v>
      </c>
      <c r="R2011">
        <v>0.61752227407721683</v>
      </c>
      <c r="S2011">
        <v>2025</v>
      </c>
      <c r="T2011" t="s">
        <v>1519</v>
      </c>
      <c r="U2011">
        <v>8</v>
      </c>
      <c r="V2011" t="s">
        <v>1385</v>
      </c>
    </row>
    <row r="2012" spans="1:22" x14ac:dyDescent="0.3">
      <c r="A2012" t="s">
        <v>3028</v>
      </c>
      <c r="B2012" s="1">
        <v>45880</v>
      </c>
      <c r="C2012" t="s">
        <v>767</v>
      </c>
      <c r="D2012" t="s">
        <v>695</v>
      </c>
      <c r="E2012" t="s">
        <v>61</v>
      </c>
      <c r="F2012" t="s">
        <v>78</v>
      </c>
      <c r="G2012" t="s">
        <v>104</v>
      </c>
      <c r="H2012" t="s">
        <v>43</v>
      </c>
      <c r="I2012" t="s">
        <v>51</v>
      </c>
      <c r="J2012" t="s">
        <v>52</v>
      </c>
      <c r="K2012">
        <v>3</v>
      </c>
      <c r="L2012">
        <v>687.22</v>
      </c>
      <c r="M2012">
        <v>0.2</v>
      </c>
      <c r="N2012">
        <v>1649.33</v>
      </c>
      <c r="O2012">
        <v>951.6</v>
      </c>
      <c r="P2012">
        <v>697.73</v>
      </c>
      <c r="Q2012" t="s">
        <v>31</v>
      </c>
      <c r="R2012">
        <v>0.42303844591440171</v>
      </c>
      <c r="S2012">
        <v>2025</v>
      </c>
      <c r="T2012" t="s">
        <v>1519</v>
      </c>
      <c r="U2012">
        <v>8</v>
      </c>
      <c r="V2012" t="s">
        <v>1385</v>
      </c>
    </row>
    <row r="2013" spans="1:22" x14ac:dyDescent="0.3">
      <c r="A2013" t="s">
        <v>3029</v>
      </c>
      <c r="B2013" s="1">
        <v>45880</v>
      </c>
      <c r="C2013" t="s">
        <v>861</v>
      </c>
      <c r="D2013" t="s">
        <v>929</v>
      </c>
      <c r="E2013" t="s">
        <v>61</v>
      </c>
      <c r="F2013" t="s">
        <v>62</v>
      </c>
      <c r="G2013" t="s">
        <v>63</v>
      </c>
      <c r="H2013" t="s">
        <v>84</v>
      </c>
      <c r="I2013" t="s">
        <v>138</v>
      </c>
      <c r="J2013" t="s">
        <v>220</v>
      </c>
      <c r="K2013">
        <v>1</v>
      </c>
      <c r="L2013">
        <v>7595.45</v>
      </c>
      <c r="M2013">
        <v>0.05</v>
      </c>
      <c r="N2013">
        <v>7215.68</v>
      </c>
      <c r="O2013">
        <v>5110.78</v>
      </c>
      <c r="P2013">
        <v>2104.9</v>
      </c>
      <c r="Q2013" t="s">
        <v>67</v>
      </c>
      <c r="R2013">
        <v>0.29171193844516391</v>
      </c>
      <c r="S2013">
        <v>2025</v>
      </c>
      <c r="T2013" t="s">
        <v>1519</v>
      </c>
      <c r="U2013">
        <v>8</v>
      </c>
      <c r="V2013" t="s">
        <v>1385</v>
      </c>
    </row>
    <row r="2014" spans="1:22" x14ac:dyDescent="0.3">
      <c r="A2014" t="s">
        <v>3030</v>
      </c>
      <c r="B2014" s="1">
        <v>45880</v>
      </c>
      <c r="C2014" t="s">
        <v>1159</v>
      </c>
      <c r="D2014" t="s">
        <v>707</v>
      </c>
      <c r="E2014" t="s">
        <v>61</v>
      </c>
      <c r="F2014" t="s">
        <v>71</v>
      </c>
      <c r="G2014" t="s">
        <v>100</v>
      </c>
      <c r="H2014" t="s">
        <v>28</v>
      </c>
      <c r="I2014" t="s">
        <v>91</v>
      </c>
      <c r="J2014" t="s">
        <v>92</v>
      </c>
      <c r="K2014">
        <v>6</v>
      </c>
      <c r="L2014">
        <v>2913.23</v>
      </c>
      <c r="M2014">
        <v>0.1</v>
      </c>
      <c r="N2014">
        <v>15731.44</v>
      </c>
      <c r="O2014">
        <v>9311.33</v>
      </c>
      <c r="P2014">
        <v>6420.11</v>
      </c>
      <c r="Q2014" t="s">
        <v>46</v>
      </c>
      <c r="R2014">
        <v>0.40810695015840892</v>
      </c>
      <c r="S2014">
        <v>2025</v>
      </c>
      <c r="T2014" t="s">
        <v>1519</v>
      </c>
      <c r="U2014">
        <v>8</v>
      </c>
      <c r="V2014" t="s">
        <v>1385</v>
      </c>
    </row>
    <row r="2015" spans="1:22" x14ac:dyDescent="0.3">
      <c r="A2015" t="s">
        <v>3031</v>
      </c>
      <c r="B2015" s="1">
        <v>45880</v>
      </c>
      <c r="C2015" t="s">
        <v>2125</v>
      </c>
      <c r="D2015" t="s">
        <v>116</v>
      </c>
      <c r="E2015" t="s">
        <v>41</v>
      </c>
      <c r="F2015" t="s">
        <v>42</v>
      </c>
      <c r="G2015" t="s">
        <v>42</v>
      </c>
      <c r="H2015" t="s">
        <v>84</v>
      </c>
      <c r="I2015" t="s">
        <v>138</v>
      </c>
      <c r="J2015" t="s">
        <v>139</v>
      </c>
      <c r="K2015">
        <v>2</v>
      </c>
      <c r="L2015">
        <v>13733.52</v>
      </c>
      <c r="M2015">
        <v>0.1</v>
      </c>
      <c r="N2015">
        <v>24720.34</v>
      </c>
      <c r="O2015">
        <v>19587.580000000002</v>
      </c>
      <c r="P2015">
        <v>5132.76</v>
      </c>
      <c r="Q2015" t="s">
        <v>31</v>
      </c>
      <c r="R2015">
        <v>0.20763306653549271</v>
      </c>
      <c r="S2015">
        <v>2025</v>
      </c>
      <c r="T2015" t="s">
        <v>1519</v>
      </c>
      <c r="U2015">
        <v>8</v>
      </c>
      <c r="V2015" t="s">
        <v>1385</v>
      </c>
    </row>
    <row r="2016" spans="1:22" x14ac:dyDescent="0.3">
      <c r="A2016" t="s">
        <v>3032</v>
      </c>
      <c r="B2016" s="1">
        <v>45881</v>
      </c>
      <c r="C2016" t="s">
        <v>2288</v>
      </c>
      <c r="D2016" t="s">
        <v>1203</v>
      </c>
      <c r="E2016" t="s">
        <v>61</v>
      </c>
      <c r="F2016" t="s">
        <v>78</v>
      </c>
      <c r="G2016" t="s">
        <v>104</v>
      </c>
      <c r="H2016" t="s">
        <v>43</v>
      </c>
      <c r="I2016" t="s">
        <v>51</v>
      </c>
      <c r="J2016" t="s">
        <v>96</v>
      </c>
      <c r="K2016">
        <v>2</v>
      </c>
      <c r="L2016">
        <v>474.71</v>
      </c>
      <c r="M2016">
        <v>0.15</v>
      </c>
      <c r="N2016">
        <v>807.01</v>
      </c>
      <c r="O2016">
        <v>444.13</v>
      </c>
      <c r="P2016">
        <v>362.88</v>
      </c>
      <c r="Q2016" t="s">
        <v>46</v>
      </c>
      <c r="R2016">
        <v>0.44965985551604071</v>
      </c>
      <c r="S2016">
        <v>2025</v>
      </c>
      <c r="T2016" t="s">
        <v>1519</v>
      </c>
      <c r="U2016">
        <v>8</v>
      </c>
      <c r="V2016" t="s">
        <v>1385</v>
      </c>
    </row>
    <row r="2017" spans="1:22" x14ac:dyDescent="0.3">
      <c r="A2017" t="s">
        <v>3033</v>
      </c>
      <c r="B2017" s="1">
        <v>45882</v>
      </c>
      <c r="C2017" t="s">
        <v>2937</v>
      </c>
      <c r="D2017" t="s">
        <v>304</v>
      </c>
      <c r="E2017" t="s">
        <v>41</v>
      </c>
      <c r="F2017" t="s">
        <v>42</v>
      </c>
      <c r="G2017" t="s">
        <v>42</v>
      </c>
      <c r="H2017" t="s">
        <v>64</v>
      </c>
      <c r="I2017" t="s">
        <v>108</v>
      </c>
      <c r="J2017" t="s">
        <v>155</v>
      </c>
      <c r="K2017">
        <v>4</v>
      </c>
      <c r="L2017">
        <v>8395.99</v>
      </c>
      <c r="M2017">
        <v>0.15</v>
      </c>
      <c r="N2017">
        <v>28546.37</v>
      </c>
      <c r="O2017">
        <v>22547.279999999999</v>
      </c>
      <c r="P2017">
        <v>5999.09</v>
      </c>
      <c r="Q2017" t="s">
        <v>31</v>
      </c>
      <c r="R2017">
        <v>0.21015246421874309</v>
      </c>
      <c r="S2017">
        <v>2025</v>
      </c>
      <c r="T2017" t="s">
        <v>1519</v>
      </c>
      <c r="U2017">
        <v>8</v>
      </c>
      <c r="V2017" t="s">
        <v>1385</v>
      </c>
    </row>
    <row r="2018" spans="1:22" x14ac:dyDescent="0.3">
      <c r="A2018" t="s">
        <v>3034</v>
      </c>
      <c r="B2018" s="1">
        <v>45882</v>
      </c>
      <c r="C2018" t="s">
        <v>240</v>
      </c>
      <c r="D2018" t="s">
        <v>390</v>
      </c>
      <c r="E2018" t="s">
        <v>25</v>
      </c>
      <c r="F2018" t="s">
        <v>26</v>
      </c>
      <c r="G2018" t="s">
        <v>260</v>
      </c>
      <c r="H2018" t="s">
        <v>84</v>
      </c>
      <c r="I2018" t="s">
        <v>138</v>
      </c>
      <c r="J2018" t="s">
        <v>220</v>
      </c>
      <c r="K2018">
        <v>2</v>
      </c>
      <c r="L2018">
        <v>7200.18</v>
      </c>
      <c r="M2018">
        <v>0.05</v>
      </c>
      <c r="N2018">
        <v>13680.34</v>
      </c>
      <c r="O2018">
        <v>9540.56</v>
      </c>
      <c r="P2018">
        <v>4139.78</v>
      </c>
      <c r="Q2018" t="s">
        <v>53</v>
      </c>
      <c r="R2018">
        <v>0.30260797611755258</v>
      </c>
      <c r="S2018">
        <v>2025</v>
      </c>
      <c r="T2018" t="s">
        <v>1519</v>
      </c>
      <c r="U2018">
        <v>8</v>
      </c>
      <c r="V2018" t="s">
        <v>1385</v>
      </c>
    </row>
    <row r="2019" spans="1:22" x14ac:dyDescent="0.3">
      <c r="A2019" t="s">
        <v>3035</v>
      </c>
      <c r="B2019" s="1">
        <v>45882</v>
      </c>
      <c r="C2019" t="s">
        <v>408</v>
      </c>
      <c r="D2019" t="s">
        <v>789</v>
      </c>
      <c r="E2019" t="s">
        <v>61</v>
      </c>
      <c r="F2019" t="s">
        <v>78</v>
      </c>
      <c r="G2019" t="s">
        <v>104</v>
      </c>
      <c r="H2019" t="s">
        <v>64</v>
      </c>
      <c r="I2019" t="s">
        <v>108</v>
      </c>
      <c r="J2019" t="s">
        <v>155</v>
      </c>
      <c r="K2019">
        <v>2</v>
      </c>
      <c r="L2019">
        <v>8037.37</v>
      </c>
      <c r="M2019">
        <v>0.15</v>
      </c>
      <c r="N2019">
        <v>13663.53</v>
      </c>
      <c r="O2019">
        <v>10833.71</v>
      </c>
      <c r="P2019">
        <v>2829.82</v>
      </c>
      <c r="Q2019" t="s">
        <v>46</v>
      </c>
      <c r="R2019">
        <v>0.20710753370468679</v>
      </c>
      <c r="S2019">
        <v>2025</v>
      </c>
      <c r="T2019" t="s">
        <v>1519</v>
      </c>
      <c r="U2019">
        <v>8</v>
      </c>
      <c r="V2019" t="s">
        <v>1385</v>
      </c>
    </row>
    <row r="2020" spans="1:22" x14ac:dyDescent="0.3">
      <c r="A2020" t="s">
        <v>3036</v>
      </c>
      <c r="B2020" s="1">
        <v>45882</v>
      </c>
      <c r="C2020" t="s">
        <v>1180</v>
      </c>
      <c r="D2020" t="s">
        <v>357</v>
      </c>
      <c r="E2020" t="s">
        <v>61</v>
      </c>
      <c r="F2020" t="s">
        <v>62</v>
      </c>
      <c r="G2020" t="s">
        <v>90</v>
      </c>
      <c r="H2020" t="s">
        <v>43</v>
      </c>
      <c r="I2020" t="s">
        <v>44</v>
      </c>
      <c r="J2020" t="s">
        <v>248</v>
      </c>
      <c r="K2020">
        <v>2</v>
      </c>
      <c r="L2020">
        <v>295.70999999999998</v>
      </c>
      <c r="M2020">
        <v>0.1</v>
      </c>
      <c r="N2020">
        <v>532.28</v>
      </c>
      <c r="O2020">
        <v>253.35</v>
      </c>
      <c r="P2020">
        <v>278.93</v>
      </c>
      <c r="Q2020" t="s">
        <v>31</v>
      </c>
      <c r="R2020">
        <v>0.5240287066957241</v>
      </c>
      <c r="S2020">
        <v>2025</v>
      </c>
      <c r="T2020" t="s">
        <v>1519</v>
      </c>
      <c r="U2020">
        <v>8</v>
      </c>
      <c r="V2020" t="s">
        <v>1385</v>
      </c>
    </row>
    <row r="2021" spans="1:22" x14ac:dyDescent="0.3">
      <c r="A2021" t="s">
        <v>3037</v>
      </c>
      <c r="B2021" s="1">
        <v>45882</v>
      </c>
      <c r="C2021" t="s">
        <v>1839</v>
      </c>
      <c r="D2021" t="s">
        <v>326</v>
      </c>
      <c r="E2021" t="s">
        <v>61</v>
      </c>
      <c r="F2021" t="s">
        <v>62</v>
      </c>
      <c r="G2021" t="s">
        <v>228</v>
      </c>
      <c r="H2021" t="s">
        <v>84</v>
      </c>
      <c r="I2021" t="s">
        <v>138</v>
      </c>
      <c r="J2021" t="s">
        <v>220</v>
      </c>
      <c r="K2021">
        <v>2</v>
      </c>
      <c r="L2021">
        <v>7571.37</v>
      </c>
      <c r="M2021">
        <v>0.05</v>
      </c>
      <c r="N2021">
        <v>14385.6</v>
      </c>
      <c r="O2021">
        <v>9620.7800000000007</v>
      </c>
      <c r="P2021">
        <v>4764.82</v>
      </c>
      <c r="Q2021" t="s">
        <v>31</v>
      </c>
      <c r="R2021">
        <v>0.3312214992770548</v>
      </c>
      <c r="S2021">
        <v>2025</v>
      </c>
      <c r="T2021" t="s">
        <v>1519</v>
      </c>
      <c r="U2021">
        <v>8</v>
      </c>
      <c r="V2021" t="s">
        <v>1385</v>
      </c>
    </row>
    <row r="2022" spans="1:22" x14ac:dyDescent="0.3">
      <c r="A2022" t="s">
        <v>3038</v>
      </c>
      <c r="B2022" s="1">
        <v>45883</v>
      </c>
      <c r="C2022" t="s">
        <v>1477</v>
      </c>
      <c r="D2022" t="s">
        <v>418</v>
      </c>
      <c r="E2022" t="s">
        <v>120</v>
      </c>
      <c r="F2022" t="s">
        <v>121</v>
      </c>
      <c r="G2022" t="s">
        <v>122</v>
      </c>
      <c r="H2022" t="s">
        <v>84</v>
      </c>
      <c r="I2022" t="s">
        <v>138</v>
      </c>
      <c r="J2022" t="s">
        <v>139</v>
      </c>
      <c r="K2022">
        <v>4</v>
      </c>
      <c r="L2022">
        <v>12397.05</v>
      </c>
      <c r="M2022">
        <v>0.15</v>
      </c>
      <c r="N2022">
        <v>42149.97</v>
      </c>
      <c r="O2022">
        <v>36367.339999999997</v>
      </c>
      <c r="P2022">
        <v>5782.63</v>
      </c>
      <c r="Q2022" t="s">
        <v>46</v>
      </c>
      <c r="R2022">
        <v>0.13719179396806211</v>
      </c>
      <c r="S2022">
        <v>2025</v>
      </c>
      <c r="T2022" t="s">
        <v>1519</v>
      </c>
      <c r="U2022">
        <v>8</v>
      </c>
      <c r="V2022" t="s">
        <v>1385</v>
      </c>
    </row>
    <row r="2023" spans="1:22" x14ac:dyDescent="0.3">
      <c r="A2023" t="s">
        <v>3039</v>
      </c>
      <c r="B2023" s="1">
        <v>45883</v>
      </c>
      <c r="C2023" t="s">
        <v>211</v>
      </c>
      <c r="D2023" t="s">
        <v>698</v>
      </c>
      <c r="E2023" t="s">
        <v>61</v>
      </c>
      <c r="F2023" t="s">
        <v>78</v>
      </c>
      <c r="G2023" t="s">
        <v>104</v>
      </c>
      <c r="H2023" t="s">
        <v>84</v>
      </c>
      <c r="I2023" t="s">
        <v>138</v>
      </c>
      <c r="J2023" t="s">
        <v>220</v>
      </c>
      <c r="K2023">
        <v>4</v>
      </c>
      <c r="L2023">
        <v>7262.25</v>
      </c>
      <c r="M2023">
        <v>0.05</v>
      </c>
      <c r="N2023">
        <v>27596.55</v>
      </c>
      <c r="O2023">
        <v>18309.39</v>
      </c>
      <c r="P2023">
        <v>9287.16</v>
      </c>
      <c r="Q2023" t="s">
        <v>46</v>
      </c>
      <c r="R2023">
        <v>0.3365333710192035</v>
      </c>
      <c r="S2023">
        <v>2025</v>
      </c>
      <c r="T2023" t="s">
        <v>1519</v>
      </c>
      <c r="U2023">
        <v>8</v>
      </c>
      <c r="V2023" t="s">
        <v>1385</v>
      </c>
    </row>
    <row r="2024" spans="1:22" x14ac:dyDescent="0.3">
      <c r="A2024" t="s">
        <v>3040</v>
      </c>
      <c r="B2024" s="1">
        <v>45883</v>
      </c>
      <c r="C2024" t="s">
        <v>476</v>
      </c>
      <c r="D2024" t="s">
        <v>963</v>
      </c>
      <c r="E2024" t="s">
        <v>61</v>
      </c>
      <c r="F2024" t="s">
        <v>71</v>
      </c>
      <c r="G2024" t="s">
        <v>317</v>
      </c>
      <c r="H2024" t="s">
        <v>43</v>
      </c>
      <c r="I2024" t="s">
        <v>51</v>
      </c>
      <c r="J2024" t="s">
        <v>52</v>
      </c>
      <c r="K2024">
        <v>2</v>
      </c>
      <c r="L2024">
        <v>682.13</v>
      </c>
      <c r="M2024">
        <v>0.05</v>
      </c>
      <c r="N2024">
        <v>1296.05</v>
      </c>
      <c r="O2024">
        <v>625.78</v>
      </c>
      <c r="P2024">
        <v>670.27</v>
      </c>
      <c r="Q2024" t="s">
        <v>67</v>
      </c>
      <c r="R2024">
        <v>0.5171636896724664</v>
      </c>
      <c r="S2024">
        <v>2025</v>
      </c>
      <c r="T2024" t="s">
        <v>1519</v>
      </c>
      <c r="U2024">
        <v>8</v>
      </c>
      <c r="V2024" t="s">
        <v>1385</v>
      </c>
    </row>
    <row r="2025" spans="1:22" x14ac:dyDescent="0.3">
      <c r="A2025" t="s">
        <v>3041</v>
      </c>
      <c r="B2025" s="1">
        <v>45883</v>
      </c>
      <c r="C2025" t="s">
        <v>2846</v>
      </c>
      <c r="D2025" t="s">
        <v>406</v>
      </c>
      <c r="E2025" t="s">
        <v>61</v>
      </c>
      <c r="F2025" t="s">
        <v>71</v>
      </c>
      <c r="G2025" t="s">
        <v>72</v>
      </c>
      <c r="H2025" t="s">
        <v>28</v>
      </c>
      <c r="I2025" t="s">
        <v>91</v>
      </c>
      <c r="J2025" t="s">
        <v>92</v>
      </c>
      <c r="K2025">
        <v>3</v>
      </c>
      <c r="L2025">
        <v>3134.82</v>
      </c>
      <c r="M2025">
        <v>0.05</v>
      </c>
      <c r="N2025">
        <v>8934.24</v>
      </c>
      <c r="O2025">
        <v>5054.75</v>
      </c>
      <c r="P2025">
        <v>3879.49</v>
      </c>
      <c r="Q2025" t="s">
        <v>67</v>
      </c>
      <c r="R2025">
        <v>0.43422719783663738</v>
      </c>
      <c r="S2025">
        <v>2025</v>
      </c>
      <c r="T2025" t="s">
        <v>1519</v>
      </c>
      <c r="U2025">
        <v>8</v>
      </c>
      <c r="V2025" t="s">
        <v>1385</v>
      </c>
    </row>
    <row r="2026" spans="1:22" x14ac:dyDescent="0.3">
      <c r="A2026" t="s">
        <v>3042</v>
      </c>
      <c r="B2026" s="1">
        <v>45883</v>
      </c>
      <c r="C2026" t="s">
        <v>2762</v>
      </c>
      <c r="D2026" t="s">
        <v>675</v>
      </c>
      <c r="E2026" t="s">
        <v>25</v>
      </c>
      <c r="F2026" t="s">
        <v>26</v>
      </c>
      <c r="G2026" t="s">
        <v>37</v>
      </c>
      <c r="H2026" t="s">
        <v>84</v>
      </c>
      <c r="I2026" t="s">
        <v>138</v>
      </c>
      <c r="J2026" t="s">
        <v>139</v>
      </c>
      <c r="K2026">
        <v>1</v>
      </c>
      <c r="L2026">
        <v>12579.98</v>
      </c>
      <c r="M2026">
        <v>0.2</v>
      </c>
      <c r="N2026">
        <v>10063.98</v>
      </c>
      <c r="O2026">
        <v>9148.43</v>
      </c>
      <c r="P2026">
        <v>915.55</v>
      </c>
      <c r="Q2026" t="s">
        <v>31</v>
      </c>
      <c r="R2026">
        <v>9.0972955033694416E-2</v>
      </c>
      <c r="S2026">
        <v>2025</v>
      </c>
      <c r="T2026" t="s">
        <v>1519</v>
      </c>
      <c r="U2026">
        <v>8</v>
      </c>
      <c r="V2026" t="s">
        <v>1385</v>
      </c>
    </row>
    <row r="2027" spans="1:22" x14ac:dyDescent="0.3">
      <c r="A2027" t="s">
        <v>3043</v>
      </c>
      <c r="B2027" s="1">
        <v>45885</v>
      </c>
      <c r="C2027" t="s">
        <v>1155</v>
      </c>
      <c r="D2027" t="s">
        <v>685</v>
      </c>
      <c r="E2027" t="s">
        <v>61</v>
      </c>
      <c r="F2027" t="s">
        <v>78</v>
      </c>
      <c r="G2027" t="s">
        <v>79</v>
      </c>
      <c r="H2027" t="s">
        <v>43</v>
      </c>
      <c r="I2027" t="s">
        <v>51</v>
      </c>
      <c r="J2027" t="s">
        <v>96</v>
      </c>
      <c r="K2027">
        <v>1</v>
      </c>
      <c r="L2027">
        <v>517.42999999999995</v>
      </c>
      <c r="M2027">
        <v>0.2</v>
      </c>
      <c r="N2027">
        <v>413.94</v>
      </c>
      <c r="O2027">
        <v>229.29</v>
      </c>
      <c r="P2027">
        <v>184.65</v>
      </c>
      <c r="Q2027" t="s">
        <v>46</v>
      </c>
      <c r="R2027">
        <v>0.44607914190462389</v>
      </c>
      <c r="S2027">
        <v>2025</v>
      </c>
      <c r="T2027" t="s">
        <v>1519</v>
      </c>
      <c r="U2027">
        <v>8</v>
      </c>
      <c r="V2027" t="s">
        <v>1385</v>
      </c>
    </row>
    <row r="2028" spans="1:22" x14ac:dyDescent="0.3">
      <c r="A2028" t="s">
        <v>3044</v>
      </c>
      <c r="B2028" s="1">
        <v>45885</v>
      </c>
      <c r="C2028" t="s">
        <v>2386</v>
      </c>
      <c r="D2028" t="s">
        <v>580</v>
      </c>
      <c r="E2028" t="s">
        <v>61</v>
      </c>
      <c r="F2028" t="s">
        <v>71</v>
      </c>
      <c r="G2028" t="s">
        <v>72</v>
      </c>
      <c r="H2028" t="s">
        <v>84</v>
      </c>
      <c r="I2028" t="s">
        <v>85</v>
      </c>
      <c r="J2028" t="s">
        <v>86</v>
      </c>
      <c r="K2028">
        <v>2</v>
      </c>
      <c r="L2028">
        <v>1788.73</v>
      </c>
      <c r="M2028">
        <v>0.1</v>
      </c>
      <c r="N2028">
        <v>3219.71</v>
      </c>
      <c r="O2028">
        <v>1865.77</v>
      </c>
      <c r="P2028">
        <v>1353.94</v>
      </c>
      <c r="Q2028" t="s">
        <v>53</v>
      </c>
      <c r="R2028">
        <v>0.42051613344058941</v>
      </c>
      <c r="S2028">
        <v>2025</v>
      </c>
      <c r="T2028" t="s">
        <v>1519</v>
      </c>
      <c r="U2028">
        <v>8</v>
      </c>
      <c r="V2028" t="s">
        <v>1385</v>
      </c>
    </row>
    <row r="2029" spans="1:22" x14ac:dyDescent="0.3">
      <c r="A2029" t="s">
        <v>3045</v>
      </c>
      <c r="B2029" s="1">
        <v>45885</v>
      </c>
      <c r="C2029" t="s">
        <v>325</v>
      </c>
      <c r="D2029" t="s">
        <v>963</v>
      </c>
      <c r="E2029" t="s">
        <v>61</v>
      </c>
      <c r="F2029" t="s">
        <v>78</v>
      </c>
      <c r="G2029" t="s">
        <v>216</v>
      </c>
      <c r="H2029" t="s">
        <v>64</v>
      </c>
      <c r="I2029" t="s">
        <v>108</v>
      </c>
      <c r="J2029" t="s">
        <v>155</v>
      </c>
      <c r="K2029">
        <v>4</v>
      </c>
      <c r="L2029">
        <v>8968.69</v>
      </c>
      <c r="M2029">
        <v>0.1</v>
      </c>
      <c r="N2029">
        <v>32287.279999999999</v>
      </c>
      <c r="O2029">
        <v>23947.02</v>
      </c>
      <c r="P2029">
        <v>8340.26</v>
      </c>
      <c r="Q2029" t="s">
        <v>53</v>
      </c>
      <c r="R2029">
        <v>0.25831411007678567</v>
      </c>
      <c r="S2029">
        <v>2025</v>
      </c>
      <c r="T2029" t="s">
        <v>1519</v>
      </c>
      <c r="U2029">
        <v>8</v>
      </c>
      <c r="V2029" t="s">
        <v>1385</v>
      </c>
    </row>
    <row r="2030" spans="1:22" x14ac:dyDescent="0.3">
      <c r="A2030" t="s">
        <v>3046</v>
      </c>
      <c r="B2030" s="1">
        <v>45886</v>
      </c>
      <c r="C2030" t="s">
        <v>1297</v>
      </c>
      <c r="D2030" t="s">
        <v>3047</v>
      </c>
      <c r="E2030" t="s">
        <v>61</v>
      </c>
      <c r="F2030" t="s">
        <v>78</v>
      </c>
      <c r="G2030" t="s">
        <v>83</v>
      </c>
      <c r="H2030" t="s">
        <v>84</v>
      </c>
      <c r="I2030" t="s">
        <v>85</v>
      </c>
      <c r="J2030" t="s">
        <v>145</v>
      </c>
      <c r="K2030">
        <v>3</v>
      </c>
      <c r="L2030">
        <v>3113.53</v>
      </c>
      <c r="M2030">
        <v>0.1</v>
      </c>
      <c r="N2030">
        <v>8406.5300000000007</v>
      </c>
      <c r="O2030">
        <v>5468.75</v>
      </c>
      <c r="P2030">
        <v>2937.78</v>
      </c>
      <c r="Q2030" t="s">
        <v>53</v>
      </c>
      <c r="R2030">
        <v>0.34946404759157462</v>
      </c>
      <c r="S2030">
        <v>2025</v>
      </c>
      <c r="T2030" t="s">
        <v>1519</v>
      </c>
      <c r="U2030">
        <v>8</v>
      </c>
      <c r="V2030" t="s">
        <v>1385</v>
      </c>
    </row>
    <row r="2031" spans="1:22" x14ac:dyDescent="0.3">
      <c r="A2031" t="s">
        <v>3048</v>
      </c>
      <c r="B2031" s="1">
        <v>45886</v>
      </c>
      <c r="C2031" t="s">
        <v>968</v>
      </c>
      <c r="D2031" t="s">
        <v>2187</v>
      </c>
      <c r="E2031" t="s">
        <v>61</v>
      </c>
      <c r="F2031" t="s">
        <v>62</v>
      </c>
      <c r="G2031" t="s">
        <v>228</v>
      </c>
      <c r="H2031" t="s">
        <v>43</v>
      </c>
      <c r="I2031" t="s">
        <v>51</v>
      </c>
      <c r="J2031" t="s">
        <v>96</v>
      </c>
      <c r="K2031">
        <v>6</v>
      </c>
      <c r="L2031">
        <v>489.01</v>
      </c>
      <c r="M2031">
        <v>0.05</v>
      </c>
      <c r="N2031">
        <v>2787.36</v>
      </c>
      <c r="O2031">
        <v>1354.28</v>
      </c>
      <c r="P2031">
        <v>1433.08</v>
      </c>
      <c r="Q2031" t="s">
        <v>53</v>
      </c>
      <c r="R2031">
        <v>0.51413523907927206</v>
      </c>
      <c r="S2031">
        <v>2025</v>
      </c>
      <c r="T2031" t="s">
        <v>1519</v>
      </c>
      <c r="U2031">
        <v>8</v>
      </c>
      <c r="V2031" t="s">
        <v>1385</v>
      </c>
    </row>
    <row r="2032" spans="1:22" x14ac:dyDescent="0.3">
      <c r="A2032" t="s">
        <v>3049</v>
      </c>
      <c r="B2032" s="1">
        <v>45886</v>
      </c>
      <c r="C2032" t="s">
        <v>1929</v>
      </c>
      <c r="D2032" t="s">
        <v>1106</v>
      </c>
      <c r="E2032" t="s">
        <v>41</v>
      </c>
      <c r="F2032" t="s">
        <v>42</v>
      </c>
      <c r="G2032" t="s">
        <v>42</v>
      </c>
      <c r="H2032" t="s">
        <v>64</v>
      </c>
      <c r="I2032" t="s">
        <v>108</v>
      </c>
      <c r="J2032" t="s">
        <v>109</v>
      </c>
      <c r="K2032">
        <v>2</v>
      </c>
      <c r="L2032">
        <v>6691.51</v>
      </c>
      <c r="M2032">
        <v>0.05</v>
      </c>
      <c r="N2032">
        <v>12713.87</v>
      </c>
      <c r="O2032">
        <v>8425.99</v>
      </c>
      <c r="P2032">
        <v>4287.88</v>
      </c>
      <c r="Q2032" t="s">
        <v>31</v>
      </c>
      <c r="R2032">
        <v>0.3372600160297376</v>
      </c>
      <c r="S2032">
        <v>2025</v>
      </c>
      <c r="T2032" t="s">
        <v>1519</v>
      </c>
      <c r="U2032">
        <v>8</v>
      </c>
      <c r="V2032" t="s">
        <v>1385</v>
      </c>
    </row>
    <row r="2033" spans="1:22" x14ac:dyDescent="0.3">
      <c r="A2033" t="s">
        <v>3050</v>
      </c>
      <c r="B2033" s="1">
        <v>45887</v>
      </c>
      <c r="C2033" t="s">
        <v>312</v>
      </c>
      <c r="D2033" t="s">
        <v>107</v>
      </c>
      <c r="E2033" t="s">
        <v>41</v>
      </c>
      <c r="F2033" t="s">
        <v>42</v>
      </c>
      <c r="G2033" t="s">
        <v>50</v>
      </c>
      <c r="H2033" t="s">
        <v>84</v>
      </c>
      <c r="I2033" t="s">
        <v>85</v>
      </c>
      <c r="J2033" t="s">
        <v>86</v>
      </c>
      <c r="K2033">
        <v>1</v>
      </c>
      <c r="L2033">
        <v>1699.12</v>
      </c>
      <c r="M2033">
        <v>0.15</v>
      </c>
      <c r="N2033">
        <v>1444.25</v>
      </c>
      <c r="O2033">
        <v>882.88</v>
      </c>
      <c r="P2033">
        <v>561.37</v>
      </c>
      <c r="Q2033" t="s">
        <v>53</v>
      </c>
      <c r="R2033">
        <v>0.38869309330102131</v>
      </c>
      <c r="S2033">
        <v>2025</v>
      </c>
      <c r="T2033" t="s">
        <v>1519</v>
      </c>
      <c r="U2033">
        <v>8</v>
      </c>
      <c r="V2033" t="s">
        <v>1385</v>
      </c>
    </row>
    <row r="2034" spans="1:22" x14ac:dyDescent="0.3">
      <c r="A2034" t="s">
        <v>3051</v>
      </c>
      <c r="B2034" s="1">
        <v>45887</v>
      </c>
      <c r="C2034" t="s">
        <v>448</v>
      </c>
      <c r="D2034" t="s">
        <v>259</v>
      </c>
      <c r="E2034" t="s">
        <v>61</v>
      </c>
      <c r="F2034" t="s">
        <v>62</v>
      </c>
      <c r="G2034" t="s">
        <v>90</v>
      </c>
      <c r="H2034" t="s">
        <v>84</v>
      </c>
      <c r="I2034" t="s">
        <v>138</v>
      </c>
      <c r="J2034" t="s">
        <v>139</v>
      </c>
      <c r="K2034">
        <v>4</v>
      </c>
      <c r="L2034">
        <v>12801.31</v>
      </c>
      <c r="M2034">
        <v>0.05</v>
      </c>
      <c r="N2034">
        <v>48644.98</v>
      </c>
      <c r="O2034">
        <v>36271.089999999997</v>
      </c>
      <c r="P2034">
        <v>12373.89</v>
      </c>
      <c r="Q2034" t="s">
        <v>31</v>
      </c>
      <c r="R2034">
        <v>0.25437136576066022</v>
      </c>
      <c r="S2034">
        <v>2025</v>
      </c>
      <c r="T2034" t="s">
        <v>1519</v>
      </c>
      <c r="U2034">
        <v>8</v>
      </c>
      <c r="V2034" t="s">
        <v>1385</v>
      </c>
    </row>
    <row r="2035" spans="1:22" x14ac:dyDescent="0.3">
      <c r="A2035" t="s">
        <v>3052</v>
      </c>
      <c r="B2035" s="1">
        <v>45887</v>
      </c>
      <c r="C2035" t="s">
        <v>618</v>
      </c>
      <c r="D2035" t="s">
        <v>1203</v>
      </c>
      <c r="E2035" t="s">
        <v>120</v>
      </c>
      <c r="F2035" t="s">
        <v>121</v>
      </c>
      <c r="G2035" t="s">
        <v>122</v>
      </c>
      <c r="H2035" t="s">
        <v>28</v>
      </c>
      <c r="I2035" t="s">
        <v>91</v>
      </c>
      <c r="J2035" t="s">
        <v>126</v>
      </c>
      <c r="K2035">
        <v>1</v>
      </c>
      <c r="L2035">
        <v>1979.4</v>
      </c>
      <c r="M2035">
        <v>0.05</v>
      </c>
      <c r="N2035">
        <v>1880.43</v>
      </c>
      <c r="O2035">
        <v>1131.92</v>
      </c>
      <c r="P2035">
        <v>748.51</v>
      </c>
      <c r="Q2035" t="s">
        <v>113</v>
      </c>
      <c r="R2035">
        <v>0.39805257308168868</v>
      </c>
      <c r="S2035">
        <v>2025</v>
      </c>
      <c r="T2035" t="s">
        <v>1519</v>
      </c>
      <c r="U2035">
        <v>8</v>
      </c>
      <c r="V2035" t="s">
        <v>1385</v>
      </c>
    </row>
    <row r="2036" spans="1:22" x14ac:dyDescent="0.3">
      <c r="A2036" t="s">
        <v>3053</v>
      </c>
      <c r="B2036" s="1">
        <v>45887</v>
      </c>
      <c r="C2036" t="s">
        <v>2348</v>
      </c>
      <c r="D2036" t="s">
        <v>809</v>
      </c>
      <c r="E2036" t="s">
        <v>25</v>
      </c>
      <c r="F2036" t="s">
        <v>26</v>
      </c>
      <c r="G2036" t="s">
        <v>171</v>
      </c>
      <c r="H2036" t="s">
        <v>28</v>
      </c>
      <c r="I2036" t="s">
        <v>73</v>
      </c>
      <c r="J2036" t="s">
        <v>74</v>
      </c>
      <c r="K2036">
        <v>1</v>
      </c>
      <c r="L2036">
        <v>2353.27</v>
      </c>
      <c r="M2036">
        <v>0.05</v>
      </c>
      <c r="N2036">
        <v>2235.61</v>
      </c>
      <c r="O2036">
        <v>1314.23</v>
      </c>
      <c r="P2036">
        <v>921.38</v>
      </c>
      <c r="Q2036" t="s">
        <v>31</v>
      </c>
      <c r="R2036">
        <v>0.41213807417214993</v>
      </c>
      <c r="S2036">
        <v>2025</v>
      </c>
      <c r="T2036" t="s">
        <v>1519</v>
      </c>
      <c r="U2036">
        <v>8</v>
      </c>
      <c r="V2036" t="s">
        <v>1385</v>
      </c>
    </row>
    <row r="2037" spans="1:22" x14ac:dyDescent="0.3">
      <c r="A2037" t="s">
        <v>3054</v>
      </c>
      <c r="B2037" s="1">
        <v>45887</v>
      </c>
      <c r="C2037" t="s">
        <v>1191</v>
      </c>
      <c r="D2037" t="s">
        <v>740</v>
      </c>
      <c r="E2037" t="s">
        <v>61</v>
      </c>
      <c r="F2037" t="s">
        <v>62</v>
      </c>
      <c r="G2037" t="s">
        <v>228</v>
      </c>
      <c r="H2037" t="s">
        <v>64</v>
      </c>
      <c r="I2037" t="s">
        <v>65</v>
      </c>
      <c r="J2037" t="s">
        <v>66</v>
      </c>
      <c r="K2037">
        <v>4</v>
      </c>
      <c r="L2037">
        <v>5235.1400000000003</v>
      </c>
      <c r="M2037">
        <v>0.05</v>
      </c>
      <c r="N2037">
        <v>19893.53</v>
      </c>
      <c r="O2037">
        <v>12651.38</v>
      </c>
      <c r="P2037">
        <v>7242.15</v>
      </c>
      <c r="Q2037" t="s">
        <v>31</v>
      </c>
      <c r="R2037">
        <v>0.36404549619901538</v>
      </c>
      <c r="S2037">
        <v>2025</v>
      </c>
      <c r="T2037" t="s">
        <v>1519</v>
      </c>
      <c r="U2037">
        <v>8</v>
      </c>
      <c r="V2037" t="s">
        <v>1385</v>
      </c>
    </row>
    <row r="2038" spans="1:22" x14ac:dyDescent="0.3">
      <c r="A2038" t="s">
        <v>3055</v>
      </c>
      <c r="B2038" s="1">
        <v>45888</v>
      </c>
      <c r="C2038" t="s">
        <v>291</v>
      </c>
      <c r="D2038" t="s">
        <v>440</v>
      </c>
      <c r="E2038" t="s">
        <v>61</v>
      </c>
      <c r="F2038" t="s">
        <v>78</v>
      </c>
      <c r="G2038" t="s">
        <v>216</v>
      </c>
      <c r="H2038" t="s">
        <v>28</v>
      </c>
      <c r="I2038" t="s">
        <v>73</v>
      </c>
      <c r="J2038" t="s">
        <v>80</v>
      </c>
      <c r="K2038">
        <v>6</v>
      </c>
      <c r="L2038">
        <v>753.75</v>
      </c>
      <c r="M2038">
        <v>0.15</v>
      </c>
      <c r="N2038">
        <v>3844.12</v>
      </c>
      <c r="O2038">
        <v>2695.86</v>
      </c>
      <c r="P2038">
        <v>1148.26</v>
      </c>
      <c r="Q2038" t="s">
        <v>113</v>
      </c>
      <c r="R2038">
        <v>0.29870555549774719</v>
      </c>
      <c r="S2038">
        <v>2025</v>
      </c>
      <c r="T2038" t="s">
        <v>1519</v>
      </c>
      <c r="U2038">
        <v>8</v>
      </c>
      <c r="V2038" t="s">
        <v>1385</v>
      </c>
    </row>
    <row r="2039" spans="1:22" x14ac:dyDescent="0.3">
      <c r="A2039" t="s">
        <v>3056</v>
      </c>
      <c r="B2039" s="1">
        <v>45888</v>
      </c>
      <c r="C2039" t="s">
        <v>1133</v>
      </c>
      <c r="D2039" t="s">
        <v>1798</v>
      </c>
      <c r="E2039" t="s">
        <v>61</v>
      </c>
      <c r="F2039" t="s">
        <v>71</v>
      </c>
      <c r="G2039" t="s">
        <v>100</v>
      </c>
      <c r="H2039" t="s">
        <v>43</v>
      </c>
      <c r="I2039" t="s">
        <v>44</v>
      </c>
      <c r="J2039" t="s">
        <v>45</v>
      </c>
      <c r="K2039">
        <v>1</v>
      </c>
      <c r="L2039">
        <v>253.59</v>
      </c>
      <c r="M2039">
        <v>0.1</v>
      </c>
      <c r="N2039">
        <v>228.23</v>
      </c>
      <c r="O2039">
        <v>96.33</v>
      </c>
      <c r="P2039">
        <v>131.9</v>
      </c>
      <c r="Q2039" t="s">
        <v>46</v>
      </c>
      <c r="R2039">
        <v>0.57792577662883937</v>
      </c>
      <c r="S2039">
        <v>2025</v>
      </c>
      <c r="T2039" t="s">
        <v>1519</v>
      </c>
      <c r="U2039">
        <v>8</v>
      </c>
      <c r="V2039" t="s">
        <v>1385</v>
      </c>
    </row>
    <row r="2040" spans="1:22" x14ac:dyDescent="0.3">
      <c r="A2040" t="s">
        <v>3057</v>
      </c>
      <c r="B2040" s="1">
        <v>45888</v>
      </c>
      <c r="C2040" t="s">
        <v>826</v>
      </c>
      <c r="D2040" t="s">
        <v>390</v>
      </c>
      <c r="E2040" t="s">
        <v>120</v>
      </c>
      <c r="F2040" t="s">
        <v>121</v>
      </c>
      <c r="G2040" t="s">
        <v>122</v>
      </c>
      <c r="H2040" t="s">
        <v>28</v>
      </c>
      <c r="I2040" t="s">
        <v>29</v>
      </c>
      <c r="J2040" t="s">
        <v>57</v>
      </c>
      <c r="K2040">
        <v>3</v>
      </c>
      <c r="L2040">
        <v>16353.32</v>
      </c>
      <c r="M2040">
        <v>0</v>
      </c>
      <c r="N2040">
        <v>49059.96</v>
      </c>
      <c r="O2040">
        <v>36768.720000000001</v>
      </c>
      <c r="P2040">
        <v>12291.24</v>
      </c>
      <c r="Q2040" t="s">
        <v>67</v>
      </c>
      <c r="R2040">
        <v>0.25053505954754141</v>
      </c>
      <c r="S2040">
        <v>2025</v>
      </c>
      <c r="T2040" t="s">
        <v>1519</v>
      </c>
      <c r="U2040">
        <v>8</v>
      </c>
      <c r="V2040" t="s">
        <v>1385</v>
      </c>
    </row>
    <row r="2041" spans="1:22" x14ac:dyDescent="0.3">
      <c r="A2041" t="s">
        <v>3058</v>
      </c>
      <c r="B2041" s="1">
        <v>45888</v>
      </c>
      <c r="C2041" t="s">
        <v>625</v>
      </c>
      <c r="D2041" t="s">
        <v>203</v>
      </c>
      <c r="E2041" t="s">
        <v>61</v>
      </c>
      <c r="F2041" t="s">
        <v>62</v>
      </c>
      <c r="G2041" t="s">
        <v>228</v>
      </c>
      <c r="H2041" t="s">
        <v>43</v>
      </c>
      <c r="I2041" t="s">
        <v>51</v>
      </c>
      <c r="J2041" t="s">
        <v>96</v>
      </c>
      <c r="K2041">
        <v>6</v>
      </c>
      <c r="L2041">
        <v>472.58</v>
      </c>
      <c r="M2041">
        <v>0.05</v>
      </c>
      <c r="N2041">
        <v>2693.71</v>
      </c>
      <c r="O2041">
        <v>1326.84</v>
      </c>
      <c r="P2041">
        <v>1366.87</v>
      </c>
      <c r="Q2041" t="s">
        <v>46</v>
      </c>
      <c r="R2041">
        <v>0.50743027274650943</v>
      </c>
      <c r="S2041">
        <v>2025</v>
      </c>
      <c r="T2041" t="s">
        <v>1519</v>
      </c>
      <c r="U2041">
        <v>8</v>
      </c>
      <c r="V2041" t="s">
        <v>1385</v>
      </c>
    </row>
    <row r="2042" spans="1:22" x14ac:dyDescent="0.3">
      <c r="A2042" t="s">
        <v>3059</v>
      </c>
      <c r="B2042" s="1">
        <v>45888</v>
      </c>
      <c r="C2042" t="s">
        <v>2095</v>
      </c>
      <c r="D2042" t="s">
        <v>670</v>
      </c>
      <c r="E2042" t="s">
        <v>120</v>
      </c>
      <c r="F2042" t="s">
        <v>121</v>
      </c>
      <c r="G2042" t="s">
        <v>224</v>
      </c>
      <c r="H2042" t="s">
        <v>84</v>
      </c>
      <c r="I2042" t="s">
        <v>85</v>
      </c>
      <c r="J2042" t="s">
        <v>86</v>
      </c>
      <c r="K2042">
        <v>1</v>
      </c>
      <c r="L2042">
        <v>1819.39</v>
      </c>
      <c r="M2042">
        <v>0</v>
      </c>
      <c r="N2042">
        <v>1819.39</v>
      </c>
      <c r="O2042">
        <v>954.66</v>
      </c>
      <c r="P2042">
        <v>864.73</v>
      </c>
      <c r="Q2042" t="s">
        <v>31</v>
      </c>
      <c r="R2042">
        <v>0.47528567267051042</v>
      </c>
      <c r="S2042">
        <v>2025</v>
      </c>
      <c r="T2042" t="s">
        <v>1519</v>
      </c>
      <c r="U2042">
        <v>8</v>
      </c>
      <c r="V2042" t="s">
        <v>1385</v>
      </c>
    </row>
    <row r="2043" spans="1:22" x14ac:dyDescent="0.3">
      <c r="A2043" t="s">
        <v>3060</v>
      </c>
      <c r="B2043" s="1">
        <v>45889</v>
      </c>
      <c r="C2043" t="s">
        <v>1670</v>
      </c>
      <c r="D2043" t="s">
        <v>182</v>
      </c>
      <c r="E2043" t="s">
        <v>120</v>
      </c>
      <c r="F2043" t="s">
        <v>121</v>
      </c>
      <c r="G2043" t="s">
        <v>224</v>
      </c>
      <c r="H2043" t="s">
        <v>28</v>
      </c>
      <c r="I2043" t="s">
        <v>29</v>
      </c>
      <c r="J2043" t="s">
        <v>57</v>
      </c>
      <c r="K2043">
        <v>1</v>
      </c>
      <c r="L2043">
        <v>15793.35</v>
      </c>
      <c r="M2043">
        <v>0</v>
      </c>
      <c r="N2043">
        <v>15793.35</v>
      </c>
      <c r="O2043">
        <v>12252.71</v>
      </c>
      <c r="P2043">
        <v>3540.64</v>
      </c>
      <c r="Q2043" t="s">
        <v>67</v>
      </c>
      <c r="R2043">
        <v>0.2241854957941159</v>
      </c>
      <c r="S2043">
        <v>2025</v>
      </c>
      <c r="T2043" t="s">
        <v>1519</v>
      </c>
      <c r="U2043">
        <v>8</v>
      </c>
      <c r="V2043" t="s">
        <v>1385</v>
      </c>
    </row>
    <row r="2044" spans="1:22" x14ac:dyDescent="0.3">
      <c r="A2044" t="s">
        <v>3061</v>
      </c>
      <c r="B2044" s="1">
        <v>45889</v>
      </c>
      <c r="C2044" t="s">
        <v>2024</v>
      </c>
      <c r="D2044" t="s">
        <v>997</v>
      </c>
      <c r="E2044" t="s">
        <v>61</v>
      </c>
      <c r="F2044" t="s">
        <v>71</v>
      </c>
      <c r="G2044" t="s">
        <v>72</v>
      </c>
      <c r="H2044" t="s">
        <v>28</v>
      </c>
      <c r="I2044" t="s">
        <v>91</v>
      </c>
      <c r="J2044" t="s">
        <v>126</v>
      </c>
      <c r="K2044">
        <v>1</v>
      </c>
      <c r="L2044">
        <v>2077.52</v>
      </c>
      <c r="M2044">
        <v>0.1</v>
      </c>
      <c r="N2044">
        <v>1869.77</v>
      </c>
      <c r="O2044">
        <v>1169.82</v>
      </c>
      <c r="P2044">
        <v>699.95</v>
      </c>
      <c r="Q2044" t="s">
        <v>53</v>
      </c>
      <c r="R2044">
        <v>0.37435085598763479</v>
      </c>
      <c r="S2044">
        <v>2025</v>
      </c>
      <c r="T2044" t="s">
        <v>1519</v>
      </c>
      <c r="U2044">
        <v>8</v>
      </c>
      <c r="V2044" t="s">
        <v>1385</v>
      </c>
    </row>
    <row r="2045" spans="1:22" x14ac:dyDescent="0.3">
      <c r="A2045" t="s">
        <v>3062</v>
      </c>
      <c r="B2045" s="1">
        <v>45889</v>
      </c>
      <c r="C2045" t="s">
        <v>1927</v>
      </c>
      <c r="D2045" t="s">
        <v>174</v>
      </c>
      <c r="E2045" t="s">
        <v>25</v>
      </c>
      <c r="F2045" t="s">
        <v>26</v>
      </c>
      <c r="G2045" t="s">
        <v>37</v>
      </c>
      <c r="H2045" t="s">
        <v>43</v>
      </c>
      <c r="I2045" t="s">
        <v>44</v>
      </c>
      <c r="J2045" t="s">
        <v>45</v>
      </c>
      <c r="K2045">
        <v>2</v>
      </c>
      <c r="L2045">
        <v>240.15</v>
      </c>
      <c r="M2045">
        <v>0.05</v>
      </c>
      <c r="N2045">
        <v>456.28</v>
      </c>
      <c r="O2045">
        <v>176.84</v>
      </c>
      <c r="P2045">
        <v>279.44</v>
      </c>
      <c r="Q2045" t="s">
        <v>53</v>
      </c>
      <c r="R2045">
        <v>0.61243096344349968</v>
      </c>
      <c r="S2045">
        <v>2025</v>
      </c>
      <c r="T2045" t="s">
        <v>1519</v>
      </c>
      <c r="U2045">
        <v>8</v>
      </c>
      <c r="V2045" t="s">
        <v>1385</v>
      </c>
    </row>
    <row r="2046" spans="1:22" x14ac:dyDescent="0.3">
      <c r="A2046" t="s">
        <v>3063</v>
      </c>
      <c r="B2046" s="1">
        <v>45889</v>
      </c>
      <c r="C2046" t="s">
        <v>230</v>
      </c>
      <c r="D2046" t="s">
        <v>670</v>
      </c>
      <c r="E2046" t="s">
        <v>61</v>
      </c>
      <c r="F2046" t="s">
        <v>62</v>
      </c>
      <c r="G2046" t="s">
        <v>228</v>
      </c>
      <c r="H2046" t="s">
        <v>64</v>
      </c>
      <c r="I2046" t="s">
        <v>108</v>
      </c>
      <c r="J2046" t="s">
        <v>155</v>
      </c>
      <c r="K2046">
        <v>1</v>
      </c>
      <c r="L2046">
        <v>8156.25</v>
      </c>
      <c r="M2046">
        <v>0.2</v>
      </c>
      <c r="N2046">
        <v>6525</v>
      </c>
      <c r="O2046">
        <v>5743.56</v>
      </c>
      <c r="P2046">
        <v>781.44</v>
      </c>
      <c r="Q2046" t="s">
        <v>67</v>
      </c>
      <c r="R2046">
        <v>0.1197609195402299</v>
      </c>
      <c r="S2046">
        <v>2025</v>
      </c>
      <c r="T2046" t="s">
        <v>1519</v>
      </c>
      <c r="U2046">
        <v>8</v>
      </c>
      <c r="V2046" t="s">
        <v>1385</v>
      </c>
    </row>
    <row r="2047" spans="1:22" x14ac:dyDescent="0.3">
      <c r="A2047" t="s">
        <v>3064</v>
      </c>
      <c r="B2047" s="1">
        <v>45889</v>
      </c>
      <c r="C2047" t="s">
        <v>1182</v>
      </c>
      <c r="D2047" t="s">
        <v>1207</v>
      </c>
      <c r="E2047" t="s">
        <v>61</v>
      </c>
      <c r="F2047" t="s">
        <v>71</v>
      </c>
      <c r="G2047" t="s">
        <v>317</v>
      </c>
      <c r="H2047" t="s">
        <v>84</v>
      </c>
      <c r="I2047" t="s">
        <v>138</v>
      </c>
      <c r="J2047" t="s">
        <v>139</v>
      </c>
      <c r="K2047">
        <v>3</v>
      </c>
      <c r="L2047">
        <v>12893.29</v>
      </c>
      <c r="M2047">
        <v>0.1</v>
      </c>
      <c r="N2047">
        <v>34811.879999999997</v>
      </c>
      <c r="O2047">
        <v>28609.95</v>
      </c>
      <c r="P2047">
        <v>6201.93</v>
      </c>
      <c r="Q2047" t="s">
        <v>31</v>
      </c>
      <c r="R2047">
        <v>0.17815556068790309</v>
      </c>
      <c r="S2047">
        <v>2025</v>
      </c>
      <c r="T2047" t="s">
        <v>1519</v>
      </c>
      <c r="U2047">
        <v>8</v>
      </c>
      <c r="V2047" t="s">
        <v>1385</v>
      </c>
    </row>
    <row r="2048" spans="1:22" x14ac:dyDescent="0.3">
      <c r="A2048" t="s">
        <v>3065</v>
      </c>
      <c r="B2048" s="1">
        <v>45890</v>
      </c>
      <c r="C2048" t="s">
        <v>199</v>
      </c>
      <c r="D2048" t="s">
        <v>298</v>
      </c>
      <c r="E2048" t="s">
        <v>120</v>
      </c>
      <c r="F2048" t="s">
        <v>121</v>
      </c>
      <c r="G2048" t="s">
        <v>122</v>
      </c>
      <c r="H2048" t="s">
        <v>84</v>
      </c>
      <c r="I2048" t="s">
        <v>85</v>
      </c>
      <c r="J2048" t="s">
        <v>86</v>
      </c>
      <c r="K2048">
        <v>1</v>
      </c>
      <c r="L2048">
        <v>1900.85</v>
      </c>
      <c r="M2048">
        <v>0.2</v>
      </c>
      <c r="N2048">
        <v>1520.68</v>
      </c>
      <c r="O2048">
        <v>1060.03</v>
      </c>
      <c r="P2048">
        <v>460.65</v>
      </c>
      <c r="Q2048" t="s">
        <v>46</v>
      </c>
      <c r="R2048">
        <v>0.30292369203251168</v>
      </c>
      <c r="S2048">
        <v>2025</v>
      </c>
      <c r="T2048" t="s">
        <v>1519</v>
      </c>
      <c r="U2048">
        <v>8</v>
      </c>
      <c r="V2048" t="s">
        <v>1385</v>
      </c>
    </row>
    <row r="2049" spans="1:22" x14ac:dyDescent="0.3">
      <c r="A2049" t="s">
        <v>3066</v>
      </c>
      <c r="B2049" s="1">
        <v>45890</v>
      </c>
      <c r="C2049" t="s">
        <v>584</v>
      </c>
      <c r="D2049" t="s">
        <v>1330</v>
      </c>
      <c r="E2049" t="s">
        <v>61</v>
      </c>
      <c r="F2049" t="s">
        <v>62</v>
      </c>
      <c r="G2049" t="s">
        <v>90</v>
      </c>
      <c r="H2049" t="s">
        <v>43</v>
      </c>
      <c r="I2049" t="s">
        <v>51</v>
      </c>
      <c r="J2049" t="s">
        <v>52</v>
      </c>
      <c r="K2049">
        <v>1</v>
      </c>
      <c r="L2049">
        <v>703.1</v>
      </c>
      <c r="M2049">
        <v>0.1</v>
      </c>
      <c r="N2049">
        <v>632.79</v>
      </c>
      <c r="O2049">
        <v>317.36</v>
      </c>
      <c r="P2049">
        <v>315.43</v>
      </c>
      <c r="Q2049" t="s">
        <v>53</v>
      </c>
      <c r="R2049">
        <v>0.49847500750643969</v>
      </c>
      <c r="S2049">
        <v>2025</v>
      </c>
      <c r="T2049" t="s">
        <v>1519</v>
      </c>
      <c r="U2049">
        <v>8</v>
      </c>
      <c r="V2049" t="s">
        <v>1385</v>
      </c>
    </row>
    <row r="2050" spans="1:22" x14ac:dyDescent="0.3">
      <c r="A2050" t="s">
        <v>3067</v>
      </c>
      <c r="B2050" s="1">
        <v>45890</v>
      </c>
      <c r="C2050" t="s">
        <v>512</v>
      </c>
      <c r="D2050" t="s">
        <v>820</v>
      </c>
      <c r="E2050" t="s">
        <v>25</v>
      </c>
      <c r="F2050" t="s">
        <v>26</v>
      </c>
      <c r="G2050" t="s">
        <v>37</v>
      </c>
      <c r="H2050" t="s">
        <v>84</v>
      </c>
      <c r="I2050" t="s">
        <v>138</v>
      </c>
      <c r="J2050" t="s">
        <v>139</v>
      </c>
      <c r="K2050">
        <v>2</v>
      </c>
      <c r="L2050">
        <v>12641.51</v>
      </c>
      <c r="M2050">
        <v>0</v>
      </c>
      <c r="N2050">
        <v>25283.02</v>
      </c>
      <c r="O2050">
        <v>18637.87</v>
      </c>
      <c r="P2050">
        <v>6645.15</v>
      </c>
      <c r="Q2050" t="s">
        <v>31</v>
      </c>
      <c r="R2050">
        <v>0.26283054793296051</v>
      </c>
      <c r="S2050">
        <v>2025</v>
      </c>
      <c r="T2050" t="s">
        <v>1519</v>
      </c>
      <c r="U2050">
        <v>8</v>
      </c>
      <c r="V2050" t="s">
        <v>1385</v>
      </c>
    </row>
    <row r="2051" spans="1:22" x14ac:dyDescent="0.3">
      <c r="A2051" t="s">
        <v>3068</v>
      </c>
      <c r="B2051" s="1">
        <v>45891</v>
      </c>
      <c r="C2051" t="s">
        <v>922</v>
      </c>
      <c r="D2051" t="s">
        <v>393</v>
      </c>
      <c r="E2051" t="s">
        <v>25</v>
      </c>
      <c r="F2051" t="s">
        <v>26</v>
      </c>
      <c r="G2051" t="s">
        <v>27</v>
      </c>
      <c r="H2051" t="s">
        <v>64</v>
      </c>
      <c r="I2051" t="s">
        <v>108</v>
      </c>
      <c r="J2051" t="s">
        <v>155</v>
      </c>
      <c r="K2051">
        <v>3</v>
      </c>
      <c r="L2051">
        <v>8972.68</v>
      </c>
      <c r="M2051">
        <v>0.05</v>
      </c>
      <c r="N2051">
        <v>25572.14</v>
      </c>
      <c r="O2051">
        <v>18194.87</v>
      </c>
      <c r="P2051">
        <v>7377.27</v>
      </c>
      <c r="Q2051" t="s">
        <v>46</v>
      </c>
      <c r="R2051">
        <v>0.28848856607229589</v>
      </c>
      <c r="S2051">
        <v>2025</v>
      </c>
      <c r="T2051" t="s">
        <v>1519</v>
      </c>
      <c r="U2051">
        <v>8</v>
      </c>
      <c r="V2051" t="s">
        <v>1385</v>
      </c>
    </row>
    <row r="2052" spans="1:22" x14ac:dyDescent="0.3">
      <c r="A2052" t="s">
        <v>3069</v>
      </c>
      <c r="B2052" s="1">
        <v>45891</v>
      </c>
      <c r="C2052" t="s">
        <v>1779</v>
      </c>
      <c r="D2052" t="s">
        <v>1138</v>
      </c>
      <c r="E2052" t="s">
        <v>61</v>
      </c>
      <c r="F2052" t="s">
        <v>78</v>
      </c>
      <c r="G2052" t="s">
        <v>104</v>
      </c>
      <c r="H2052" t="s">
        <v>64</v>
      </c>
      <c r="I2052" t="s">
        <v>108</v>
      </c>
      <c r="J2052" t="s">
        <v>155</v>
      </c>
      <c r="K2052">
        <v>3</v>
      </c>
      <c r="L2052">
        <v>8170.65</v>
      </c>
      <c r="M2052">
        <v>0.1</v>
      </c>
      <c r="N2052">
        <v>22060.75</v>
      </c>
      <c r="O2052">
        <v>16640.150000000001</v>
      </c>
      <c r="P2052">
        <v>5420.6</v>
      </c>
      <c r="Q2052" t="s">
        <v>67</v>
      </c>
      <c r="R2052">
        <v>0.24571240778305359</v>
      </c>
      <c r="S2052">
        <v>2025</v>
      </c>
      <c r="T2052" t="s">
        <v>1519</v>
      </c>
      <c r="U2052">
        <v>8</v>
      </c>
      <c r="V2052" t="s">
        <v>1385</v>
      </c>
    </row>
    <row r="2053" spans="1:22" x14ac:dyDescent="0.3">
      <c r="A2053" t="s">
        <v>3070</v>
      </c>
      <c r="B2053" s="1">
        <v>45891</v>
      </c>
      <c r="C2053" t="s">
        <v>1052</v>
      </c>
      <c r="D2053" t="s">
        <v>1230</v>
      </c>
      <c r="E2053" t="s">
        <v>61</v>
      </c>
      <c r="F2053" t="s">
        <v>71</v>
      </c>
      <c r="G2053" t="s">
        <v>201</v>
      </c>
      <c r="H2053" t="s">
        <v>43</v>
      </c>
      <c r="I2053" t="s">
        <v>51</v>
      </c>
      <c r="J2053" t="s">
        <v>96</v>
      </c>
      <c r="K2053">
        <v>2</v>
      </c>
      <c r="L2053">
        <v>521.70000000000005</v>
      </c>
      <c r="M2053">
        <v>0.2</v>
      </c>
      <c r="N2053">
        <v>834.72</v>
      </c>
      <c r="O2053">
        <v>458.15</v>
      </c>
      <c r="P2053">
        <v>376.57</v>
      </c>
      <c r="Q2053" t="s">
        <v>53</v>
      </c>
      <c r="R2053">
        <v>0.45113331416522912</v>
      </c>
      <c r="S2053">
        <v>2025</v>
      </c>
      <c r="T2053" t="s">
        <v>1519</v>
      </c>
      <c r="U2053">
        <v>8</v>
      </c>
      <c r="V2053" t="s">
        <v>1385</v>
      </c>
    </row>
    <row r="2054" spans="1:22" x14ac:dyDescent="0.3">
      <c r="A2054" t="s">
        <v>3071</v>
      </c>
      <c r="B2054" s="1">
        <v>45891</v>
      </c>
      <c r="C2054" t="s">
        <v>2937</v>
      </c>
      <c r="D2054" t="s">
        <v>571</v>
      </c>
      <c r="E2054" t="s">
        <v>61</v>
      </c>
      <c r="F2054" t="s">
        <v>62</v>
      </c>
      <c r="G2054" t="s">
        <v>134</v>
      </c>
      <c r="H2054" t="s">
        <v>84</v>
      </c>
      <c r="I2054" t="s">
        <v>85</v>
      </c>
      <c r="J2054" t="s">
        <v>145</v>
      </c>
      <c r="K2054">
        <v>3</v>
      </c>
      <c r="L2054">
        <v>3367.15</v>
      </c>
      <c r="M2054">
        <v>0.1</v>
      </c>
      <c r="N2054">
        <v>9091.31</v>
      </c>
      <c r="O2054">
        <v>5759.3</v>
      </c>
      <c r="P2054">
        <v>3332.01</v>
      </c>
      <c r="Q2054" t="s">
        <v>31</v>
      </c>
      <c r="R2054">
        <v>0.3665049371322725</v>
      </c>
      <c r="S2054">
        <v>2025</v>
      </c>
      <c r="T2054" t="s">
        <v>1519</v>
      </c>
      <c r="U2054">
        <v>8</v>
      </c>
      <c r="V2054" t="s">
        <v>1385</v>
      </c>
    </row>
    <row r="2055" spans="1:22" x14ac:dyDescent="0.3">
      <c r="A2055" t="s">
        <v>3072</v>
      </c>
      <c r="B2055" s="1">
        <v>45891</v>
      </c>
      <c r="C2055" t="s">
        <v>492</v>
      </c>
      <c r="D2055" t="s">
        <v>116</v>
      </c>
      <c r="E2055" t="s">
        <v>61</v>
      </c>
      <c r="F2055" t="s">
        <v>78</v>
      </c>
      <c r="G2055" t="s">
        <v>83</v>
      </c>
      <c r="H2055" t="s">
        <v>43</v>
      </c>
      <c r="I2055" t="s">
        <v>51</v>
      </c>
      <c r="J2055" t="s">
        <v>52</v>
      </c>
      <c r="K2055">
        <v>4</v>
      </c>
      <c r="L2055">
        <v>677.94</v>
      </c>
      <c r="M2055">
        <v>0.2</v>
      </c>
      <c r="N2055">
        <v>2169.41</v>
      </c>
      <c r="O2055">
        <v>1295.9000000000001</v>
      </c>
      <c r="P2055">
        <v>873.51</v>
      </c>
      <c r="Q2055" t="s">
        <v>67</v>
      </c>
      <c r="R2055">
        <v>0.40264864640616582</v>
      </c>
      <c r="S2055">
        <v>2025</v>
      </c>
      <c r="T2055" t="s">
        <v>1519</v>
      </c>
      <c r="U2055">
        <v>8</v>
      </c>
      <c r="V2055" t="s">
        <v>1385</v>
      </c>
    </row>
    <row r="2056" spans="1:22" x14ac:dyDescent="0.3">
      <c r="A2056" t="s">
        <v>3073</v>
      </c>
      <c r="B2056" s="1">
        <v>45892</v>
      </c>
      <c r="C2056" t="s">
        <v>2033</v>
      </c>
      <c r="D2056" t="s">
        <v>273</v>
      </c>
      <c r="E2056" t="s">
        <v>25</v>
      </c>
      <c r="F2056" t="s">
        <v>26</v>
      </c>
      <c r="G2056" t="s">
        <v>171</v>
      </c>
      <c r="H2056" t="s">
        <v>64</v>
      </c>
      <c r="I2056" t="s">
        <v>65</v>
      </c>
      <c r="J2056" t="s">
        <v>232</v>
      </c>
      <c r="K2056">
        <v>1</v>
      </c>
      <c r="L2056">
        <v>4208.1400000000003</v>
      </c>
      <c r="M2056">
        <v>0.1</v>
      </c>
      <c r="N2056">
        <v>3787.33</v>
      </c>
      <c r="O2056">
        <v>2737.55</v>
      </c>
      <c r="P2056">
        <v>1049.78</v>
      </c>
      <c r="Q2056" t="s">
        <v>46</v>
      </c>
      <c r="R2056">
        <v>0.27718207813948093</v>
      </c>
      <c r="S2056">
        <v>2025</v>
      </c>
      <c r="T2056" t="s">
        <v>1519</v>
      </c>
      <c r="U2056">
        <v>8</v>
      </c>
      <c r="V2056" t="s">
        <v>1385</v>
      </c>
    </row>
    <row r="2057" spans="1:22" x14ac:dyDescent="0.3">
      <c r="A2057" t="s">
        <v>3074</v>
      </c>
      <c r="B2057" s="1">
        <v>45893</v>
      </c>
      <c r="C2057" t="s">
        <v>319</v>
      </c>
      <c r="D2057" t="s">
        <v>2047</v>
      </c>
      <c r="E2057" t="s">
        <v>61</v>
      </c>
      <c r="F2057" t="s">
        <v>78</v>
      </c>
      <c r="G2057" t="s">
        <v>83</v>
      </c>
      <c r="H2057" t="s">
        <v>64</v>
      </c>
      <c r="I2057" t="s">
        <v>108</v>
      </c>
      <c r="J2057" t="s">
        <v>155</v>
      </c>
      <c r="K2057">
        <v>1</v>
      </c>
      <c r="L2057">
        <v>8162.54</v>
      </c>
      <c r="M2057">
        <v>0.05</v>
      </c>
      <c r="N2057">
        <v>7754.41</v>
      </c>
      <c r="O2057">
        <v>5562.55</v>
      </c>
      <c r="P2057">
        <v>2191.86</v>
      </c>
      <c r="Q2057" t="s">
        <v>67</v>
      </c>
      <c r="R2057">
        <v>0.28265980261554402</v>
      </c>
      <c r="S2057">
        <v>2025</v>
      </c>
      <c r="T2057" t="s">
        <v>1519</v>
      </c>
      <c r="U2057">
        <v>8</v>
      </c>
      <c r="V2057" t="s">
        <v>1385</v>
      </c>
    </row>
    <row r="2058" spans="1:22" x14ac:dyDescent="0.3">
      <c r="A2058" t="s">
        <v>3075</v>
      </c>
      <c r="B2058" s="1">
        <v>45893</v>
      </c>
      <c r="C2058" t="s">
        <v>1611</v>
      </c>
      <c r="D2058" t="s">
        <v>1408</v>
      </c>
      <c r="E2058" t="s">
        <v>41</v>
      </c>
      <c r="F2058" t="s">
        <v>42</v>
      </c>
      <c r="G2058" t="s">
        <v>42</v>
      </c>
      <c r="H2058" t="s">
        <v>28</v>
      </c>
      <c r="I2058" t="s">
        <v>29</v>
      </c>
      <c r="J2058" t="s">
        <v>30</v>
      </c>
      <c r="K2058">
        <v>4</v>
      </c>
      <c r="L2058">
        <v>61379.839999999997</v>
      </c>
      <c r="M2058">
        <v>0.15</v>
      </c>
      <c r="N2058">
        <v>208691.46</v>
      </c>
      <c r="O2058">
        <v>208308.61</v>
      </c>
      <c r="P2058">
        <v>382.85</v>
      </c>
      <c r="Q2058" t="s">
        <v>67</v>
      </c>
      <c r="R2058">
        <v>1.8345264343830839E-3</v>
      </c>
      <c r="S2058">
        <v>2025</v>
      </c>
      <c r="T2058" t="s">
        <v>1519</v>
      </c>
      <c r="U2058">
        <v>8</v>
      </c>
      <c r="V2058" t="s">
        <v>1385</v>
      </c>
    </row>
    <row r="2059" spans="1:22" x14ac:dyDescent="0.3">
      <c r="A2059" t="s">
        <v>3076</v>
      </c>
      <c r="B2059" s="1">
        <v>45894</v>
      </c>
      <c r="C2059" t="s">
        <v>570</v>
      </c>
      <c r="D2059" t="s">
        <v>675</v>
      </c>
      <c r="E2059" t="s">
        <v>61</v>
      </c>
      <c r="F2059" t="s">
        <v>71</v>
      </c>
      <c r="G2059" t="s">
        <v>72</v>
      </c>
      <c r="H2059" t="s">
        <v>28</v>
      </c>
      <c r="I2059" t="s">
        <v>73</v>
      </c>
      <c r="J2059" t="s">
        <v>80</v>
      </c>
      <c r="K2059">
        <v>5</v>
      </c>
      <c r="L2059">
        <v>777.03</v>
      </c>
      <c r="M2059">
        <v>0</v>
      </c>
      <c r="N2059">
        <v>3885.15</v>
      </c>
      <c r="O2059">
        <v>2490</v>
      </c>
      <c r="P2059">
        <v>1395.15</v>
      </c>
      <c r="Q2059" t="s">
        <v>46</v>
      </c>
      <c r="R2059">
        <v>0.35909810432029649</v>
      </c>
      <c r="S2059">
        <v>2025</v>
      </c>
      <c r="T2059" t="s">
        <v>1519</v>
      </c>
      <c r="U2059">
        <v>8</v>
      </c>
      <c r="V2059" t="s">
        <v>1385</v>
      </c>
    </row>
    <row r="2060" spans="1:22" x14ac:dyDescent="0.3">
      <c r="A2060" t="s">
        <v>3077</v>
      </c>
      <c r="B2060" s="1">
        <v>45894</v>
      </c>
      <c r="C2060" t="s">
        <v>584</v>
      </c>
      <c r="D2060" t="s">
        <v>752</v>
      </c>
      <c r="E2060" t="s">
        <v>25</v>
      </c>
      <c r="F2060" t="s">
        <v>26</v>
      </c>
      <c r="G2060" t="s">
        <v>27</v>
      </c>
      <c r="H2060" t="s">
        <v>64</v>
      </c>
      <c r="I2060" t="s">
        <v>65</v>
      </c>
      <c r="J2060" t="s">
        <v>66</v>
      </c>
      <c r="K2060">
        <v>1</v>
      </c>
      <c r="L2060">
        <v>5169.8</v>
      </c>
      <c r="M2060">
        <v>0.2</v>
      </c>
      <c r="N2060">
        <v>4135.84</v>
      </c>
      <c r="O2060">
        <v>3271.55</v>
      </c>
      <c r="P2060">
        <v>864.29</v>
      </c>
      <c r="Q2060" t="s">
        <v>53</v>
      </c>
      <c r="R2060">
        <v>0.2089756857131804</v>
      </c>
      <c r="S2060">
        <v>2025</v>
      </c>
      <c r="T2060" t="s">
        <v>1519</v>
      </c>
      <c r="U2060">
        <v>8</v>
      </c>
      <c r="V2060" t="s">
        <v>1385</v>
      </c>
    </row>
    <row r="2061" spans="1:22" x14ac:dyDescent="0.3">
      <c r="A2061" t="s">
        <v>3078</v>
      </c>
      <c r="B2061" s="1">
        <v>45895</v>
      </c>
      <c r="C2061" t="s">
        <v>635</v>
      </c>
      <c r="D2061" t="s">
        <v>1088</v>
      </c>
      <c r="E2061" t="s">
        <v>61</v>
      </c>
      <c r="F2061" t="s">
        <v>71</v>
      </c>
      <c r="G2061" t="s">
        <v>100</v>
      </c>
      <c r="H2061" t="s">
        <v>84</v>
      </c>
      <c r="I2061" t="s">
        <v>85</v>
      </c>
      <c r="J2061" t="s">
        <v>145</v>
      </c>
      <c r="K2061">
        <v>2</v>
      </c>
      <c r="L2061">
        <v>3460.76</v>
      </c>
      <c r="M2061">
        <v>0.2</v>
      </c>
      <c r="N2061">
        <v>5537.22</v>
      </c>
      <c r="O2061">
        <v>3940.69</v>
      </c>
      <c r="P2061">
        <v>1596.53</v>
      </c>
      <c r="Q2061" t="s">
        <v>46</v>
      </c>
      <c r="R2061">
        <v>0.28832699441235848</v>
      </c>
      <c r="S2061">
        <v>2025</v>
      </c>
      <c r="T2061" t="s">
        <v>1519</v>
      </c>
      <c r="U2061">
        <v>8</v>
      </c>
      <c r="V2061" t="s">
        <v>1385</v>
      </c>
    </row>
    <row r="2062" spans="1:22" x14ac:dyDescent="0.3">
      <c r="A2062" t="s">
        <v>3079</v>
      </c>
      <c r="B2062" s="1">
        <v>45895</v>
      </c>
      <c r="C2062" t="s">
        <v>1135</v>
      </c>
      <c r="D2062" t="s">
        <v>1138</v>
      </c>
      <c r="E2062" t="s">
        <v>25</v>
      </c>
      <c r="F2062" t="s">
        <v>26</v>
      </c>
      <c r="G2062" t="s">
        <v>27</v>
      </c>
      <c r="H2062" t="s">
        <v>64</v>
      </c>
      <c r="I2062" t="s">
        <v>108</v>
      </c>
      <c r="J2062" t="s">
        <v>155</v>
      </c>
      <c r="K2062">
        <v>3</v>
      </c>
      <c r="L2062">
        <v>8188.08</v>
      </c>
      <c r="M2062">
        <v>0</v>
      </c>
      <c r="N2062">
        <v>24564.240000000002</v>
      </c>
      <c r="O2062">
        <v>16886.900000000001</v>
      </c>
      <c r="P2062">
        <v>7677.34</v>
      </c>
      <c r="Q2062" t="s">
        <v>31</v>
      </c>
      <c r="R2062">
        <v>0.31254132022810388</v>
      </c>
      <c r="S2062">
        <v>2025</v>
      </c>
      <c r="T2062" t="s">
        <v>1519</v>
      </c>
      <c r="U2062">
        <v>8</v>
      </c>
      <c r="V2062" t="s">
        <v>1385</v>
      </c>
    </row>
    <row r="2063" spans="1:22" x14ac:dyDescent="0.3">
      <c r="A2063" t="s">
        <v>3080</v>
      </c>
      <c r="B2063" s="1">
        <v>45895</v>
      </c>
      <c r="C2063" t="s">
        <v>905</v>
      </c>
      <c r="D2063" t="s">
        <v>544</v>
      </c>
      <c r="E2063" t="s">
        <v>61</v>
      </c>
      <c r="F2063" t="s">
        <v>71</v>
      </c>
      <c r="G2063" t="s">
        <v>100</v>
      </c>
      <c r="H2063" t="s">
        <v>28</v>
      </c>
      <c r="I2063" t="s">
        <v>91</v>
      </c>
      <c r="J2063" t="s">
        <v>126</v>
      </c>
      <c r="K2063">
        <v>3</v>
      </c>
      <c r="L2063">
        <v>1967.99</v>
      </c>
      <c r="M2063">
        <v>0.1</v>
      </c>
      <c r="N2063">
        <v>5313.57</v>
      </c>
      <c r="O2063">
        <v>3553.15</v>
      </c>
      <c r="P2063">
        <v>1760.42</v>
      </c>
      <c r="Q2063" t="s">
        <v>31</v>
      </c>
      <c r="R2063">
        <v>0.33130644745434812</v>
      </c>
      <c r="S2063">
        <v>2025</v>
      </c>
      <c r="T2063" t="s">
        <v>1519</v>
      </c>
      <c r="U2063">
        <v>8</v>
      </c>
      <c r="V2063" t="s">
        <v>1385</v>
      </c>
    </row>
    <row r="2064" spans="1:22" x14ac:dyDescent="0.3">
      <c r="A2064" t="s">
        <v>3081</v>
      </c>
      <c r="B2064" s="1">
        <v>45895</v>
      </c>
      <c r="C2064" t="s">
        <v>282</v>
      </c>
      <c r="D2064" t="s">
        <v>997</v>
      </c>
      <c r="E2064" t="s">
        <v>61</v>
      </c>
      <c r="F2064" t="s">
        <v>71</v>
      </c>
      <c r="G2064" t="s">
        <v>201</v>
      </c>
      <c r="H2064" t="s">
        <v>84</v>
      </c>
      <c r="I2064" t="s">
        <v>138</v>
      </c>
      <c r="J2064" t="s">
        <v>220</v>
      </c>
      <c r="K2064">
        <v>3</v>
      </c>
      <c r="L2064">
        <v>7672.62</v>
      </c>
      <c r="M2064">
        <v>0.15</v>
      </c>
      <c r="N2064">
        <v>19565.18</v>
      </c>
      <c r="O2064">
        <v>15465.47</v>
      </c>
      <c r="P2064">
        <v>4099.71</v>
      </c>
      <c r="Q2064" t="s">
        <v>46</v>
      </c>
      <c r="R2064">
        <v>0.20954113378972239</v>
      </c>
      <c r="S2064">
        <v>2025</v>
      </c>
      <c r="T2064" t="s">
        <v>1519</v>
      </c>
      <c r="U2064">
        <v>8</v>
      </c>
      <c r="V2064" t="s">
        <v>1385</v>
      </c>
    </row>
    <row r="2065" spans="1:22" x14ac:dyDescent="0.3">
      <c r="A2065" t="s">
        <v>3082</v>
      </c>
      <c r="B2065" s="1">
        <v>45895</v>
      </c>
      <c r="C2065" t="s">
        <v>1006</v>
      </c>
      <c r="D2065" t="s">
        <v>582</v>
      </c>
      <c r="E2065" t="s">
        <v>61</v>
      </c>
      <c r="F2065" t="s">
        <v>78</v>
      </c>
      <c r="G2065" t="s">
        <v>83</v>
      </c>
      <c r="H2065" t="s">
        <v>84</v>
      </c>
      <c r="I2065" t="s">
        <v>85</v>
      </c>
      <c r="J2065" t="s">
        <v>86</v>
      </c>
      <c r="K2065">
        <v>3</v>
      </c>
      <c r="L2065">
        <v>1788.84</v>
      </c>
      <c r="M2065">
        <v>0.1</v>
      </c>
      <c r="N2065">
        <v>4829.87</v>
      </c>
      <c r="O2065">
        <v>2893.79</v>
      </c>
      <c r="P2065">
        <v>1936.08</v>
      </c>
      <c r="Q2065" t="s">
        <v>31</v>
      </c>
      <c r="R2065">
        <v>0.40085550956858051</v>
      </c>
      <c r="S2065">
        <v>2025</v>
      </c>
      <c r="T2065" t="s">
        <v>1519</v>
      </c>
      <c r="U2065">
        <v>8</v>
      </c>
      <c r="V2065" t="s">
        <v>1385</v>
      </c>
    </row>
    <row r="2066" spans="1:22" x14ac:dyDescent="0.3">
      <c r="A2066" t="s">
        <v>3083</v>
      </c>
      <c r="B2066" s="1">
        <v>45895</v>
      </c>
      <c r="C2066" t="s">
        <v>2690</v>
      </c>
      <c r="D2066" t="s">
        <v>851</v>
      </c>
      <c r="E2066" t="s">
        <v>61</v>
      </c>
      <c r="F2066" t="s">
        <v>62</v>
      </c>
      <c r="G2066" t="s">
        <v>134</v>
      </c>
      <c r="H2066" t="s">
        <v>64</v>
      </c>
      <c r="I2066" t="s">
        <v>65</v>
      </c>
      <c r="J2066" t="s">
        <v>66</v>
      </c>
      <c r="K2066">
        <v>6</v>
      </c>
      <c r="L2066">
        <v>5220.4799999999996</v>
      </c>
      <c r="M2066">
        <v>0.15</v>
      </c>
      <c r="N2066">
        <v>26624.45</v>
      </c>
      <c r="O2066">
        <v>19524.759999999998</v>
      </c>
      <c r="P2066">
        <v>7099.69</v>
      </c>
      <c r="Q2066" t="s">
        <v>67</v>
      </c>
      <c r="R2066">
        <v>0.26666053195465073</v>
      </c>
      <c r="S2066">
        <v>2025</v>
      </c>
      <c r="T2066" t="s">
        <v>1519</v>
      </c>
      <c r="U2066">
        <v>8</v>
      </c>
      <c r="V2066" t="s">
        <v>1385</v>
      </c>
    </row>
    <row r="2067" spans="1:22" x14ac:dyDescent="0.3">
      <c r="A2067" t="s">
        <v>3084</v>
      </c>
      <c r="B2067" s="1">
        <v>45896</v>
      </c>
      <c r="C2067" t="s">
        <v>739</v>
      </c>
      <c r="D2067" t="s">
        <v>326</v>
      </c>
      <c r="E2067" t="s">
        <v>41</v>
      </c>
      <c r="F2067" t="s">
        <v>42</v>
      </c>
      <c r="G2067" t="s">
        <v>50</v>
      </c>
      <c r="H2067" t="s">
        <v>84</v>
      </c>
      <c r="I2067" t="s">
        <v>85</v>
      </c>
      <c r="J2067" t="s">
        <v>86</v>
      </c>
      <c r="K2067">
        <v>2</v>
      </c>
      <c r="L2067">
        <v>1853.4</v>
      </c>
      <c r="M2067">
        <v>0.15</v>
      </c>
      <c r="N2067">
        <v>3150.78</v>
      </c>
      <c r="O2067">
        <v>1959.91</v>
      </c>
      <c r="P2067">
        <v>1190.8699999999999</v>
      </c>
      <c r="Q2067" t="s">
        <v>31</v>
      </c>
      <c r="R2067">
        <v>0.37796037806511401</v>
      </c>
      <c r="S2067">
        <v>2025</v>
      </c>
      <c r="T2067" t="s">
        <v>1519</v>
      </c>
      <c r="U2067">
        <v>8</v>
      </c>
      <c r="V2067" t="s">
        <v>1385</v>
      </c>
    </row>
    <row r="2068" spans="1:22" x14ac:dyDescent="0.3">
      <c r="A2068" t="s">
        <v>3085</v>
      </c>
      <c r="B2068" s="1">
        <v>45896</v>
      </c>
      <c r="C2068" t="s">
        <v>356</v>
      </c>
      <c r="D2068" t="s">
        <v>1863</v>
      </c>
      <c r="E2068" t="s">
        <v>61</v>
      </c>
      <c r="F2068" t="s">
        <v>78</v>
      </c>
      <c r="G2068" t="s">
        <v>216</v>
      </c>
      <c r="H2068" t="s">
        <v>64</v>
      </c>
      <c r="I2068" t="s">
        <v>65</v>
      </c>
      <c r="J2068" t="s">
        <v>232</v>
      </c>
      <c r="K2068">
        <v>3</v>
      </c>
      <c r="L2068">
        <v>4061.82</v>
      </c>
      <c r="M2068">
        <v>0.15</v>
      </c>
      <c r="N2068">
        <v>10357.64</v>
      </c>
      <c r="O2068">
        <v>7911.55</v>
      </c>
      <c r="P2068">
        <v>2446.09</v>
      </c>
      <c r="Q2068" t="s">
        <v>46</v>
      </c>
      <c r="R2068">
        <v>0.23616287107874001</v>
      </c>
      <c r="S2068">
        <v>2025</v>
      </c>
      <c r="T2068" t="s">
        <v>1519</v>
      </c>
      <c r="U2068">
        <v>8</v>
      </c>
      <c r="V2068" t="s">
        <v>1385</v>
      </c>
    </row>
    <row r="2069" spans="1:22" x14ac:dyDescent="0.3">
      <c r="A2069" t="s">
        <v>3086</v>
      </c>
      <c r="B2069" s="1">
        <v>45896</v>
      </c>
      <c r="C2069" t="s">
        <v>625</v>
      </c>
      <c r="D2069" t="s">
        <v>103</v>
      </c>
      <c r="E2069" t="s">
        <v>61</v>
      </c>
      <c r="F2069" t="s">
        <v>78</v>
      </c>
      <c r="G2069" t="s">
        <v>79</v>
      </c>
      <c r="H2069" t="s">
        <v>84</v>
      </c>
      <c r="I2069" t="s">
        <v>138</v>
      </c>
      <c r="J2069" t="s">
        <v>220</v>
      </c>
      <c r="K2069">
        <v>3</v>
      </c>
      <c r="L2069">
        <v>7353.75</v>
      </c>
      <c r="M2069">
        <v>0.1</v>
      </c>
      <c r="N2069">
        <v>19855.12</v>
      </c>
      <c r="O2069">
        <v>14278.15</v>
      </c>
      <c r="P2069">
        <v>5576.97</v>
      </c>
      <c r="Q2069" t="s">
        <v>53</v>
      </c>
      <c r="R2069">
        <v>0.28088321803141958</v>
      </c>
      <c r="S2069">
        <v>2025</v>
      </c>
      <c r="T2069" t="s">
        <v>1519</v>
      </c>
      <c r="U2069">
        <v>8</v>
      </c>
      <c r="V2069" t="s">
        <v>1385</v>
      </c>
    </row>
    <row r="2070" spans="1:22" x14ac:dyDescent="0.3">
      <c r="A2070" t="s">
        <v>3087</v>
      </c>
      <c r="B2070" s="1">
        <v>45896</v>
      </c>
      <c r="C2070" t="s">
        <v>559</v>
      </c>
      <c r="D2070" t="s">
        <v>1289</v>
      </c>
      <c r="E2070" t="s">
        <v>120</v>
      </c>
      <c r="F2070" t="s">
        <v>121</v>
      </c>
      <c r="G2070" t="s">
        <v>224</v>
      </c>
      <c r="H2070" t="s">
        <v>64</v>
      </c>
      <c r="I2070" t="s">
        <v>65</v>
      </c>
      <c r="J2070" t="s">
        <v>66</v>
      </c>
      <c r="K2070">
        <v>5</v>
      </c>
      <c r="L2070">
        <v>5001.2299999999996</v>
      </c>
      <c r="M2070">
        <v>0</v>
      </c>
      <c r="N2070">
        <v>25006.15</v>
      </c>
      <c r="O2070">
        <v>15031.55</v>
      </c>
      <c r="P2070">
        <v>9974.6</v>
      </c>
      <c r="Q2070" t="s">
        <v>31</v>
      </c>
      <c r="R2070">
        <v>0.39888587407497761</v>
      </c>
      <c r="S2070">
        <v>2025</v>
      </c>
      <c r="T2070" t="s">
        <v>1519</v>
      </c>
      <c r="U2070">
        <v>8</v>
      </c>
      <c r="V2070" t="s">
        <v>1385</v>
      </c>
    </row>
    <row r="2071" spans="1:22" x14ac:dyDescent="0.3">
      <c r="A2071" t="s">
        <v>3088</v>
      </c>
      <c r="B2071" s="1">
        <v>45896</v>
      </c>
      <c r="C2071" t="s">
        <v>2288</v>
      </c>
      <c r="D2071" t="s">
        <v>2064</v>
      </c>
      <c r="E2071" t="s">
        <v>120</v>
      </c>
      <c r="F2071" t="s">
        <v>121</v>
      </c>
      <c r="G2071" t="s">
        <v>122</v>
      </c>
      <c r="H2071" t="s">
        <v>84</v>
      </c>
      <c r="I2071" t="s">
        <v>85</v>
      </c>
      <c r="J2071" t="s">
        <v>86</v>
      </c>
      <c r="K2071">
        <v>3</v>
      </c>
      <c r="L2071">
        <v>1767.6</v>
      </c>
      <c r="M2071">
        <v>0.15</v>
      </c>
      <c r="N2071">
        <v>4507.38</v>
      </c>
      <c r="O2071">
        <v>2971.34</v>
      </c>
      <c r="P2071">
        <v>1536.04</v>
      </c>
      <c r="Q2071" t="s">
        <v>31</v>
      </c>
      <c r="R2071">
        <v>0.34078333754864237</v>
      </c>
      <c r="S2071">
        <v>2025</v>
      </c>
      <c r="T2071" t="s">
        <v>1519</v>
      </c>
      <c r="U2071">
        <v>8</v>
      </c>
      <c r="V2071" t="s">
        <v>1385</v>
      </c>
    </row>
    <row r="2072" spans="1:22" x14ac:dyDescent="0.3">
      <c r="A2072" t="s">
        <v>3089</v>
      </c>
      <c r="B2072" s="1">
        <v>45897</v>
      </c>
      <c r="C2072" t="s">
        <v>523</v>
      </c>
      <c r="D2072" t="s">
        <v>972</v>
      </c>
      <c r="E2072" t="s">
        <v>61</v>
      </c>
      <c r="F2072" t="s">
        <v>62</v>
      </c>
      <c r="G2072" t="s">
        <v>228</v>
      </c>
      <c r="H2072" t="s">
        <v>28</v>
      </c>
      <c r="I2072" t="s">
        <v>73</v>
      </c>
      <c r="J2072" t="s">
        <v>74</v>
      </c>
      <c r="K2072">
        <v>4</v>
      </c>
      <c r="L2072">
        <v>2369.91</v>
      </c>
      <c r="M2072">
        <v>0</v>
      </c>
      <c r="N2072">
        <v>9479.64</v>
      </c>
      <c r="O2072">
        <v>5284.65</v>
      </c>
      <c r="P2072">
        <v>4194.99</v>
      </c>
      <c r="Q2072" t="s">
        <v>46</v>
      </c>
      <c r="R2072">
        <v>0.4425262984670304</v>
      </c>
      <c r="S2072">
        <v>2025</v>
      </c>
      <c r="T2072" t="s">
        <v>1519</v>
      </c>
      <c r="U2072">
        <v>8</v>
      </c>
      <c r="V2072" t="s">
        <v>1385</v>
      </c>
    </row>
    <row r="2073" spans="1:22" x14ac:dyDescent="0.3">
      <c r="A2073" t="s">
        <v>3090</v>
      </c>
      <c r="B2073" s="1">
        <v>45897</v>
      </c>
      <c r="C2073" t="s">
        <v>1903</v>
      </c>
      <c r="D2073" t="s">
        <v>752</v>
      </c>
      <c r="E2073" t="s">
        <v>61</v>
      </c>
      <c r="F2073" t="s">
        <v>71</v>
      </c>
      <c r="G2073" t="s">
        <v>201</v>
      </c>
      <c r="H2073" t="s">
        <v>28</v>
      </c>
      <c r="I2073" t="s">
        <v>91</v>
      </c>
      <c r="J2073" t="s">
        <v>92</v>
      </c>
      <c r="K2073">
        <v>1</v>
      </c>
      <c r="L2073">
        <v>3072.75</v>
      </c>
      <c r="M2073">
        <v>0.05</v>
      </c>
      <c r="N2073">
        <v>2919.11</v>
      </c>
      <c r="O2073">
        <v>1633.36</v>
      </c>
      <c r="P2073">
        <v>1285.75</v>
      </c>
      <c r="Q2073" t="s">
        <v>53</v>
      </c>
      <c r="R2073">
        <v>0.44045959213595931</v>
      </c>
      <c r="S2073">
        <v>2025</v>
      </c>
      <c r="T2073" t="s">
        <v>1519</v>
      </c>
      <c r="U2073">
        <v>8</v>
      </c>
      <c r="V2073" t="s">
        <v>1385</v>
      </c>
    </row>
    <row r="2074" spans="1:22" x14ac:dyDescent="0.3">
      <c r="A2074" t="s">
        <v>3091</v>
      </c>
      <c r="B2074" s="1">
        <v>45897</v>
      </c>
      <c r="C2074" t="s">
        <v>1124</v>
      </c>
      <c r="D2074" t="s">
        <v>1795</v>
      </c>
      <c r="E2074" t="s">
        <v>25</v>
      </c>
      <c r="F2074" t="s">
        <v>26</v>
      </c>
      <c r="G2074" t="s">
        <v>260</v>
      </c>
      <c r="H2074" t="s">
        <v>84</v>
      </c>
      <c r="I2074" t="s">
        <v>85</v>
      </c>
      <c r="J2074" t="s">
        <v>145</v>
      </c>
      <c r="K2074">
        <v>1</v>
      </c>
      <c r="L2074">
        <v>3300.19</v>
      </c>
      <c r="M2074">
        <v>0</v>
      </c>
      <c r="N2074">
        <v>3300.19</v>
      </c>
      <c r="O2074">
        <v>1906.98</v>
      </c>
      <c r="P2074">
        <v>1393.21</v>
      </c>
      <c r="Q2074" t="s">
        <v>46</v>
      </c>
      <c r="R2074">
        <v>0.4221605422718086</v>
      </c>
      <c r="S2074">
        <v>2025</v>
      </c>
      <c r="T2074" t="s">
        <v>1519</v>
      </c>
      <c r="U2074">
        <v>8</v>
      </c>
      <c r="V2074" t="s">
        <v>1385</v>
      </c>
    </row>
    <row r="2075" spans="1:22" x14ac:dyDescent="0.3">
      <c r="A2075" t="s">
        <v>3092</v>
      </c>
      <c r="B2075" s="1">
        <v>45897</v>
      </c>
      <c r="C2075" t="s">
        <v>439</v>
      </c>
      <c r="D2075" t="s">
        <v>888</v>
      </c>
      <c r="E2075" t="s">
        <v>120</v>
      </c>
      <c r="F2075" t="s">
        <v>121</v>
      </c>
      <c r="G2075" t="s">
        <v>224</v>
      </c>
      <c r="H2075" t="s">
        <v>43</v>
      </c>
      <c r="I2075" t="s">
        <v>44</v>
      </c>
      <c r="J2075" t="s">
        <v>45</v>
      </c>
      <c r="K2075">
        <v>4</v>
      </c>
      <c r="L2075">
        <v>255.68</v>
      </c>
      <c r="M2075">
        <v>0.1</v>
      </c>
      <c r="N2075">
        <v>920.45</v>
      </c>
      <c r="O2075">
        <v>396.05</v>
      </c>
      <c r="P2075">
        <v>524.4</v>
      </c>
      <c r="Q2075" t="s">
        <v>46</v>
      </c>
      <c r="R2075">
        <v>0.56972133195719477</v>
      </c>
      <c r="S2075">
        <v>2025</v>
      </c>
      <c r="T2075" t="s">
        <v>1519</v>
      </c>
      <c r="U2075">
        <v>8</v>
      </c>
      <c r="V2075" t="s">
        <v>1385</v>
      </c>
    </row>
    <row r="2076" spans="1:22" x14ac:dyDescent="0.3">
      <c r="A2076" t="s">
        <v>3093</v>
      </c>
      <c r="B2076" s="1">
        <v>45897</v>
      </c>
      <c r="C2076" t="s">
        <v>2202</v>
      </c>
      <c r="D2076" t="s">
        <v>185</v>
      </c>
      <c r="E2076" t="s">
        <v>25</v>
      </c>
      <c r="F2076" t="s">
        <v>26</v>
      </c>
      <c r="G2076" t="s">
        <v>37</v>
      </c>
      <c r="H2076" t="s">
        <v>64</v>
      </c>
      <c r="I2076" t="s">
        <v>65</v>
      </c>
      <c r="J2076" t="s">
        <v>66</v>
      </c>
      <c r="K2076">
        <v>2</v>
      </c>
      <c r="L2076">
        <v>5286.12</v>
      </c>
      <c r="M2076">
        <v>0.1</v>
      </c>
      <c r="N2076">
        <v>9515.02</v>
      </c>
      <c r="O2076">
        <v>6287.28</v>
      </c>
      <c r="P2076">
        <v>3227.74</v>
      </c>
      <c r="Q2076" t="s">
        <v>46</v>
      </c>
      <c r="R2076">
        <v>0.33922577146448452</v>
      </c>
      <c r="S2076">
        <v>2025</v>
      </c>
      <c r="T2076" t="s">
        <v>1519</v>
      </c>
      <c r="U2076">
        <v>8</v>
      </c>
      <c r="V2076" t="s">
        <v>1385</v>
      </c>
    </row>
    <row r="2077" spans="1:22" x14ac:dyDescent="0.3">
      <c r="A2077" t="s">
        <v>3094</v>
      </c>
      <c r="B2077" s="1">
        <v>45897</v>
      </c>
      <c r="C2077" t="s">
        <v>1272</v>
      </c>
      <c r="D2077" t="s">
        <v>497</v>
      </c>
      <c r="E2077" t="s">
        <v>120</v>
      </c>
      <c r="F2077" t="s">
        <v>121</v>
      </c>
      <c r="G2077" t="s">
        <v>122</v>
      </c>
      <c r="H2077" t="s">
        <v>28</v>
      </c>
      <c r="I2077" t="s">
        <v>73</v>
      </c>
      <c r="J2077" t="s">
        <v>80</v>
      </c>
      <c r="K2077">
        <v>2</v>
      </c>
      <c r="L2077">
        <v>755.64</v>
      </c>
      <c r="M2077">
        <v>0</v>
      </c>
      <c r="N2077">
        <v>1511.28</v>
      </c>
      <c r="O2077">
        <v>944.38</v>
      </c>
      <c r="P2077">
        <v>566.9</v>
      </c>
      <c r="Q2077" t="s">
        <v>46</v>
      </c>
      <c r="R2077">
        <v>0.37511248742787567</v>
      </c>
      <c r="S2077">
        <v>2025</v>
      </c>
      <c r="T2077" t="s">
        <v>1519</v>
      </c>
      <c r="U2077">
        <v>8</v>
      </c>
      <c r="V2077" t="s">
        <v>1385</v>
      </c>
    </row>
    <row r="2078" spans="1:22" x14ac:dyDescent="0.3">
      <c r="A2078" t="s">
        <v>3095</v>
      </c>
      <c r="B2078" s="1">
        <v>45897</v>
      </c>
      <c r="C2078" t="s">
        <v>1065</v>
      </c>
      <c r="D2078" t="s">
        <v>981</v>
      </c>
      <c r="E2078" t="s">
        <v>41</v>
      </c>
      <c r="F2078" t="s">
        <v>42</v>
      </c>
      <c r="G2078" t="s">
        <v>50</v>
      </c>
      <c r="H2078" t="s">
        <v>43</v>
      </c>
      <c r="I2078" t="s">
        <v>44</v>
      </c>
      <c r="J2078" t="s">
        <v>248</v>
      </c>
      <c r="K2078">
        <v>5</v>
      </c>
      <c r="L2078">
        <v>299.72000000000003</v>
      </c>
      <c r="M2078">
        <v>0.1</v>
      </c>
      <c r="N2078">
        <v>1348.74</v>
      </c>
      <c r="O2078">
        <v>618.02</v>
      </c>
      <c r="P2078">
        <v>730.72</v>
      </c>
      <c r="Q2078" t="s">
        <v>31</v>
      </c>
      <c r="R2078">
        <v>0.5417797351602236</v>
      </c>
      <c r="S2078">
        <v>2025</v>
      </c>
      <c r="T2078" t="s">
        <v>1519</v>
      </c>
      <c r="U2078">
        <v>8</v>
      </c>
      <c r="V2078" t="s">
        <v>1385</v>
      </c>
    </row>
    <row r="2079" spans="1:22" x14ac:dyDescent="0.3">
      <c r="A2079" t="s">
        <v>3096</v>
      </c>
      <c r="B2079" s="1">
        <v>45898</v>
      </c>
      <c r="C2079" t="s">
        <v>55</v>
      </c>
      <c r="D2079" t="s">
        <v>1289</v>
      </c>
      <c r="E2079" t="s">
        <v>61</v>
      </c>
      <c r="F2079" t="s">
        <v>62</v>
      </c>
      <c r="G2079" t="s">
        <v>90</v>
      </c>
      <c r="H2079" t="s">
        <v>28</v>
      </c>
      <c r="I2079" t="s">
        <v>73</v>
      </c>
      <c r="J2079" t="s">
        <v>74</v>
      </c>
      <c r="K2079">
        <v>2</v>
      </c>
      <c r="L2079">
        <v>2439.86</v>
      </c>
      <c r="M2079">
        <v>0.05</v>
      </c>
      <c r="N2079">
        <v>4635.7299999999996</v>
      </c>
      <c r="O2079">
        <v>2703.86</v>
      </c>
      <c r="P2079">
        <v>1931.87</v>
      </c>
      <c r="Q2079" t="s">
        <v>31</v>
      </c>
      <c r="R2079">
        <v>0.41673479689283027</v>
      </c>
      <c r="S2079">
        <v>2025</v>
      </c>
      <c r="T2079" t="s">
        <v>1519</v>
      </c>
      <c r="U2079">
        <v>8</v>
      </c>
      <c r="V2079" t="s">
        <v>1385</v>
      </c>
    </row>
    <row r="2080" spans="1:22" x14ac:dyDescent="0.3">
      <c r="A2080" t="s">
        <v>3097</v>
      </c>
      <c r="B2080" s="1">
        <v>45898</v>
      </c>
      <c r="C2080" t="s">
        <v>2456</v>
      </c>
      <c r="D2080" t="s">
        <v>638</v>
      </c>
      <c r="E2080" t="s">
        <v>61</v>
      </c>
      <c r="F2080" t="s">
        <v>62</v>
      </c>
      <c r="G2080" t="s">
        <v>90</v>
      </c>
      <c r="H2080" t="s">
        <v>43</v>
      </c>
      <c r="I2080" t="s">
        <v>51</v>
      </c>
      <c r="J2080" t="s">
        <v>96</v>
      </c>
      <c r="K2080">
        <v>1</v>
      </c>
      <c r="L2080">
        <v>518.62</v>
      </c>
      <c r="M2080">
        <v>0.2</v>
      </c>
      <c r="N2080">
        <v>414.9</v>
      </c>
      <c r="O2080">
        <v>235.03</v>
      </c>
      <c r="P2080">
        <v>179.87</v>
      </c>
      <c r="Q2080" t="s">
        <v>46</v>
      </c>
      <c r="R2080">
        <v>0.43352615087973012</v>
      </c>
      <c r="S2080">
        <v>2025</v>
      </c>
      <c r="T2080" t="s">
        <v>1519</v>
      </c>
      <c r="U2080">
        <v>8</v>
      </c>
      <c r="V2080" t="s">
        <v>1385</v>
      </c>
    </row>
    <row r="2081" spans="1:22" x14ac:dyDescent="0.3">
      <c r="A2081" t="s">
        <v>3098</v>
      </c>
      <c r="B2081" s="1">
        <v>45898</v>
      </c>
      <c r="C2081" t="s">
        <v>1117</v>
      </c>
      <c r="D2081" t="s">
        <v>462</v>
      </c>
      <c r="E2081" t="s">
        <v>61</v>
      </c>
      <c r="F2081" t="s">
        <v>78</v>
      </c>
      <c r="G2081" t="s">
        <v>79</v>
      </c>
      <c r="H2081" t="s">
        <v>43</v>
      </c>
      <c r="I2081" t="s">
        <v>51</v>
      </c>
      <c r="J2081" t="s">
        <v>96</v>
      </c>
      <c r="K2081">
        <v>4</v>
      </c>
      <c r="L2081">
        <v>483.6</v>
      </c>
      <c r="M2081">
        <v>0.1</v>
      </c>
      <c r="N2081">
        <v>1740.96</v>
      </c>
      <c r="O2081">
        <v>845.46</v>
      </c>
      <c r="P2081">
        <v>895.5</v>
      </c>
      <c r="Q2081" t="s">
        <v>31</v>
      </c>
      <c r="R2081">
        <v>0.51437138130686522</v>
      </c>
      <c r="S2081">
        <v>2025</v>
      </c>
      <c r="T2081" t="s">
        <v>1519</v>
      </c>
      <c r="U2081">
        <v>8</v>
      </c>
      <c r="V2081" t="s">
        <v>1385</v>
      </c>
    </row>
    <row r="2082" spans="1:22" x14ac:dyDescent="0.3">
      <c r="A2082" t="s">
        <v>3099</v>
      </c>
      <c r="B2082" s="1">
        <v>45899</v>
      </c>
      <c r="C2082" t="s">
        <v>858</v>
      </c>
      <c r="D2082" t="s">
        <v>1345</v>
      </c>
      <c r="E2082" t="s">
        <v>61</v>
      </c>
      <c r="F2082" t="s">
        <v>78</v>
      </c>
      <c r="G2082" t="s">
        <v>83</v>
      </c>
      <c r="H2082" t="s">
        <v>84</v>
      </c>
      <c r="I2082" t="s">
        <v>85</v>
      </c>
      <c r="J2082" t="s">
        <v>145</v>
      </c>
      <c r="K2082">
        <v>1</v>
      </c>
      <c r="L2082">
        <v>3199.36</v>
      </c>
      <c r="M2082">
        <v>0.15</v>
      </c>
      <c r="N2082">
        <v>2719.46</v>
      </c>
      <c r="O2082">
        <v>1884.62</v>
      </c>
      <c r="P2082">
        <v>834.84</v>
      </c>
      <c r="Q2082" t="s">
        <v>46</v>
      </c>
      <c r="R2082">
        <v>0.30698741661947587</v>
      </c>
      <c r="S2082">
        <v>2025</v>
      </c>
      <c r="T2082" t="s">
        <v>1519</v>
      </c>
      <c r="U2082">
        <v>8</v>
      </c>
      <c r="V2082" t="s">
        <v>1385</v>
      </c>
    </row>
    <row r="2083" spans="1:22" x14ac:dyDescent="0.3">
      <c r="A2083" t="s">
        <v>3100</v>
      </c>
      <c r="B2083" s="1">
        <v>45899</v>
      </c>
      <c r="C2083" t="s">
        <v>76</v>
      </c>
      <c r="D2083" t="s">
        <v>1088</v>
      </c>
      <c r="E2083" t="s">
        <v>120</v>
      </c>
      <c r="F2083" t="s">
        <v>121</v>
      </c>
      <c r="G2083" t="s">
        <v>130</v>
      </c>
      <c r="H2083" t="s">
        <v>28</v>
      </c>
      <c r="I2083" t="s">
        <v>29</v>
      </c>
      <c r="J2083" t="s">
        <v>57</v>
      </c>
      <c r="K2083">
        <v>2</v>
      </c>
      <c r="L2083">
        <v>15916.08</v>
      </c>
      <c r="M2083">
        <v>0.15</v>
      </c>
      <c r="N2083">
        <v>27057.34</v>
      </c>
      <c r="O2083">
        <v>23394.42</v>
      </c>
      <c r="P2083">
        <v>3662.92</v>
      </c>
      <c r="Q2083" t="s">
        <v>53</v>
      </c>
      <c r="R2083">
        <v>0.13537620475626949</v>
      </c>
      <c r="S2083">
        <v>2025</v>
      </c>
      <c r="T2083" t="s">
        <v>1519</v>
      </c>
      <c r="U2083">
        <v>8</v>
      </c>
      <c r="V2083" t="s">
        <v>1385</v>
      </c>
    </row>
    <row r="2084" spans="1:22" x14ac:dyDescent="0.3">
      <c r="A2084" t="s">
        <v>3101</v>
      </c>
      <c r="B2084" s="1">
        <v>45899</v>
      </c>
      <c r="C2084" t="s">
        <v>1542</v>
      </c>
      <c r="D2084" t="s">
        <v>1798</v>
      </c>
      <c r="E2084" t="s">
        <v>61</v>
      </c>
      <c r="F2084" t="s">
        <v>78</v>
      </c>
      <c r="G2084" t="s">
        <v>104</v>
      </c>
      <c r="H2084" t="s">
        <v>64</v>
      </c>
      <c r="I2084" t="s">
        <v>65</v>
      </c>
      <c r="J2084" t="s">
        <v>66</v>
      </c>
      <c r="K2084">
        <v>5</v>
      </c>
      <c r="L2084">
        <v>5239.34</v>
      </c>
      <c r="M2084">
        <v>0.15</v>
      </c>
      <c r="N2084">
        <v>22267.19</v>
      </c>
      <c r="O2084">
        <v>16406.169999999998</v>
      </c>
      <c r="P2084">
        <v>5861.02</v>
      </c>
      <c r="Q2084" t="s">
        <v>31</v>
      </c>
      <c r="R2084">
        <v>0.26321327477782341</v>
      </c>
      <c r="S2084">
        <v>2025</v>
      </c>
      <c r="T2084" t="s">
        <v>1519</v>
      </c>
      <c r="U2084">
        <v>8</v>
      </c>
      <c r="V2084" t="s">
        <v>1385</v>
      </c>
    </row>
    <row r="2085" spans="1:22" x14ac:dyDescent="0.3">
      <c r="A2085" t="s">
        <v>3102</v>
      </c>
      <c r="B2085" s="1">
        <v>45899</v>
      </c>
      <c r="C2085" t="s">
        <v>824</v>
      </c>
      <c r="D2085" t="s">
        <v>2198</v>
      </c>
      <c r="E2085" t="s">
        <v>41</v>
      </c>
      <c r="F2085" t="s">
        <v>42</v>
      </c>
      <c r="G2085" t="s">
        <v>50</v>
      </c>
      <c r="H2085" t="s">
        <v>43</v>
      </c>
      <c r="I2085" t="s">
        <v>51</v>
      </c>
      <c r="J2085" t="s">
        <v>52</v>
      </c>
      <c r="K2085">
        <v>3</v>
      </c>
      <c r="L2085">
        <v>677.7</v>
      </c>
      <c r="M2085">
        <v>0.1</v>
      </c>
      <c r="N2085">
        <v>1829.79</v>
      </c>
      <c r="O2085">
        <v>964.35</v>
      </c>
      <c r="P2085">
        <v>865.44</v>
      </c>
      <c r="Q2085" t="s">
        <v>113</v>
      </c>
      <c r="R2085">
        <v>0.47297230829767362</v>
      </c>
      <c r="S2085">
        <v>2025</v>
      </c>
      <c r="T2085" t="s">
        <v>1519</v>
      </c>
      <c r="U2085">
        <v>8</v>
      </c>
      <c r="V2085" t="s">
        <v>1385</v>
      </c>
    </row>
    <row r="2086" spans="1:22" x14ac:dyDescent="0.3">
      <c r="A2086" t="s">
        <v>3103</v>
      </c>
      <c r="B2086" s="1">
        <v>45900</v>
      </c>
      <c r="C2086" t="s">
        <v>196</v>
      </c>
      <c r="D2086" t="s">
        <v>644</v>
      </c>
      <c r="E2086" t="s">
        <v>61</v>
      </c>
      <c r="F2086" t="s">
        <v>62</v>
      </c>
      <c r="G2086" t="s">
        <v>63</v>
      </c>
      <c r="H2086" t="s">
        <v>28</v>
      </c>
      <c r="I2086" t="s">
        <v>73</v>
      </c>
      <c r="J2086" t="s">
        <v>80</v>
      </c>
      <c r="K2086">
        <v>3</v>
      </c>
      <c r="L2086">
        <v>776.99</v>
      </c>
      <c r="M2086">
        <v>0.1</v>
      </c>
      <c r="N2086">
        <v>2097.87</v>
      </c>
      <c r="O2086">
        <v>1388.15</v>
      </c>
      <c r="P2086">
        <v>709.72</v>
      </c>
      <c r="Q2086" t="s">
        <v>31</v>
      </c>
      <c r="R2086">
        <v>0.3383050427338205</v>
      </c>
      <c r="S2086">
        <v>2025</v>
      </c>
      <c r="T2086" t="s">
        <v>1519</v>
      </c>
      <c r="U2086">
        <v>8</v>
      </c>
      <c r="V2086" t="s">
        <v>1385</v>
      </c>
    </row>
    <row r="2087" spans="1:22" x14ac:dyDescent="0.3">
      <c r="A2087" t="s">
        <v>3104</v>
      </c>
      <c r="B2087" s="1">
        <v>45900</v>
      </c>
      <c r="C2087" t="s">
        <v>2829</v>
      </c>
      <c r="D2087" t="s">
        <v>775</v>
      </c>
      <c r="E2087" t="s">
        <v>61</v>
      </c>
      <c r="F2087" t="s">
        <v>62</v>
      </c>
      <c r="G2087" t="s">
        <v>134</v>
      </c>
      <c r="H2087" t="s">
        <v>43</v>
      </c>
      <c r="I2087" t="s">
        <v>44</v>
      </c>
      <c r="J2087" t="s">
        <v>248</v>
      </c>
      <c r="K2087">
        <v>1</v>
      </c>
      <c r="L2087">
        <v>311.47000000000003</v>
      </c>
      <c r="M2087">
        <v>0.1</v>
      </c>
      <c r="N2087">
        <v>280.32</v>
      </c>
      <c r="O2087">
        <v>135.32</v>
      </c>
      <c r="P2087">
        <v>145</v>
      </c>
      <c r="Q2087" t="s">
        <v>53</v>
      </c>
      <c r="R2087">
        <v>0.51726598173515981</v>
      </c>
      <c r="S2087">
        <v>2025</v>
      </c>
      <c r="T2087" t="s">
        <v>1519</v>
      </c>
      <c r="U2087">
        <v>8</v>
      </c>
      <c r="V2087" t="s">
        <v>1385</v>
      </c>
    </row>
    <row r="2088" spans="1:22" x14ac:dyDescent="0.3">
      <c r="A2088" t="s">
        <v>3105</v>
      </c>
      <c r="B2088" s="1">
        <v>45900</v>
      </c>
      <c r="C2088" t="s">
        <v>1202</v>
      </c>
      <c r="D2088" t="s">
        <v>604</v>
      </c>
      <c r="E2088" t="s">
        <v>120</v>
      </c>
      <c r="F2088" t="s">
        <v>121</v>
      </c>
      <c r="G2088" t="s">
        <v>224</v>
      </c>
      <c r="H2088" t="s">
        <v>84</v>
      </c>
      <c r="I2088" t="s">
        <v>138</v>
      </c>
      <c r="J2088" t="s">
        <v>220</v>
      </c>
      <c r="K2088">
        <v>3</v>
      </c>
      <c r="L2088">
        <v>7169.83</v>
      </c>
      <c r="M2088">
        <v>0.1</v>
      </c>
      <c r="N2088">
        <v>19358.54</v>
      </c>
      <c r="O2088">
        <v>13432.73</v>
      </c>
      <c r="P2088">
        <v>5925.81</v>
      </c>
      <c r="Q2088" t="s">
        <v>31</v>
      </c>
      <c r="R2088">
        <v>0.30610831188715681</v>
      </c>
      <c r="S2088">
        <v>2025</v>
      </c>
      <c r="T2088" t="s">
        <v>1519</v>
      </c>
      <c r="U2088">
        <v>8</v>
      </c>
      <c r="V2088" t="s">
        <v>1385</v>
      </c>
    </row>
    <row r="2089" spans="1:22" x14ac:dyDescent="0.3">
      <c r="A2089" t="s">
        <v>3106</v>
      </c>
      <c r="B2089" s="1">
        <v>45900</v>
      </c>
      <c r="C2089" t="s">
        <v>554</v>
      </c>
      <c r="D2089" t="s">
        <v>231</v>
      </c>
      <c r="E2089" t="s">
        <v>61</v>
      </c>
      <c r="F2089" t="s">
        <v>78</v>
      </c>
      <c r="G2089" t="s">
        <v>216</v>
      </c>
      <c r="H2089" t="s">
        <v>43</v>
      </c>
      <c r="I2089" t="s">
        <v>44</v>
      </c>
      <c r="J2089" t="s">
        <v>45</v>
      </c>
      <c r="K2089">
        <v>2</v>
      </c>
      <c r="L2089">
        <v>247.93</v>
      </c>
      <c r="M2089">
        <v>0.05</v>
      </c>
      <c r="N2089">
        <v>471.07</v>
      </c>
      <c r="O2089">
        <v>193.7</v>
      </c>
      <c r="P2089">
        <v>277.37</v>
      </c>
      <c r="Q2089" t="s">
        <v>67</v>
      </c>
      <c r="R2089">
        <v>0.58880845734179632</v>
      </c>
      <c r="S2089">
        <v>2025</v>
      </c>
      <c r="T2089" t="s">
        <v>1519</v>
      </c>
      <c r="U2089">
        <v>8</v>
      </c>
      <c r="V2089" t="s">
        <v>1385</v>
      </c>
    </row>
    <row r="2090" spans="1:22" x14ac:dyDescent="0.3">
      <c r="A2090" t="s">
        <v>3107</v>
      </c>
      <c r="B2090" s="1">
        <v>45901</v>
      </c>
      <c r="C2090" t="s">
        <v>2529</v>
      </c>
      <c r="D2090" t="s">
        <v>77</v>
      </c>
      <c r="E2090" t="s">
        <v>41</v>
      </c>
      <c r="F2090" t="s">
        <v>42</v>
      </c>
      <c r="G2090" t="s">
        <v>50</v>
      </c>
      <c r="H2090" t="s">
        <v>43</v>
      </c>
      <c r="I2090" t="s">
        <v>51</v>
      </c>
      <c r="J2090" t="s">
        <v>96</v>
      </c>
      <c r="K2090">
        <v>3</v>
      </c>
      <c r="L2090">
        <v>528.53</v>
      </c>
      <c r="M2090">
        <v>0.05</v>
      </c>
      <c r="N2090">
        <v>1506.31</v>
      </c>
      <c r="O2090">
        <v>701.55</v>
      </c>
      <c r="P2090">
        <v>804.76</v>
      </c>
      <c r="Q2090" t="s">
        <v>31</v>
      </c>
      <c r="R2090">
        <v>0.53425921623039085</v>
      </c>
      <c r="S2090">
        <v>2025</v>
      </c>
      <c r="T2090" t="s">
        <v>1671</v>
      </c>
      <c r="U2090">
        <v>9</v>
      </c>
      <c r="V2090" t="s">
        <v>1385</v>
      </c>
    </row>
    <row r="2091" spans="1:22" x14ac:dyDescent="0.3">
      <c r="A2091" t="s">
        <v>3108</v>
      </c>
      <c r="B2091" s="1">
        <v>45901</v>
      </c>
      <c r="C2091" t="s">
        <v>903</v>
      </c>
      <c r="D2091" t="s">
        <v>304</v>
      </c>
      <c r="E2091" t="s">
        <v>41</v>
      </c>
      <c r="F2091" t="s">
        <v>42</v>
      </c>
      <c r="G2091" t="s">
        <v>50</v>
      </c>
      <c r="H2091" t="s">
        <v>43</v>
      </c>
      <c r="I2091" t="s">
        <v>51</v>
      </c>
      <c r="J2091" t="s">
        <v>96</v>
      </c>
      <c r="K2091">
        <v>2</v>
      </c>
      <c r="L2091">
        <v>491.46</v>
      </c>
      <c r="M2091">
        <v>0.1</v>
      </c>
      <c r="N2091">
        <v>884.63</v>
      </c>
      <c r="O2091">
        <v>437.67</v>
      </c>
      <c r="P2091">
        <v>446.96</v>
      </c>
      <c r="Q2091" t="s">
        <v>53</v>
      </c>
      <c r="R2091">
        <v>0.5052507828131535</v>
      </c>
      <c r="S2091">
        <v>2025</v>
      </c>
      <c r="T2091" t="s">
        <v>1671</v>
      </c>
      <c r="U2091">
        <v>9</v>
      </c>
      <c r="V2091" t="s">
        <v>1385</v>
      </c>
    </row>
    <row r="2092" spans="1:22" x14ac:dyDescent="0.3">
      <c r="A2092" t="s">
        <v>3109</v>
      </c>
      <c r="B2092" s="1">
        <v>45901</v>
      </c>
      <c r="C2092" t="s">
        <v>2031</v>
      </c>
      <c r="D2092" t="s">
        <v>847</v>
      </c>
      <c r="E2092" t="s">
        <v>120</v>
      </c>
      <c r="F2092" t="s">
        <v>121</v>
      </c>
      <c r="G2092" t="s">
        <v>122</v>
      </c>
      <c r="H2092" t="s">
        <v>28</v>
      </c>
      <c r="I2092" t="s">
        <v>73</v>
      </c>
      <c r="J2092" t="s">
        <v>74</v>
      </c>
      <c r="K2092">
        <v>1</v>
      </c>
      <c r="L2092">
        <v>2378.7800000000002</v>
      </c>
      <c r="M2092">
        <v>0.15</v>
      </c>
      <c r="N2092">
        <v>2021.96</v>
      </c>
      <c r="O2092">
        <v>1344.29</v>
      </c>
      <c r="P2092">
        <v>677.67</v>
      </c>
      <c r="Q2092" t="s">
        <v>46</v>
      </c>
      <c r="R2092">
        <v>0.33515499812063537</v>
      </c>
      <c r="S2092">
        <v>2025</v>
      </c>
      <c r="T2092" t="s">
        <v>1671</v>
      </c>
      <c r="U2092">
        <v>9</v>
      </c>
      <c r="V2092" t="s">
        <v>1385</v>
      </c>
    </row>
    <row r="2093" spans="1:22" x14ac:dyDescent="0.3">
      <c r="A2093" t="s">
        <v>3110</v>
      </c>
      <c r="B2093" s="1">
        <v>45901</v>
      </c>
      <c r="C2093" t="s">
        <v>1030</v>
      </c>
      <c r="D2093" t="s">
        <v>36</v>
      </c>
      <c r="E2093" t="s">
        <v>25</v>
      </c>
      <c r="F2093" t="s">
        <v>26</v>
      </c>
      <c r="G2093" t="s">
        <v>260</v>
      </c>
      <c r="H2093" t="s">
        <v>64</v>
      </c>
      <c r="I2093" t="s">
        <v>65</v>
      </c>
      <c r="J2093" t="s">
        <v>232</v>
      </c>
      <c r="K2093">
        <v>2</v>
      </c>
      <c r="L2093">
        <v>3854.07</v>
      </c>
      <c r="M2093">
        <v>0</v>
      </c>
      <c r="N2093">
        <v>7708.14</v>
      </c>
      <c r="O2093">
        <v>4667.04</v>
      </c>
      <c r="P2093">
        <v>3041.1</v>
      </c>
      <c r="Q2093" t="s">
        <v>46</v>
      </c>
      <c r="R2093">
        <v>0.39453097634448769</v>
      </c>
      <c r="S2093">
        <v>2025</v>
      </c>
      <c r="T2093" t="s">
        <v>1671</v>
      </c>
      <c r="U2093">
        <v>9</v>
      </c>
      <c r="V2093" t="s">
        <v>1385</v>
      </c>
    </row>
    <row r="2094" spans="1:22" x14ac:dyDescent="0.3">
      <c r="A2094" t="s">
        <v>3111</v>
      </c>
      <c r="B2094" s="1">
        <v>45901</v>
      </c>
      <c r="C2094" t="s">
        <v>697</v>
      </c>
      <c r="D2094" t="s">
        <v>182</v>
      </c>
      <c r="E2094" t="s">
        <v>120</v>
      </c>
      <c r="F2094" t="s">
        <v>121</v>
      </c>
      <c r="G2094" t="s">
        <v>122</v>
      </c>
      <c r="H2094" t="s">
        <v>64</v>
      </c>
      <c r="I2094" t="s">
        <v>65</v>
      </c>
      <c r="J2094" t="s">
        <v>232</v>
      </c>
      <c r="K2094">
        <v>2</v>
      </c>
      <c r="L2094">
        <v>4180.3900000000003</v>
      </c>
      <c r="M2094">
        <v>0.15</v>
      </c>
      <c r="N2094">
        <v>7106.66</v>
      </c>
      <c r="O2094">
        <v>5398.98</v>
      </c>
      <c r="P2094">
        <v>1707.68</v>
      </c>
      <c r="Q2094" t="s">
        <v>53</v>
      </c>
      <c r="R2094">
        <v>0.24029290834231551</v>
      </c>
      <c r="S2094">
        <v>2025</v>
      </c>
      <c r="T2094" t="s">
        <v>1671</v>
      </c>
      <c r="U2094">
        <v>9</v>
      </c>
      <c r="V2094" t="s">
        <v>1385</v>
      </c>
    </row>
    <row r="2095" spans="1:22" x14ac:dyDescent="0.3">
      <c r="A2095" t="s">
        <v>3112</v>
      </c>
      <c r="B2095" s="1">
        <v>45901</v>
      </c>
      <c r="C2095" t="s">
        <v>754</v>
      </c>
      <c r="D2095" t="s">
        <v>641</v>
      </c>
      <c r="E2095" t="s">
        <v>25</v>
      </c>
      <c r="F2095" t="s">
        <v>26</v>
      </c>
      <c r="G2095" t="s">
        <v>171</v>
      </c>
      <c r="H2095" t="s">
        <v>64</v>
      </c>
      <c r="I2095" t="s">
        <v>108</v>
      </c>
      <c r="J2095" t="s">
        <v>109</v>
      </c>
      <c r="K2095">
        <v>1</v>
      </c>
      <c r="L2095">
        <v>7378.84</v>
      </c>
      <c r="M2095">
        <v>0</v>
      </c>
      <c r="N2095">
        <v>7378.84</v>
      </c>
      <c r="O2095">
        <v>4715.67</v>
      </c>
      <c r="P2095">
        <v>2663.17</v>
      </c>
      <c r="Q2095" t="s">
        <v>53</v>
      </c>
      <c r="R2095">
        <v>0.36091987358446592</v>
      </c>
      <c r="S2095">
        <v>2025</v>
      </c>
      <c r="T2095" t="s">
        <v>1671</v>
      </c>
      <c r="U2095">
        <v>9</v>
      </c>
      <c r="V2095" t="s">
        <v>1385</v>
      </c>
    </row>
    <row r="2096" spans="1:22" x14ac:dyDescent="0.3">
      <c r="A2096" t="s">
        <v>3113</v>
      </c>
      <c r="B2096" s="1">
        <v>45901</v>
      </c>
      <c r="C2096" t="s">
        <v>362</v>
      </c>
      <c r="D2096" t="s">
        <v>148</v>
      </c>
      <c r="E2096" t="s">
        <v>61</v>
      </c>
      <c r="F2096" t="s">
        <v>71</v>
      </c>
      <c r="G2096" t="s">
        <v>317</v>
      </c>
      <c r="H2096" t="s">
        <v>64</v>
      </c>
      <c r="I2096" t="s">
        <v>108</v>
      </c>
      <c r="J2096" t="s">
        <v>155</v>
      </c>
      <c r="K2096">
        <v>2</v>
      </c>
      <c r="L2096">
        <v>8073.13</v>
      </c>
      <c r="M2096">
        <v>0.05</v>
      </c>
      <c r="N2096">
        <v>15338.95</v>
      </c>
      <c r="O2096">
        <v>10976.44</v>
      </c>
      <c r="P2096">
        <v>4362.51</v>
      </c>
      <c r="Q2096" t="s">
        <v>53</v>
      </c>
      <c r="R2096">
        <v>0.28440734209316798</v>
      </c>
      <c r="S2096">
        <v>2025</v>
      </c>
      <c r="T2096" t="s">
        <v>1671</v>
      </c>
      <c r="U2096">
        <v>9</v>
      </c>
      <c r="V2096" t="s">
        <v>1385</v>
      </c>
    </row>
    <row r="2097" spans="1:22" x14ac:dyDescent="0.3">
      <c r="A2097" t="s">
        <v>3114</v>
      </c>
      <c r="B2097" s="1">
        <v>45901</v>
      </c>
      <c r="C2097" t="s">
        <v>1769</v>
      </c>
      <c r="D2097" t="s">
        <v>532</v>
      </c>
      <c r="E2097" t="s">
        <v>120</v>
      </c>
      <c r="F2097" t="s">
        <v>121</v>
      </c>
      <c r="G2097" t="s">
        <v>122</v>
      </c>
      <c r="H2097" t="s">
        <v>28</v>
      </c>
      <c r="I2097" t="s">
        <v>91</v>
      </c>
      <c r="J2097" t="s">
        <v>92</v>
      </c>
      <c r="K2097">
        <v>1</v>
      </c>
      <c r="L2097">
        <v>3106.18</v>
      </c>
      <c r="M2097">
        <v>0</v>
      </c>
      <c r="N2097">
        <v>3106.18</v>
      </c>
      <c r="O2097">
        <v>1610.67</v>
      </c>
      <c r="P2097">
        <v>1495.51</v>
      </c>
      <c r="Q2097" t="s">
        <v>46</v>
      </c>
      <c r="R2097">
        <v>0.48146276133385713</v>
      </c>
      <c r="S2097">
        <v>2025</v>
      </c>
      <c r="T2097" t="s">
        <v>1671</v>
      </c>
      <c r="U2097">
        <v>9</v>
      </c>
      <c r="V2097" t="s">
        <v>1385</v>
      </c>
    </row>
    <row r="2098" spans="1:22" x14ac:dyDescent="0.3">
      <c r="A2098" t="s">
        <v>3115</v>
      </c>
      <c r="B2098" s="1">
        <v>45902</v>
      </c>
      <c r="C2098" t="s">
        <v>35</v>
      </c>
      <c r="D2098" t="s">
        <v>77</v>
      </c>
      <c r="E2098" t="s">
        <v>61</v>
      </c>
      <c r="F2098" t="s">
        <v>78</v>
      </c>
      <c r="G2098" t="s">
        <v>104</v>
      </c>
      <c r="H2098" t="s">
        <v>43</v>
      </c>
      <c r="I2098" t="s">
        <v>51</v>
      </c>
      <c r="J2098" t="s">
        <v>96</v>
      </c>
      <c r="K2098">
        <v>2</v>
      </c>
      <c r="L2098">
        <v>498.04</v>
      </c>
      <c r="M2098">
        <v>0</v>
      </c>
      <c r="N2098">
        <v>996.08</v>
      </c>
      <c r="O2098">
        <v>445.86</v>
      </c>
      <c r="P2098">
        <v>550.22</v>
      </c>
      <c r="Q2098" t="s">
        <v>67</v>
      </c>
      <c r="R2098">
        <v>0.55238535057425109</v>
      </c>
      <c r="S2098">
        <v>2025</v>
      </c>
      <c r="T2098" t="s">
        <v>1671</v>
      </c>
      <c r="U2098">
        <v>9</v>
      </c>
      <c r="V2098" t="s">
        <v>1385</v>
      </c>
    </row>
    <row r="2099" spans="1:22" x14ac:dyDescent="0.3">
      <c r="A2099" t="s">
        <v>3116</v>
      </c>
      <c r="B2099" s="1">
        <v>45902</v>
      </c>
      <c r="C2099" t="s">
        <v>716</v>
      </c>
      <c r="D2099" t="s">
        <v>981</v>
      </c>
      <c r="E2099" t="s">
        <v>61</v>
      </c>
      <c r="F2099" t="s">
        <v>62</v>
      </c>
      <c r="G2099" t="s">
        <v>90</v>
      </c>
      <c r="H2099" t="s">
        <v>84</v>
      </c>
      <c r="I2099" t="s">
        <v>85</v>
      </c>
      <c r="J2099" t="s">
        <v>86</v>
      </c>
      <c r="K2099">
        <v>3</v>
      </c>
      <c r="L2099">
        <v>1754.97</v>
      </c>
      <c r="M2099">
        <v>0.1</v>
      </c>
      <c r="N2099">
        <v>4738.42</v>
      </c>
      <c r="O2099">
        <v>2813.77</v>
      </c>
      <c r="P2099">
        <v>1924.65</v>
      </c>
      <c r="Q2099" t="s">
        <v>46</v>
      </c>
      <c r="R2099">
        <v>0.40617969702981171</v>
      </c>
      <c r="S2099">
        <v>2025</v>
      </c>
      <c r="T2099" t="s">
        <v>1671</v>
      </c>
      <c r="U2099">
        <v>9</v>
      </c>
      <c r="V2099" t="s">
        <v>1385</v>
      </c>
    </row>
    <row r="2100" spans="1:22" x14ac:dyDescent="0.3">
      <c r="A2100" t="s">
        <v>3117</v>
      </c>
      <c r="B2100" s="1">
        <v>45902</v>
      </c>
      <c r="C2100" t="s">
        <v>570</v>
      </c>
      <c r="D2100" t="s">
        <v>1088</v>
      </c>
      <c r="E2100" t="s">
        <v>120</v>
      </c>
      <c r="F2100" t="s">
        <v>121</v>
      </c>
      <c r="G2100" t="s">
        <v>224</v>
      </c>
      <c r="H2100" t="s">
        <v>43</v>
      </c>
      <c r="I2100" t="s">
        <v>51</v>
      </c>
      <c r="J2100" t="s">
        <v>96</v>
      </c>
      <c r="K2100">
        <v>1</v>
      </c>
      <c r="L2100">
        <v>472.43</v>
      </c>
      <c r="M2100">
        <v>0</v>
      </c>
      <c r="N2100">
        <v>472.43</v>
      </c>
      <c r="O2100">
        <v>218.61</v>
      </c>
      <c r="P2100">
        <v>253.82</v>
      </c>
      <c r="Q2100" t="s">
        <v>53</v>
      </c>
      <c r="R2100">
        <v>0.53726477996740252</v>
      </c>
      <c r="S2100">
        <v>2025</v>
      </c>
      <c r="T2100" t="s">
        <v>1671</v>
      </c>
      <c r="U2100">
        <v>9</v>
      </c>
      <c r="V2100" t="s">
        <v>1385</v>
      </c>
    </row>
    <row r="2101" spans="1:22" x14ac:dyDescent="0.3">
      <c r="A2101" t="s">
        <v>3118</v>
      </c>
      <c r="B2101" s="1">
        <v>45902</v>
      </c>
      <c r="C2101" t="s">
        <v>711</v>
      </c>
      <c r="D2101" t="s">
        <v>2198</v>
      </c>
      <c r="E2101" t="s">
        <v>41</v>
      </c>
      <c r="F2101" t="s">
        <v>42</v>
      </c>
      <c r="G2101" t="s">
        <v>50</v>
      </c>
      <c r="H2101" t="s">
        <v>28</v>
      </c>
      <c r="I2101" t="s">
        <v>91</v>
      </c>
      <c r="J2101" t="s">
        <v>126</v>
      </c>
      <c r="K2101">
        <v>2</v>
      </c>
      <c r="L2101">
        <v>2007.92</v>
      </c>
      <c r="M2101">
        <v>0.05</v>
      </c>
      <c r="N2101">
        <v>3815.05</v>
      </c>
      <c r="O2101">
        <v>2291.34</v>
      </c>
      <c r="P2101">
        <v>1523.71</v>
      </c>
      <c r="Q2101" t="s">
        <v>31</v>
      </c>
      <c r="R2101">
        <v>0.39939450334858001</v>
      </c>
      <c r="S2101">
        <v>2025</v>
      </c>
      <c r="T2101" t="s">
        <v>1671</v>
      </c>
      <c r="U2101">
        <v>9</v>
      </c>
      <c r="V2101" t="s">
        <v>1385</v>
      </c>
    </row>
    <row r="2102" spans="1:22" x14ac:dyDescent="0.3">
      <c r="A2102" t="s">
        <v>3119</v>
      </c>
      <c r="B2102" s="1">
        <v>45903</v>
      </c>
      <c r="C2102" t="s">
        <v>2669</v>
      </c>
      <c r="D2102" t="s">
        <v>307</v>
      </c>
      <c r="E2102" t="s">
        <v>41</v>
      </c>
      <c r="F2102" t="s">
        <v>42</v>
      </c>
      <c r="G2102" t="s">
        <v>50</v>
      </c>
      <c r="H2102" t="s">
        <v>84</v>
      </c>
      <c r="I2102" t="s">
        <v>138</v>
      </c>
      <c r="J2102" t="s">
        <v>139</v>
      </c>
      <c r="K2102">
        <v>2</v>
      </c>
      <c r="L2102">
        <v>13628.29</v>
      </c>
      <c r="M2102">
        <v>0.1</v>
      </c>
      <c r="N2102">
        <v>24530.92</v>
      </c>
      <c r="O2102">
        <v>19531.95</v>
      </c>
      <c r="P2102">
        <v>4998.97</v>
      </c>
      <c r="Q2102" t="s">
        <v>31</v>
      </c>
      <c r="R2102">
        <v>0.20378241011751699</v>
      </c>
      <c r="S2102">
        <v>2025</v>
      </c>
      <c r="T2102" t="s">
        <v>1671</v>
      </c>
      <c r="U2102">
        <v>9</v>
      </c>
      <c r="V2102" t="s">
        <v>1385</v>
      </c>
    </row>
    <row r="2103" spans="1:22" x14ac:dyDescent="0.3">
      <c r="A2103" t="s">
        <v>3120</v>
      </c>
      <c r="B2103" s="1">
        <v>45903</v>
      </c>
      <c r="C2103" t="s">
        <v>1072</v>
      </c>
      <c r="D2103" t="s">
        <v>1338</v>
      </c>
      <c r="E2103" t="s">
        <v>25</v>
      </c>
      <c r="F2103" t="s">
        <v>26</v>
      </c>
      <c r="G2103" t="s">
        <v>260</v>
      </c>
      <c r="H2103" t="s">
        <v>84</v>
      </c>
      <c r="I2103" t="s">
        <v>138</v>
      </c>
      <c r="J2103" t="s">
        <v>220</v>
      </c>
      <c r="K2103">
        <v>1</v>
      </c>
      <c r="L2103">
        <v>7620.33</v>
      </c>
      <c r="M2103">
        <v>0.05</v>
      </c>
      <c r="N2103">
        <v>7239.31</v>
      </c>
      <c r="O2103">
        <v>4756.62</v>
      </c>
      <c r="P2103">
        <v>2482.69</v>
      </c>
      <c r="Q2103" t="s">
        <v>67</v>
      </c>
      <c r="R2103">
        <v>0.34294566747383382</v>
      </c>
      <c r="S2103">
        <v>2025</v>
      </c>
      <c r="T2103" t="s">
        <v>1671</v>
      </c>
      <c r="U2103">
        <v>9</v>
      </c>
      <c r="V2103" t="s">
        <v>1385</v>
      </c>
    </row>
    <row r="2104" spans="1:22" x14ac:dyDescent="0.3">
      <c r="A2104" t="s">
        <v>3121</v>
      </c>
      <c r="B2104" s="1">
        <v>45904</v>
      </c>
      <c r="C2104" t="s">
        <v>252</v>
      </c>
      <c r="D2104" t="s">
        <v>1946</v>
      </c>
      <c r="E2104" t="s">
        <v>61</v>
      </c>
      <c r="F2104" t="s">
        <v>71</v>
      </c>
      <c r="G2104" t="s">
        <v>317</v>
      </c>
      <c r="H2104" t="s">
        <v>64</v>
      </c>
      <c r="I2104" t="s">
        <v>108</v>
      </c>
      <c r="J2104" t="s">
        <v>155</v>
      </c>
      <c r="K2104">
        <v>1</v>
      </c>
      <c r="L2104">
        <v>7993.66</v>
      </c>
      <c r="M2104">
        <v>0</v>
      </c>
      <c r="N2104">
        <v>7993.66</v>
      </c>
      <c r="O2104">
        <v>5521.09</v>
      </c>
      <c r="P2104">
        <v>2472.5700000000002</v>
      </c>
      <c r="Q2104" t="s">
        <v>31</v>
      </c>
      <c r="R2104">
        <v>0.30931638323371269</v>
      </c>
      <c r="S2104">
        <v>2025</v>
      </c>
      <c r="T2104" t="s">
        <v>1671</v>
      </c>
      <c r="U2104">
        <v>9</v>
      </c>
      <c r="V2104" t="s">
        <v>1385</v>
      </c>
    </row>
    <row r="2105" spans="1:22" x14ac:dyDescent="0.3">
      <c r="A2105" t="s">
        <v>3122</v>
      </c>
      <c r="B2105" s="1">
        <v>45904</v>
      </c>
      <c r="C2105" t="s">
        <v>1030</v>
      </c>
      <c r="D2105" t="s">
        <v>851</v>
      </c>
      <c r="E2105" t="s">
        <v>61</v>
      </c>
      <c r="F2105" t="s">
        <v>71</v>
      </c>
      <c r="G2105" t="s">
        <v>317</v>
      </c>
      <c r="H2105" t="s">
        <v>84</v>
      </c>
      <c r="I2105" t="s">
        <v>138</v>
      </c>
      <c r="J2105" t="s">
        <v>139</v>
      </c>
      <c r="K2105">
        <v>1</v>
      </c>
      <c r="L2105">
        <v>13060.52</v>
      </c>
      <c r="M2105">
        <v>0.05</v>
      </c>
      <c r="N2105">
        <v>12407.49</v>
      </c>
      <c r="O2105">
        <v>9389.56</v>
      </c>
      <c r="P2105">
        <v>3017.93</v>
      </c>
      <c r="Q2105" t="s">
        <v>53</v>
      </c>
      <c r="R2105">
        <v>0.24323453011044141</v>
      </c>
      <c r="S2105">
        <v>2025</v>
      </c>
      <c r="T2105" t="s">
        <v>1671</v>
      </c>
      <c r="U2105">
        <v>9</v>
      </c>
      <c r="V2105" t="s">
        <v>1385</v>
      </c>
    </row>
    <row r="2106" spans="1:22" x14ac:dyDescent="0.3">
      <c r="A2106" t="s">
        <v>3123</v>
      </c>
      <c r="B2106" s="1">
        <v>45904</v>
      </c>
      <c r="C2106" t="s">
        <v>1765</v>
      </c>
      <c r="D2106" t="s">
        <v>798</v>
      </c>
      <c r="E2106" t="s">
        <v>61</v>
      </c>
      <c r="F2106" t="s">
        <v>78</v>
      </c>
      <c r="G2106" t="s">
        <v>79</v>
      </c>
      <c r="H2106" t="s">
        <v>28</v>
      </c>
      <c r="I2106" t="s">
        <v>91</v>
      </c>
      <c r="J2106" t="s">
        <v>126</v>
      </c>
      <c r="K2106">
        <v>1</v>
      </c>
      <c r="L2106">
        <v>2096.36</v>
      </c>
      <c r="M2106">
        <v>0.1</v>
      </c>
      <c r="N2106">
        <v>1886.72</v>
      </c>
      <c r="O2106">
        <v>1259.6400000000001</v>
      </c>
      <c r="P2106">
        <v>627.08000000000004</v>
      </c>
      <c r="Q2106" t="s">
        <v>31</v>
      </c>
      <c r="R2106">
        <v>0.33236516282225242</v>
      </c>
      <c r="S2106">
        <v>2025</v>
      </c>
      <c r="T2106" t="s">
        <v>1671</v>
      </c>
      <c r="U2106">
        <v>9</v>
      </c>
      <c r="V2106" t="s">
        <v>1385</v>
      </c>
    </row>
    <row r="2107" spans="1:22" x14ac:dyDescent="0.3">
      <c r="A2107" t="s">
        <v>3124</v>
      </c>
      <c r="B2107" s="1">
        <v>45904</v>
      </c>
      <c r="C2107" t="s">
        <v>1342</v>
      </c>
      <c r="D2107" t="s">
        <v>457</v>
      </c>
      <c r="E2107" t="s">
        <v>61</v>
      </c>
      <c r="F2107" t="s">
        <v>71</v>
      </c>
      <c r="G2107" t="s">
        <v>201</v>
      </c>
      <c r="H2107" t="s">
        <v>84</v>
      </c>
      <c r="I2107" t="s">
        <v>85</v>
      </c>
      <c r="J2107" t="s">
        <v>86</v>
      </c>
      <c r="K2107">
        <v>2</v>
      </c>
      <c r="L2107">
        <v>1831.02</v>
      </c>
      <c r="M2107">
        <v>0.15</v>
      </c>
      <c r="N2107">
        <v>3112.73</v>
      </c>
      <c r="O2107">
        <v>2025.46</v>
      </c>
      <c r="P2107">
        <v>1087.27</v>
      </c>
      <c r="Q2107" t="s">
        <v>67</v>
      </c>
      <c r="R2107">
        <v>0.34929788320863042</v>
      </c>
      <c r="S2107">
        <v>2025</v>
      </c>
      <c r="T2107" t="s">
        <v>1671</v>
      </c>
      <c r="U2107">
        <v>9</v>
      </c>
      <c r="V2107" t="s">
        <v>1385</v>
      </c>
    </row>
    <row r="2108" spans="1:22" x14ac:dyDescent="0.3">
      <c r="A2108" t="s">
        <v>3125</v>
      </c>
      <c r="B2108" s="1">
        <v>45905</v>
      </c>
      <c r="C2108" t="s">
        <v>88</v>
      </c>
      <c r="D2108" t="s">
        <v>532</v>
      </c>
      <c r="E2108" t="s">
        <v>25</v>
      </c>
      <c r="F2108" t="s">
        <v>26</v>
      </c>
      <c r="G2108" t="s">
        <v>37</v>
      </c>
      <c r="H2108" t="s">
        <v>64</v>
      </c>
      <c r="I2108" t="s">
        <v>108</v>
      </c>
      <c r="J2108" t="s">
        <v>155</v>
      </c>
      <c r="K2108">
        <v>2</v>
      </c>
      <c r="L2108">
        <v>8960.49</v>
      </c>
      <c r="M2108">
        <v>0</v>
      </c>
      <c r="N2108">
        <v>17920.98</v>
      </c>
      <c r="O2108">
        <v>12234.26</v>
      </c>
      <c r="P2108">
        <v>5686.72</v>
      </c>
      <c r="Q2108" t="s">
        <v>31</v>
      </c>
      <c r="R2108">
        <v>0.31732193217112009</v>
      </c>
      <c r="S2108">
        <v>2025</v>
      </c>
      <c r="T2108" t="s">
        <v>1671</v>
      </c>
      <c r="U2108">
        <v>9</v>
      </c>
      <c r="V2108" t="s">
        <v>1385</v>
      </c>
    </row>
    <row r="2109" spans="1:22" x14ac:dyDescent="0.3">
      <c r="A2109" t="s">
        <v>3126</v>
      </c>
      <c r="B2109" s="1">
        <v>45906</v>
      </c>
      <c r="C2109" t="s">
        <v>492</v>
      </c>
      <c r="D2109" t="s">
        <v>571</v>
      </c>
      <c r="E2109" t="s">
        <v>61</v>
      </c>
      <c r="F2109" t="s">
        <v>62</v>
      </c>
      <c r="G2109" t="s">
        <v>134</v>
      </c>
      <c r="H2109" t="s">
        <v>64</v>
      </c>
      <c r="I2109" t="s">
        <v>108</v>
      </c>
      <c r="J2109" t="s">
        <v>109</v>
      </c>
      <c r="K2109">
        <v>3</v>
      </c>
      <c r="L2109">
        <v>7183.53</v>
      </c>
      <c r="M2109">
        <v>0.2</v>
      </c>
      <c r="N2109">
        <v>17240.47</v>
      </c>
      <c r="O2109">
        <v>13987.54</v>
      </c>
      <c r="P2109">
        <v>3252.93</v>
      </c>
      <c r="Q2109" t="s">
        <v>31</v>
      </c>
      <c r="R2109">
        <v>0.18867989097745011</v>
      </c>
      <c r="S2109">
        <v>2025</v>
      </c>
      <c r="T2109" t="s">
        <v>1671</v>
      </c>
      <c r="U2109">
        <v>9</v>
      </c>
      <c r="V2109" t="s">
        <v>1385</v>
      </c>
    </row>
    <row r="2110" spans="1:22" x14ac:dyDescent="0.3">
      <c r="A2110" t="s">
        <v>3127</v>
      </c>
      <c r="B2110" s="1">
        <v>45906</v>
      </c>
      <c r="C2110" t="s">
        <v>1789</v>
      </c>
      <c r="D2110" t="s">
        <v>949</v>
      </c>
      <c r="E2110" t="s">
        <v>61</v>
      </c>
      <c r="F2110" t="s">
        <v>78</v>
      </c>
      <c r="G2110" t="s">
        <v>83</v>
      </c>
      <c r="H2110" t="s">
        <v>84</v>
      </c>
      <c r="I2110" t="s">
        <v>138</v>
      </c>
      <c r="J2110" t="s">
        <v>139</v>
      </c>
      <c r="K2110">
        <v>1</v>
      </c>
      <c r="L2110">
        <v>13777.53</v>
      </c>
      <c r="M2110">
        <v>0.1</v>
      </c>
      <c r="N2110">
        <v>12399.78</v>
      </c>
      <c r="O2110">
        <v>10155.61</v>
      </c>
      <c r="P2110">
        <v>2244.17</v>
      </c>
      <c r="Q2110" t="s">
        <v>46</v>
      </c>
      <c r="R2110">
        <v>0.18098466263111121</v>
      </c>
      <c r="S2110">
        <v>2025</v>
      </c>
      <c r="T2110" t="s">
        <v>1671</v>
      </c>
      <c r="U2110">
        <v>9</v>
      </c>
      <c r="V2110" t="s">
        <v>1385</v>
      </c>
    </row>
    <row r="2111" spans="1:22" x14ac:dyDescent="0.3">
      <c r="A2111" t="s">
        <v>3128</v>
      </c>
      <c r="B2111" s="1">
        <v>45906</v>
      </c>
      <c r="C2111" t="s">
        <v>1903</v>
      </c>
      <c r="D2111" t="s">
        <v>1396</v>
      </c>
      <c r="E2111" t="s">
        <v>61</v>
      </c>
      <c r="F2111" t="s">
        <v>62</v>
      </c>
      <c r="G2111" t="s">
        <v>90</v>
      </c>
      <c r="H2111" t="s">
        <v>84</v>
      </c>
      <c r="I2111" t="s">
        <v>138</v>
      </c>
      <c r="J2111" t="s">
        <v>220</v>
      </c>
      <c r="K2111">
        <v>3</v>
      </c>
      <c r="L2111">
        <v>7377.97</v>
      </c>
      <c r="M2111">
        <v>0.1</v>
      </c>
      <c r="N2111">
        <v>19920.52</v>
      </c>
      <c r="O2111">
        <v>13995.41</v>
      </c>
      <c r="P2111">
        <v>5925.11</v>
      </c>
      <c r="Q2111" t="s">
        <v>46</v>
      </c>
      <c r="R2111">
        <v>0.29743751669133128</v>
      </c>
      <c r="S2111">
        <v>2025</v>
      </c>
      <c r="T2111" t="s">
        <v>1671</v>
      </c>
      <c r="U2111">
        <v>9</v>
      </c>
      <c r="V2111" t="s">
        <v>1385</v>
      </c>
    </row>
    <row r="2112" spans="1:22" x14ac:dyDescent="0.3">
      <c r="A2112" t="s">
        <v>3129</v>
      </c>
      <c r="B2112" s="1">
        <v>45906</v>
      </c>
      <c r="C2112" t="s">
        <v>3130</v>
      </c>
      <c r="D2112" t="s">
        <v>954</v>
      </c>
      <c r="E2112" t="s">
        <v>61</v>
      </c>
      <c r="F2112" t="s">
        <v>78</v>
      </c>
      <c r="G2112" t="s">
        <v>83</v>
      </c>
      <c r="H2112" t="s">
        <v>43</v>
      </c>
      <c r="I2112" t="s">
        <v>44</v>
      </c>
      <c r="J2112" t="s">
        <v>248</v>
      </c>
      <c r="K2112">
        <v>2</v>
      </c>
      <c r="L2112">
        <v>288.57</v>
      </c>
      <c r="M2112">
        <v>0.2</v>
      </c>
      <c r="N2112">
        <v>461.71</v>
      </c>
      <c r="O2112">
        <v>246.57</v>
      </c>
      <c r="P2112">
        <v>215.14</v>
      </c>
      <c r="Q2112" t="s">
        <v>46</v>
      </c>
      <c r="R2112">
        <v>0.46596348357193912</v>
      </c>
      <c r="S2112">
        <v>2025</v>
      </c>
      <c r="T2112" t="s">
        <v>1671</v>
      </c>
      <c r="U2112">
        <v>9</v>
      </c>
      <c r="V2112" t="s">
        <v>1385</v>
      </c>
    </row>
    <row r="2113" spans="1:22" x14ac:dyDescent="0.3">
      <c r="A2113" t="s">
        <v>3131</v>
      </c>
      <c r="B2113" s="1">
        <v>45906</v>
      </c>
      <c r="C2113" t="s">
        <v>1174</v>
      </c>
      <c r="D2113" t="s">
        <v>382</v>
      </c>
      <c r="E2113" t="s">
        <v>120</v>
      </c>
      <c r="F2113" t="s">
        <v>121</v>
      </c>
      <c r="G2113" t="s">
        <v>122</v>
      </c>
      <c r="H2113" t="s">
        <v>43</v>
      </c>
      <c r="I2113" t="s">
        <v>51</v>
      </c>
      <c r="J2113" t="s">
        <v>96</v>
      </c>
      <c r="K2113">
        <v>1</v>
      </c>
      <c r="L2113">
        <v>483.2</v>
      </c>
      <c r="M2113">
        <v>0.05</v>
      </c>
      <c r="N2113">
        <v>459.04</v>
      </c>
      <c r="O2113">
        <v>220.43</v>
      </c>
      <c r="P2113">
        <v>238.61</v>
      </c>
      <c r="Q2113" t="s">
        <v>113</v>
      </c>
      <c r="R2113">
        <v>0.51980219588706866</v>
      </c>
      <c r="S2113">
        <v>2025</v>
      </c>
      <c r="T2113" t="s">
        <v>1671</v>
      </c>
      <c r="U2113">
        <v>9</v>
      </c>
      <c r="V2113" t="s">
        <v>1385</v>
      </c>
    </row>
    <row r="2114" spans="1:22" x14ac:dyDescent="0.3">
      <c r="A2114" t="s">
        <v>3132</v>
      </c>
      <c r="B2114" s="1">
        <v>45906</v>
      </c>
      <c r="C2114" t="s">
        <v>1040</v>
      </c>
      <c r="D2114" t="s">
        <v>99</v>
      </c>
      <c r="E2114" t="s">
        <v>25</v>
      </c>
      <c r="F2114" t="s">
        <v>26</v>
      </c>
      <c r="G2114" t="s">
        <v>171</v>
      </c>
      <c r="H2114" t="s">
        <v>64</v>
      </c>
      <c r="I2114" t="s">
        <v>65</v>
      </c>
      <c r="J2114" t="s">
        <v>66</v>
      </c>
      <c r="K2114">
        <v>1</v>
      </c>
      <c r="L2114">
        <v>4844.5200000000004</v>
      </c>
      <c r="M2114">
        <v>0.05</v>
      </c>
      <c r="N2114">
        <v>4602.29</v>
      </c>
      <c r="O2114">
        <v>2950.4</v>
      </c>
      <c r="P2114">
        <v>1651.89</v>
      </c>
      <c r="Q2114" t="s">
        <v>31</v>
      </c>
      <c r="R2114">
        <v>0.35892783809799039</v>
      </c>
      <c r="S2114">
        <v>2025</v>
      </c>
      <c r="T2114" t="s">
        <v>1671</v>
      </c>
      <c r="U2114">
        <v>9</v>
      </c>
      <c r="V2114" t="s">
        <v>1385</v>
      </c>
    </row>
    <row r="2115" spans="1:22" x14ac:dyDescent="0.3">
      <c r="A2115" t="s">
        <v>3133</v>
      </c>
      <c r="B2115" s="1">
        <v>45907</v>
      </c>
      <c r="C2115" t="s">
        <v>1721</v>
      </c>
      <c r="D2115" t="s">
        <v>398</v>
      </c>
      <c r="E2115" t="s">
        <v>25</v>
      </c>
      <c r="F2115" t="s">
        <v>26</v>
      </c>
      <c r="G2115" t="s">
        <v>260</v>
      </c>
      <c r="H2115" t="s">
        <v>28</v>
      </c>
      <c r="I2115" t="s">
        <v>29</v>
      </c>
      <c r="J2115" t="s">
        <v>30</v>
      </c>
      <c r="K2115">
        <v>2</v>
      </c>
      <c r="L2115">
        <v>57937.01</v>
      </c>
      <c r="M2115">
        <v>0</v>
      </c>
      <c r="N2115">
        <v>115874.02</v>
      </c>
      <c r="O2115">
        <v>103741.86</v>
      </c>
      <c r="P2115">
        <v>12132.16</v>
      </c>
      <c r="Q2115" t="s">
        <v>53</v>
      </c>
      <c r="R2115">
        <v>0.1047012954241166</v>
      </c>
      <c r="S2115">
        <v>2025</v>
      </c>
      <c r="T2115" t="s">
        <v>1671</v>
      </c>
      <c r="U2115">
        <v>9</v>
      </c>
      <c r="V2115" t="s">
        <v>1385</v>
      </c>
    </row>
    <row r="2116" spans="1:22" x14ac:dyDescent="0.3">
      <c r="A2116" t="s">
        <v>3134</v>
      </c>
      <c r="B2116" s="1">
        <v>45907</v>
      </c>
      <c r="C2116" t="s">
        <v>1300</v>
      </c>
      <c r="D2116" t="s">
        <v>339</v>
      </c>
      <c r="E2116" t="s">
        <v>61</v>
      </c>
      <c r="F2116" t="s">
        <v>78</v>
      </c>
      <c r="G2116" t="s">
        <v>104</v>
      </c>
      <c r="H2116" t="s">
        <v>43</v>
      </c>
      <c r="I2116" t="s">
        <v>44</v>
      </c>
      <c r="J2116" t="s">
        <v>45</v>
      </c>
      <c r="K2116">
        <v>5</v>
      </c>
      <c r="L2116">
        <v>257.83999999999997</v>
      </c>
      <c r="M2116">
        <v>0</v>
      </c>
      <c r="N2116">
        <v>1289.2</v>
      </c>
      <c r="O2116">
        <v>491.69</v>
      </c>
      <c r="P2116">
        <v>797.51</v>
      </c>
      <c r="Q2116" t="s">
        <v>67</v>
      </c>
      <c r="R2116">
        <v>0.61860843934222776</v>
      </c>
      <c r="S2116">
        <v>2025</v>
      </c>
      <c r="T2116" t="s">
        <v>1671</v>
      </c>
      <c r="U2116">
        <v>9</v>
      </c>
      <c r="V2116" t="s">
        <v>1385</v>
      </c>
    </row>
    <row r="2117" spans="1:22" x14ac:dyDescent="0.3">
      <c r="A2117" t="s">
        <v>3135</v>
      </c>
      <c r="B2117" s="1">
        <v>45907</v>
      </c>
      <c r="C2117" t="s">
        <v>1492</v>
      </c>
      <c r="D2117" t="s">
        <v>773</v>
      </c>
      <c r="E2117" t="s">
        <v>61</v>
      </c>
      <c r="F2117" t="s">
        <v>78</v>
      </c>
      <c r="G2117" t="s">
        <v>216</v>
      </c>
      <c r="H2117" t="s">
        <v>84</v>
      </c>
      <c r="I2117" t="s">
        <v>85</v>
      </c>
      <c r="J2117" t="s">
        <v>86</v>
      </c>
      <c r="K2117">
        <v>1</v>
      </c>
      <c r="L2117">
        <v>1763.19</v>
      </c>
      <c r="M2117">
        <v>0.05</v>
      </c>
      <c r="N2117">
        <v>1675.03</v>
      </c>
      <c r="O2117">
        <v>927.21</v>
      </c>
      <c r="P2117">
        <v>747.82</v>
      </c>
      <c r="Q2117" t="s">
        <v>31</v>
      </c>
      <c r="R2117">
        <v>0.44645170534259088</v>
      </c>
      <c r="S2117">
        <v>2025</v>
      </c>
      <c r="T2117" t="s">
        <v>1671</v>
      </c>
      <c r="U2117">
        <v>9</v>
      </c>
      <c r="V2117" t="s">
        <v>1385</v>
      </c>
    </row>
    <row r="2118" spans="1:22" x14ac:dyDescent="0.3">
      <c r="A2118" t="s">
        <v>3136</v>
      </c>
      <c r="B2118" s="1">
        <v>45907</v>
      </c>
      <c r="C2118" t="s">
        <v>1488</v>
      </c>
      <c r="D2118" t="s">
        <v>1232</v>
      </c>
      <c r="E2118" t="s">
        <v>61</v>
      </c>
      <c r="F2118" t="s">
        <v>62</v>
      </c>
      <c r="G2118" t="s">
        <v>228</v>
      </c>
      <c r="H2118" t="s">
        <v>43</v>
      </c>
      <c r="I2118" t="s">
        <v>44</v>
      </c>
      <c r="J2118" t="s">
        <v>248</v>
      </c>
      <c r="K2118">
        <v>3</v>
      </c>
      <c r="L2118">
        <v>289.74</v>
      </c>
      <c r="M2118">
        <v>0.1</v>
      </c>
      <c r="N2118">
        <v>782.3</v>
      </c>
      <c r="O2118">
        <v>351.61</v>
      </c>
      <c r="P2118">
        <v>430.69</v>
      </c>
      <c r="Q2118" t="s">
        <v>67</v>
      </c>
      <c r="R2118">
        <v>0.55054326984532787</v>
      </c>
      <c r="S2118">
        <v>2025</v>
      </c>
      <c r="T2118" t="s">
        <v>1671</v>
      </c>
      <c r="U2118">
        <v>9</v>
      </c>
      <c r="V2118" t="s">
        <v>1385</v>
      </c>
    </row>
    <row r="2119" spans="1:22" x14ac:dyDescent="0.3">
      <c r="A2119" t="s">
        <v>3137</v>
      </c>
      <c r="B2119" s="1">
        <v>45908</v>
      </c>
      <c r="C2119" t="s">
        <v>598</v>
      </c>
      <c r="D2119" t="s">
        <v>285</v>
      </c>
      <c r="E2119" t="s">
        <v>61</v>
      </c>
      <c r="F2119" t="s">
        <v>62</v>
      </c>
      <c r="G2119" t="s">
        <v>90</v>
      </c>
      <c r="H2119" t="s">
        <v>84</v>
      </c>
      <c r="I2119" t="s">
        <v>85</v>
      </c>
      <c r="J2119" t="s">
        <v>86</v>
      </c>
      <c r="K2119">
        <v>3</v>
      </c>
      <c r="L2119">
        <v>1835.74</v>
      </c>
      <c r="M2119">
        <v>0.1</v>
      </c>
      <c r="N2119">
        <v>4956.5</v>
      </c>
      <c r="O2119">
        <v>3036.45</v>
      </c>
      <c r="P2119">
        <v>1920.05</v>
      </c>
      <c r="Q2119" t="s">
        <v>53</v>
      </c>
      <c r="R2119">
        <v>0.38738020780792898</v>
      </c>
      <c r="S2119">
        <v>2025</v>
      </c>
      <c r="T2119" t="s">
        <v>1671</v>
      </c>
      <c r="U2119">
        <v>9</v>
      </c>
      <c r="V2119" t="s">
        <v>1385</v>
      </c>
    </row>
    <row r="2120" spans="1:22" x14ac:dyDescent="0.3">
      <c r="A2120" t="s">
        <v>3138</v>
      </c>
      <c r="B2120" s="1">
        <v>45908</v>
      </c>
      <c r="C2120" t="s">
        <v>362</v>
      </c>
      <c r="D2120" t="s">
        <v>1108</v>
      </c>
      <c r="E2120" t="s">
        <v>61</v>
      </c>
      <c r="F2120" t="s">
        <v>78</v>
      </c>
      <c r="G2120" t="s">
        <v>216</v>
      </c>
      <c r="H2120" t="s">
        <v>64</v>
      </c>
      <c r="I2120" t="s">
        <v>108</v>
      </c>
      <c r="J2120" t="s">
        <v>155</v>
      </c>
      <c r="K2120">
        <v>2</v>
      </c>
      <c r="L2120">
        <v>8045.39</v>
      </c>
      <c r="M2120">
        <v>0.05</v>
      </c>
      <c r="N2120">
        <v>15286.24</v>
      </c>
      <c r="O2120">
        <v>10560.63</v>
      </c>
      <c r="P2120">
        <v>4725.6099999999997</v>
      </c>
      <c r="Q2120" t="s">
        <v>67</v>
      </c>
      <c r="R2120">
        <v>0.30914142392112121</v>
      </c>
      <c r="S2120">
        <v>2025</v>
      </c>
      <c r="T2120" t="s">
        <v>1671</v>
      </c>
      <c r="U2120">
        <v>9</v>
      </c>
      <c r="V2120" t="s">
        <v>1385</v>
      </c>
    </row>
    <row r="2121" spans="1:22" x14ac:dyDescent="0.3">
      <c r="A2121" t="s">
        <v>3139</v>
      </c>
      <c r="B2121" s="1">
        <v>45908</v>
      </c>
      <c r="C2121" t="s">
        <v>1871</v>
      </c>
      <c r="D2121" t="s">
        <v>1647</v>
      </c>
      <c r="E2121" t="s">
        <v>61</v>
      </c>
      <c r="F2121" t="s">
        <v>78</v>
      </c>
      <c r="G2121" t="s">
        <v>216</v>
      </c>
      <c r="H2121" t="s">
        <v>28</v>
      </c>
      <c r="I2121" t="s">
        <v>91</v>
      </c>
      <c r="J2121" t="s">
        <v>92</v>
      </c>
      <c r="K2121">
        <v>2</v>
      </c>
      <c r="L2121">
        <v>3092.5</v>
      </c>
      <c r="M2121">
        <v>0.1</v>
      </c>
      <c r="N2121">
        <v>5566.5</v>
      </c>
      <c r="O2121">
        <v>3339.12</v>
      </c>
      <c r="P2121">
        <v>2227.38</v>
      </c>
      <c r="Q2121" t="s">
        <v>46</v>
      </c>
      <c r="R2121">
        <v>0.40014012395580711</v>
      </c>
      <c r="S2121">
        <v>2025</v>
      </c>
      <c r="T2121" t="s">
        <v>1671</v>
      </c>
      <c r="U2121">
        <v>9</v>
      </c>
      <c r="V2121" t="s">
        <v>1385</v>
      </c>
    </row>
    <row r="2122" spans="1:22" x14ac:dyDescent="0.3">
      <c r="A2122" t="s">
        <v>3140</v>
      </c>
      <c r="B2122" s="1">
        <v>45908</v>
      </c>
      <c r="C2122" t="s">
        <v>250</v>
      </c>
      <c r="D2122" t="s">
        <v>683</v>
      </c>
      <c r="E2122" t="s">
        <v>25</v>
      </c>
      <c r="F2122" t="s">
        <v>26</v>
      </c>
      <c r="G2122" t="s">
        <v>27</v>
      </c>
      <c r="H2122" t="s">
        <v>43</v>
      </c>
      <c r="I2122" t="s">
        <v>51</v>
      </c>
      <c r="J2122" t="s">
        <v>52</v>
      </c>
      <c r="K2122">
        <v>4</v>
      </c>
      <c r="L2122">
        <v>717.36</v>
      </c>
      <c r="M2122">
        <v>0.05</v>
      </c>
      <c r="N2122">
        <v>2725.97</v>
      </c>
      <c r="O2122">
        <v>1356.99</v>
      </c>
      <c r="P2122">
        <v>1368.98</v>
      </c>
      <c r="Q2122" t="s">
        <v>53</v>
      </c>
      <c r="R2122">
        <v>0.50219921715939653</v>
      </c>
      <c r="S2122">
        <v>2025</v>
      </c>
      <c r="T2122" t="s">
        <v>1671</v>
      </c>
      <c r="U2122">
        <v>9</v>
      </c>
      <c r="V2122" t="s">
        <v>1385</v>
      </c>
    </row>
    <row r="2123" spans="1:22" x14ac:dyDescent="0.3">
      <c r="A2123" t="s">
        <v>3141</v>
      </c>
      <c r="B2123" s="1">
        <v>45908</v>
      </c>
      <c r="C2123" t="s">
        <v>169</v>
      </c>
      <c r="D2123" t="s">
        <v>649</v>
      </c>
      <c r="E2123" t="s">
        <v>61</v>
      </c>
      <c r="F2123" t="s">
        <v>78</v>
      </c>
      <c r="G2123" t="s">
        <v>104</v>
      </c>
      <c r="H2123" t="s">
        <v>64</v>
      </c>
      <c r="I2123" t="s">
        <v>65</v>
      </c>
      <c r="J2123" t="s">
        <v>66</v>
      </c>
      <c r="K2123">
        <v>3</v>
      </c>
      <c r="L2123">
        <v>4709.43</v>
      </c>
      <c r="M2123">
        <v>0.1</v>
      </c>
      <c r="N2123">
        <v>12715.46</v>
      </c>
      <c r="O2123">
        <v>8400.57</v>
      </c>
      <c r="P2123">
        <v>4314.8900000000003</v>
      </c>
      <c r="Q2123" t="s">
        <v>31</v>
      </c>
      <c r="R2123">
        <v>0.33934202930920321</v>
      </c>
      <c r="S2123">
        <v>2025</v>
      </c>
      <c r="T2123" t="s">
        <v>1671</v>
      </c>
      <c r="U2123">
        <v>9</v>
      </c>
      <c r="V2123" t="s">
        <v>1385</v>
      </c>
    </row>
    <row r="2124" spans="1:22" x14ac:dyDescent="0.3">
      <c r="A2124" t="s">
        <v>3142</v>
      </c>
      <c r="B2124" s="1">
        <v>45908</v>
      </c>
      <c r="C2124" t="s">
        <v>461</v>
      </c>
      <c r="D2124" t="s">
        <v>1396</v>
      </c>
      <c r="E2124" t="s">
        <v>120</v>
      </c>
      <c r="F2124" t="s">
        <v>121</v>
      </c>
      <c r="G2124" t="s">
        <v>224</v>
      </c>
      <c r="H2124" t="s">
        <v>43</v>
      </c>
      <c r="I2124" t="s">
        <v>44</v>
      </c>
      <c r="J2124" t="s">
        <v>248</v>
      </c>
      <c r="K2124">
        <v>2</v>
      </c>
      <c r="L2124">
        <v>295.33</v>
      </c>
      <c r="M2124">
        <v>0.05</v>
      </c>
      <c r="N2124">
        <v>561.13</v>
      </c>
      <c r="O2124">
        <v>244.8</v>
      </c>
      <c r="P2124">
        <v>316.33</v>
      </c>
      <c r="Q2124" t="s">
        <v>53</v>
      </c>
      <c r="R2124">
        <v>0.5637374583429865</v>
      </c>
      <c r="S2124">
        <v>2025</v>
      </c>
      <c r="T2124" t="s">
        <v>1671</v>
      </c>
      <c r="U2124">
        <v>9</v>
      </c>
      <c r="V2124" t="s">
        <v>1385</v>
      </c>
    </row>
    <row r="2125" spans="1:22" x14ac:dyDescent="0.3">
      <c r="A2125" t="s">
        <v>3143</v>
      </c>
      <c r="B2125" s="1">
        <v>45909</v>
      </c>
      <c r="C2125" t="s">
        <v>1316</v>
      </c>
      <c r="D2125" t="s">
        <v>707</v>
      </c>
      <c r="E2125" t="s">
        <v>61</v>
      </c>
      <c r="F2125" t="s">
        <v>71</v>
      </c>
      <c r="G2125" t="s">
        <v>317</v>
      </c>
      <c r="H2125" t="s">
        <v>43</v>
      </c>
      <c r="I2125" t="s">
        <v>44</v>
      </c>
      <c r="J2125" t="s">
        <v>45</v>
      </c>
      <c r="K2125">
        <v>2</v>
      </c>
      <c r="L2125">
        <v>256.04000000000002</v>
      </c>
      <c r="M2125">
        <v>0.05</v>
      </c>
      <c r="N2125">
        <v>486.48</v>
      </c>
      <c r="O2125">
        <v>197.41</v>
      </c>
      <c r="P2125">
        <v>289.07</v>
      </c>
      <c r="Q2125" t="s">
        <v>31</v>
      </c>
      <c r="R2125">
        <v>0.59420736720934053</v>
      </c>
      <c r="S2125">
        <v>2025</v>
      </c>
      <c r="T2125" t="s">
        <v>1671</v>
      </c>
      <c r="U2125">
        <v>9</v>
      </c>
      <c r="V2125" t="s">
        <v>1385</v>
      </c>
    </row>
    <row r="2126" spans="1:22" x14ac:dyDescent="0.3">
      <c r="A2126" t="s">
        <v>3144</v>
      </c>
      <c r="B2126" s="1">
        <v>45909</v>
      </c>
      <c r="C2126" t="s">
        <v>826</v>
      </c>
      <c r="D2126" t="s">
        <v>789</v>
      </c>
      <c r="E2126" t="s">
        <v>25</v>
      </c>
      <c r="F2126" t="s">
        <v>26</v>
      </c>
      <c r="G2126" t="s">
        <v>37</v>
      </c>
      <c r="H2126" t="s">
        <v>28</v>
      </c>
      <c r="I2126" t="s">
        <v>29</v>
      </c>
      <c r="J2126" t="s">
        <v>57</v>
      </c>
      <c r="K2126">
        <v>3</v>
      </c>
      <c r="L2126">
        <v>16921.87</v>
      </c>
      <c r="M2126">
        <v>0</v>
      </c>
      <c r="N2126">
        <v>50765.61</v>
      </c>
      <c r="O2126">
        <v>36619.870000000003</v>
      </c>
      <c r="P2126">
        <v>14145.74</v>
      </c>
      <c r="Q2126" t="s">
        <v>46</v>
      </c>
      <c r="R2126">
        <v>0.27864808479598691</v>
      </c>
      <c r="S2126">
        <v>2025</v>
      </c>
      <c r="T2126" t="s">
        <v>1671</v>
      </c>
      <c r="U2126">
        <v>9</v>
      </c>
      <c r="V2126" t="s">
        <v>1385</v>
      </c>
    </row>
    <row r="2127" spans="1:22" x14ac:dyDescent="0.3">
      <c r="A2127" t="s">
        <v>3145</v>
      </c>
      <c r="B2127" s="1">
        <v>45910</v>
      </c>
      <c r="C2127" t="s">
        <v>656</v>
      </c>
      <c r="D2127" t="s">
        <v>393</v>
      </c>
      <c r="E2127" t="s">
        <v>25</v>
      </c>
      <c r="F2127" t="s">
        <v>26</v>
      </c>
      <c r="G2127" t="s">
        <v>27</v>
      </c>
      <c r="H2127" t="s">
        <v>84</v>
      </c>
      <c r="I2127" t="s">
        <v>138</v>
      </c>
      <c r="J2127" t="s">
        <v>220</v>
      </c>
      <c r="K2127">
        <v>2</v>
      </c>
      <c r="L2127">
        <v>7436.96</v>
      </c>
      <c r="M2127">
        <v>0.15</v>
      </c>
      <c r="N2127">
        <v>12642.83</v>
      </c>
      <c r="O2127">
        <v>9866.4699999999993</v>
      </c>
      <c r="P2127">
        <v>2776.36</v>
      </c>
      <c r="Q2127" t="s">
        <v>31</v>
      </c>
      <c r="R2127">
        <v>0.21959956750189641</v>
      </c>
      <c r="S2127">
        <v>2025</v>
      </c>
      <c r="T2127" t="s">
        <v>1671</v>
      </c>
      <c r="U2127">
        <v>9</v>
      </c>
      <c r="V2127" t="s">
        <v>1385</v>
      </c>
    </row>
    <row r="2128" spans="1:22" x14ac:dyDescent="0.3">
      <c r="A2128" t="s">
        <v>3146</v>
      </c>
      <c r="B2128" s="1">
        <v>45910</v>
      </c>
      <c r="C2128" t="s">
        <v>59</v>
      </c>
      <c r="D2128" t="s">
        <v>1002</v>
      </c>
      <c r="E2128" t="s">
        <v>25</v>
      </c>
      <c r="F2128" t="s">
        <v>26</v>
      </c>
      <c r="G2128" t="s">
        <v>37</v>
      </c>
      <c r="H2128" t="s">
        <v>64</v>
      </c>
      <c r="I2128" t="s">
        <v>108</v>
      </c>
      <c r="J2128" t="s">
        <v>155</v>
      </c>
      <c r="K2128">
        <v>2</v>
      </c>
      <c r="L2128">
        <v>8051.44</v>
      </c>
      <c r="M2128">
        <v>0.15</v>
      </c>
      <c r="N2128">
        <v>13687.45</v>
      </c>
      <c r="O2128">
        <v>10609.24</v>
      </c>
      <c r="P2128">
        <v>3078.21</v>
      </c>
      <c r="Q2128" t="s">
        <v>113</v>
      </c>
      <c r="R2128">
        <v>0.22489287632100941</v>
      </c>
      <c r="S2128">
        <v>2025</v>
      </c>
      <c r="T2128" t="s">
        <v>1671</v>
      </c>
      <c r="U2128">
        <v>9</v>
      </c>
      <c r="V2128" t="s">
        <v>1385</v>
      </c>
    </row>
    <row r="2129" spans="1:22" x14ac:dyDescent="0.3">
      <c r="A2129" t="s">
        <v>3147</v>
      </c>
      <c r="B2129" s="1">
        <v>45910</v>
      </c>
      <c r="C2129" t="s">
        <v>3148</v>
      </c>
      <c r="D2129" t="s">
        <v>1098</v>
      </c>
      <c r="E2129" t="s">
        <v>61</v>
      </c>
      <c r="F2129" t="s">
        <v>62</v>
      </c>
      <c r="G2129" t="s">
        <v>134</v>
      </c>
      <c r="H2129" t="s">
        <v>28</v>
      </c>
      <c r="I2129" t="s">
        <v>73</v>
      </c>
      <c r="J2129" t="s">
        <v>74</v>
      </c>
      <c r="K2129">
        <v>5</v>
      </c>
      <c r="L2129">
        <v>2369.64</v>
      </c>
      <c r="M2129">
        <v>0.1</v>
      </c>
      <c r="N2129">
        <v>10663.38</v>
      </c>
      <c r="O2129">
        <v>6616.52</v>
      </c>
      <c r="P2129">
        <v>4046.86</v>
      </c>
      <c r="Q2129" t="s">
        <v>113</v>
      </c>
      <c r="R2129">
        <v>0.37951006153771127</v>
      </c>
      <c r="S2129">
        <v>2025</v>
      </c>
      <c r="T2129" t="s">
        <v>1671</v>
      </c>
      <c r="U2129">
        <v>9</v>
      </c>
      <c r="V2129" t="s">
        <v>1385</v>
      </c>
    </row>
    <row r="2130" spans="1:22" x14ac:dyDescent="0.3">
      <c r="A2130" t="s">
        <v>3149</v>
      </c>
      <c r="B2130" s="1">
        <v>45910</v>
      </c>
      <c r="C2130" t="s">
        <v>1395</v>
      </c>
      <c r="D2130" t="s">
        <v>644</v>
      </c>
      <c r="E2130" t="s">
        <v>61</v>
      </c>
      <c r="F2130" t="s">
        <v>71</v>
      </c>
      <c r="G2130" t="s">
        <v>201</v>
      </c>
      <c r="H2130" t="s">
        <v>84</v>
      </c>
      <c r="I2130" t="s">
        <v>138</v>
      </c>
      <c r="J2130" t="s">
        <v>220</v>
      </c>
      <c r="K2130">
        <v>2</v>
      </c>
      <c r="L2130">
        <v>7690.57</v>
      </c>
      <c r="M2130">
        <v>0.05</v>
      </c>
      <c r="N2130">
        <v>14612.08</v>
      </c>
      <c r="O2130">
        <v>9998.2000000000007</v>
      </c>
      <c r="P2130">
        <v>4613.88</v>
      </c>
      <c r="Q2130" t="s">
        <v>46</v>
      </c>
      <c r="R2130">
        <v>0.31575792084357601</v>
      </c>
      <c r="S2130">
        <v>2025</v>
      </c>
      <c r="T2130" t="s">
        <v>1671</v>
      </c>
      <c r="U2130">
        <v>9</v>
      </c>
      <c r="V2130" t="s">
        <v>1385</v>
      </c>
    </row>
    <row r="2131" spans="1:22" x14ac:dyDescent="0.3">
      <c r="A2131" t="s">
        <v>3150</v>
      </c>
      <c r="B2131" s="1">
        <v>45910</v>
      </c>
      <c r="C2131" t="s">
        <v>368</v>
      </c>
      <c r="D2131" t="s">
        <v>876</v>
      </c>
      <c r="E2131" t="s">
        <v>25</v>
      </c>
      <c r="F2131" t="s">
        <v>26</v>
      </c>
      <c r="G2131" t="s">
        <v>260</v>
      </c>
      <c r="H2131" t="s">
        <v>84</v>
      </c>
      <c r="I2131" t="s">
        <v>138</v>
      </c>
      <c r="J2131" t="s">
        <v>220</v>
      </c>
      <c r="K2131">
        <v>2</v>
      </c>
      <c r="L2131">
        <v>7400.18</v>
      </c>
      <c r="M2131">
        <v>0.15</v>
      </c>
      <c r="N2131">
        <v>12580.31</v>
      </c>
      <c r="O2131">
        <v>9872.24</v>
      </c>
      <c r="P2131">
        <v>2708.07</v>
      </c>
      <c r="Q2131" t="s">
        <v>31</v>
      </c>
      <c r="R2131">
        <v>0.21526258096978529</v>
      </c>
      <c r="S2131">
        <v>2025</v>
      </c>
      <c r="T2131" t="s">
        <v>1671</v>
      </c>
      <c r="U2131">
        <v>9</v>
      </c>
      <c r="V2131" t="s">
        <v>1385</v>
      </c>
    </row>
    <row r="2132" spans="1:22" x14ac:dyDescent="0.3">
      <c r="A2132" t="s">
        <v>3151</v>
      </c>
      <c r="B2132" s="1">
        <v>45911</v>
      </c>
      <c r="C2132" t="s">
        <v>377</v>
      </c>
      <c r="D2132" t="s">
        <v>888</v>
      </c>
      <c r="E2132" t="s">
        <v>61</v>
      </c>
      <c r="F2132" t="s">
        <v>71</v>
      </c>
      <c r="G2132" t="s">
        <v>317</v>
      </c>
      <c r="H2132" t="s">
        <v>28</v>
      </c>
      <c r="I2132" t="s">
        <v>91</v>
      </c>
      <c r="J2132" t="s">
        <v>126</v>
      </c>
      <c r="K2132">
        <v>6</v>
      </c>
      <c r="L2132">
        <v>1943.09</v>
      </c>
      <c r="M2132">
        <v>0.1</v>
      </c>
      <c r="N2132">
        <v>10492.69</v>
      </c>
      <c r="O2132">
        <v>6692.43</v>
      </c>
      <c r="P2132">
        <v>3800.26</v>
      </c>
      <c r="Q2132" t="s">
        <v>67</v>
      </c>
      <c r="R2132">
        <v>0.36218167123969158</v>
      </c>
      <c r="S2132">
        <v>2025</v>
      </c>
      <c r="T2132" t="s">
        <v>1671</v>
      </c>
      <c r="U2132">
        <v>9</v>
      </c>
      <c r="V2132" t="s">
        <v>1385</v>
      </c>
    </row>
    <row r="2133" spans="1:22" x14ac:dyDescent="0.3">
      <c r="A2133" t="s">
        <v>3152</v>
      </c>
      <c r="B2133" s="1">
        <v>45911</v>
      </c>
      <c r="C2133" t="s">
        <v>719</v>
      </c>
      <c r="D2133" t="s">
        <v>1435</v>
      </c>
      <c r="E2133" t="s">
        <v>61</v>
      </c>
      <c r="F2133" t="s">
        <v>78</v>
      </c>
      <c r="G2133" t="s">
        <v>216</v>
      </c>
      <c r="H2133" t="s">
        <v>28</v>
      </c>
      <c r="I2133" t="s">
        <v>29</v>
      </c>
      <c r="J2133" t="s">
        <v>30</v>
      </c>
      <c r="K2133">
        <v>1</v>
      </c>
      <c r="L2133">
        <v>55515.34</v>
      </c>
      <c r="M2133">
        <v>0.15</v>
      </c>
      <c r="N2133">
        <v>47188.04</v>
      </c>
      <c r="O2133">
        <v>49753.04</v>
      </c>
      <c r="P2133">
        <v>-2565</v>
      </c>
      <c r="Q2133" t="s">
        <v>31</v>
      </c>
      <c r="R2133">
        <v>-5.4356993848441247E-2</v>
      </c>
      <c r="S2133">
        <v>2025</v>
      </c>
      <c r="T2133" t="s">
        <v>1671</v>
      </c>
      <c r="U2133">
        <v>9</v>
      </c>
      <c r="V2133" t="s">
        <v>1385</v>
      </c>
    </row>
    <row r="2134" spans="1:22" x14ac:dyDescent="0.3">
      <c r="A2134" t="s">
        <v>3153</v>
      </c>
      <c r="B2134" s="1">
        <v>45911</v>
      </c>
      <c r="C2134" t="s">
        <v>173</v>
      </c>
      <c r="D2134" t="s">
        <v>957</v>
      </c>
      <c r="E2134" t="s">
        <v>25</v>
      </c>
      <c r="F2134" t="s">
        <v>26</v>
      </c>
      <c r="G2134" t="s">
        <v>260</v>
      </c>
      <c r="H2134" t="s">
        <v>43</v>
      </c>
      <c r="I2134" t="s">
        <v>44</v>
      </c>
      <c r="J2134" t="s">
        <v>45</v>
      </c>
      <c r="K2134">
        <v>3</v>
      </c>
      <c r="L2134">
        <v>245.03</v>
      </c>
      <c r="M2134">
        <v>0</v>
      </c>
      <c r="N2134">
        <v>735.09</v>
      </c>
      <c r="O2134">
        <v>280.51</v>
      </c>
      <c r="P2134">
        <v>454.58</v>
      </c>
      <c r="Q2134" t="s">
        <v>46</v>
      </c>
      <c r="R2134">
        <v>0.61840046796990844</v>
      </c>
      <c r="S2134">
        <v>2025</v>
      </c>
      <c r="T2134" t="s">
        <v>1671</v>
      </c>
      <c r="U2134">
        <v>9</v>
      </c>
      <c r="V2134" t="s">
        <v>1385</v>
      </c>
    </row>
    <row r="2135" spans="1:22" x14ac:dyDescent="0.3">
      <c r="A2135" t="s">
        <v>3154</v>
      </c>
      <c r="B2135" s="1">
        <v>45911</v>
      </c>
      <c r="C2135" t="s">
        <v>1012</v>
      </c>
      <c r="D2135" t="s">
        <v>1795</v>
      </c>
      <c r="E2135" t="s">
        <v>61</v>
      </c>
      <c r="F2135" t="s">
        <v>71</v>
      </c>
      <c r="G2135" t="s">
        <v>72</v>
      </c>
      <c r="H2135" t="s">
        <v>43</v>
      </c>
      <c r="I2135" t="s">
        <v>44</v>
      </c>
      <c r="J2135" t="s">
        <v>45</v>
      </c>
      <c r="K2135">
        <v>3</v>
      </c>
      <c r="L2135">
        <v>263.42</v>
      </c>
      <c r="M2135">
        <v>0</v>
      </c>
      <c r="N2135">
        <v>790.26</v>
      </c>
      <c r="O2135">
        <v>310.93</v>
      </c>
      <c r="P2135">
        <v>479.33</v>
      </c>
      <c r="Q2135" t="s">
        <v>46</v>
      </c>
      <c r="R2135">
        <v>0.60654721230987274</v>
      </c>
      <c r="S2135">
        <v>2025</v>
      </c>
      <c r="T2135" t="s">
        <v>1671</v>
      </c>
      <c r="U2135">
        <v>9</v>
      </c>
      <c r="V2135" t="s">
        <v>1385</v>
      </c>
    </row>
    <row r="2136" spans="1:22" x14ac:dyDescent="0.3">
      <c r="A2136" t="s">
        <v>3155</v>
      </c>
      <c r="B2136" s="1">
        <v>45912</v>
      </c>
      <c r="C2136" t="s">
        <v>1716</v>
      </c>
      <c r="D2136" t="s">
        <v>929</v>
      </c>
      <c r="E2136" t="s">
        <v>61</v>
      </c>
      <c r="F2136" t="s">
        <v>71</v>
      </c>
      <c r="G2136" t="s">
        <v>201</v>
      </c>
      <c r="H2136" t="s">
        <v>84</v>
      </c>
      <c r="I2136" t="s">
        <v>138</v>
      </c>
      <c r="J2136" t="s">
        <v>139</v>
      </c>
      <c r="K2136">
        <v>3</v>
      </c>
      <c r="L2136">
        <v>13050.04</v>
      </c>
      <c r="M2136">
        <v>0.15</v>
      </c>
      <c r="N2136">
        <v>33277.599999999999</v>
      </c>
      <c r="O2136">
        <v>28487.82</v>
      </c>
      <c r="P2136">
        <v>4789.78</v>
      </c>
      <c r="Q2136" t="s">
        <v>31</v>
      </c>
      <c r="R2136">
        <v>0.1439340577445489</v>
      </c>
      <c r="S2136">
        <v>2025</v>
      </c>
      <c r="T2136" t="s">
        <v>1671</v>
      </c>
      <c r="U2136">
        <v>9</v>
      </c>
      <c r="V2136" t="s">
        <v>1385</v>
      </c>
    </row>
    <row r="2137" spans="1:22" x14ac:dyDescent="0.3">
      <c r="A2137" t="s">
        <v>3156</v>
      </c>
      <c r="B2137" s="1">
        <v>45912</v>
      </c>
      <c r="C2137" t="s">
        <v>1025</v>
      </c>
      <c r="D2137" t="s">
        <v>200</v>
      </c>
      <c r="E2137" t="s">
        <v>61</v>
      </c>
      <c r="F2137" t="s">
        <v>62</v>
      </c>
      <c r="G2137" t="s">
        <v>134</v>
      </c>
      <c r="H2137" t="s">
        <v>43</v>
      </c>
      <c r="I2137" t="s">
        <v>44</v>
      </c>
      <c r="J2137" t="s">
        <v>248</v>
      </c>
      <c r="K2137">
        <v>2</v>
      </c>
      <c r="L2137">
        <v>285.38</v>
      </c>
      <c r="M2137">
        <v>0.15</v>
      </c>
      <c r="N2137">
        <v>485.15</v>
      </c>
      <c r="O2137">
        <v>230.67</v>
      </c>
      <c r="P2137">
        <v>254.48</v>
      </c>
      <c r="Q2137" t="s">
        <v>31</v>
      </c>
      <c r="R2137">
        <v>0.52453880243223749</v>
      </c>
      <c r="S2137">
        <v>2025</v>
      </c>
      <c r="T2137" t="s">
        <v>1671</v>
      </c>
      <c r="U2137">
        <v>9</v>
      </c>
      <c r="V2137" t="s">
        <v>1385</v>
      </c>
    </row>
    <row r="2138" spans="1:22" x14ac:dyDescent="0.3">
      <c r="A2138" t="s">
        <v>3157</v>
      </c>
      <c r="B2138" s="1">
        <v>45912</v>
      </c>
      <c r="C2138" t="s">
        <v>767</v>
      </c>
      <c r="D2138" t="s">
        <v>806</v>
      </c>
      <c r="E2138" t="s">
        <v>120</v>
      </c>
      <c r="F2138" t="s">
        <v>121</v>
      </c>
      <c r="G2138" t="s">
        <v>122</v>
      </c>
      <c r="H2138" t="s">
        <v>64</v>
      </c>
      <c r="I2138" t="s">
        <v>108</v>
      </c>
      <c r="J2138" t="s">
        <v>155</v>
      </c>
      <c r="K2138">
        <v>1</v>
      </c>
      <c r="L2138">
        <v>8435.61</v>
      </c>
      <c r="M2138">
        <v>0.05</v>
      </c>
      <c r="N2138">
        <v>8013.83</v>
      </c>
      <c r="O2138">
        <v>5940.74</v>
      </c>
      <c r="P2138">
        <v>2073.09</v>
      </c>
      <c r="Q2138" t="s">
        <v>53</v>
      </c>
      <c r="R2138">
        <v>0.2586890413198184</v>
      </c>
      <c r="S2138">
        <v>2025</v>
      </c>
      <c r="T2138" t="s">
        <v>1671</v>
      </c>
      <c r="U2138">
        <v>9</v>
      </c>
      <c r="V2138" t="s">
        <v>1385</v>
      </c>
    </row>
    <row r="2139" spans="1:22" x14ac:dyDescent="0.3">
      <c r="A2139" t="s">
        <v>3158</v>
      </c>
      <c r="B2139" s="1">
        <v>45912</v>
      </c>
      <c r="C2139" t="s">
        <v>927</v>
      </c>
      <c r="D2139" t="s">
        <v>285</v>
      </c>
      <c r="E2139" t="s">
        <v>41</v>
      </c>
      <c r="F2139" t="s">
        <v>42</v>
      </c>
      <c r="G2139" t="s">
        <v>50</v>
      </c>
      <c r="H2139" t="s">
        <v>64</v>
      </c>
      <c r="I2139" t="s">
        <v>108</v>
      </c>
      <c r="J2139" t="s">
        <v>109</v>
      </c>
      <c r="K2139">
        <v>1</v>
      </c>
      <c r="L2139">
        <v>6645.47</v>
      </c>
      <c r="M2139">
        <v>0.15</v>
      </c>
      <c r="N2139">
        <v>5648.65</v>
      </c>
      <c r="O2139">
        <v>4249.4399999999996</v>
      </c>
      <c r="P2139">
        <v>1399.21</v>
      </c>
      <c r="Q2139" t="s">
        <v>46</v>
      </c>
      <c r="R2139">
        <v>0.24770697423278129</v>
      </c>
      <c r="S2139">
        <v>2025</v>
      </c>
      <c r="T2139" t="s">
        <v>1671</v>
      </c>
      <c r="U2139">
        <v>9</v>
      </c>
      <c r="V2139" t="s">
        <v>1385</v>
      </c>
    </row>
    <row r="2140" spans="1:22" x14ac:dyDescent="0.3">
      <c r="A2140" t="s">
        <v>3159</v>
      </c>
      <c r="B2140" s="1">
        <v>45913</v>
      </c>
      <c r="C2140" t="s">
        <v>1428</v>
      </c>
      <c r="D2140" t="s">
        <v>1433</v>
      </c>
      <c r="E2140" t="s">
        <v>120</v>
      </c>
      <c r="F2140" t="s">
        <v>121</v>
      </c>
      <c r="G2140" t="s">
        <v>224</v>
      </c>
      <c r="H2140" t="s">
        <v>84</v>
      </c>
      <c r="I2140" t="s">
        <v>138</v>
      </c>
      <c r="J2140" t="s">
        <v>220</v>
      </c>
      <c r="K2140">
        <v>3</v>
      </c>
      <c r="L2140">
        <v>7700.75</v>
      </c>
      <c r="M2140">
        <v>0.1</v>
      </c>
      <c r="N2140">
        <v>20792.03</v>
      </c>
      <c r="O2140">
        <v>15234.37</v>
      </c>
      <c r="P2140">
        <v>5557.66</v>
      </c>
      <c r="Q2140" t="s">
        <v>46</v>
      </c>
      <c r="R2140">
        <v>0.26729761355673298</v>
      </c>
      <c r="S2140">
        <v>2025</v>
      </c>
      <c r="T2140" t="s">
        <v>1671</v>
      </c>
      <c r="U2140">
        <v>9</v>
      </c>
      <c r="V2140" t="s">
        <v>1385</v>
      </c>
    </row>
    <row r="2141" spans="1:22" x14ac:dyDescent="0.3">
      <c r="A2141" t="s">
        <v>3160</v>
      </c>
      <c r="B2141" s="1">
        <v>45913</v>
      </c>
      <c r="C2141" t="s">
        <v>309</v>
      </c>
      <c r="D2141" t="s">
        <v>527</v>
      </c>
      <c r="E2141" t="s">
        <v>61</v>
      </c>
      <c r="F2141" t="s">
        <v>71</v>
      </c>
      <c r="G2141" t="s">
        <v>72</v>
      </c>
      <c r="H2141" t="s">
        <v>64</v>
      </c>
      <c r="I2141" t="s">
        <v>65</v>
      </c>
      <c r="J2141" t="s">
        <v>232</v>
      </c>
      <c r="K2141">
        <v>2</v>
      </c>
      <c r="L2141">
        <v>4123.45</v>
      </c>
      <c r="M2141">
        <v>0.05</v>
      </c>
      <c r="N2141">
        <v>7834.55</v>
      </c>
      <c r="O2141">
        <v>5217.9799999999996</v>
      </c>
      <c r="P2141">
        <v>2616.5700000000002</v>
      </c>
      <c r="Q2141" t="s">
        <v>31</v>
      </c>
      <c r="R2141">
        <v>0.33397833953449779</v>
      </c>
      <c r="S2141">
        <v>2025</v>
      </c>
      <c r="T2141" t="s">
        <v>1671</v>
      </c>
      <c r="U2141">
        <v>9</v>
      </c>
      <c r="V2141" t="s">
        <v>1385</v>
      </c>
    </row>
    <row r="2142" spans="1:22" x14ac:dyDescent="0.3">
      <c r="A2142" t="s">
        <v>3161</v>
      </c>
      <c r="B2142" s="1">
        <v>45913</v>
      </c>
      <c r="C2142" t="s">
        <v>102</v>
      </c>
      <c r="D2142" t="s">
        <v>911</v>
      </c>
      <c r="E2142" t="s">
        <v>61</v>
      </c>
      <c r="F2142" t="s">
        <v>78</v>
      </c>
      <c r="G2142" t="s">
        <v>104</v>
      </c>
      <c r="H2142" t="s">
        <v>64</v>
      </c>
      <c r="I2142" t="s">
        <v>65</v>
      </c>
      <c r="J2142" t="s">
        <v>66</v>
      </c>
      <c r="K2142">
        <v>6</v>
      </c>
      <c r="L2142">
        <v>4871.16</v>
      </c>
      <c r="M2142">
        <v>0.05</v>
      </c>
      <c r="N2142">
        <v>27765.61</v>
      </c>
      <c r="O2142">
        <v>17472.490000000002</v>
      </c>
      <c r="P2142">
        <v>10293.120000000001</v>
      </c>
      <c r="Q2142" t="s">
        <v>67</v>
      </c>
      <c r="R2142">
        <v>0.37071470787063571</v>
      </c>
      <c r="S2142">
        <v>2025</v>
      </c>
      <c r="T2142" t="s">
        <v>1671</v>
      </c>
      <c r="U2142">
        <v>9</v>
      </c>
      <c r="V2142" t="s">
        <v>1385</v>
      </c>
    </row>
    <row r="2143" spans="1:22" x14ac:dyDescent="0.3">
      <c r="A2143" t="s">
        <v>3162</v>
      </c>
      <c r="B2143" s="1">
        <v>45914</v>
      </c>
      <c r="C2143" t="s">
        <v>1797</v>
      </c>
      <c r="D2143" t="s">
        <v>759</v>
      </c>
      <c r="E2143" t="s">
        <v>120</v>
      </c>
      <c r="F2143" t="s">
        <v>121</v>
      </c>
      <c r="G2143" t="s">
        <v>122</v>
      </c>
      <c r="H2143" t="s">
        <v>28</v>
      </c>
      <c r="I2143" t="s">
        <v>91</v>
      </c>
      <c r="J2143" t="s">
        <v>126</v>
      </c>
      <c r="K2143">
        <v>4</v>
      </c>
      <c r="L2143">
        <v>1973.41</v>
      </c>
      <c r="M2143">
        <v>0</v>
      </c>
      <c r="N2143">
        <v>7893.64</v>
      </c>
      <c r="O2143">
        <v>4714.1000000000004</v>
      </c>
      <c r="P2143">
        <v>3179.54</v>
      </c>
      <c r="Q2143" t="s">
        <v>53</v>
      </c>
      <c r="R2143">
        <v>0.40279769535980858</v>
      </c>
      <c r="S2143">
        <v>2025</v>
      </c>
      <c r="T2143" t="s">
        <v>1671</v>
      </c>
      <c r="U2143">
        <v>9</v>
      </c>
      <c r="V2143" t="s">
        <v>1385</v>
      </c>
    </row>
    <row r="2144" spans="1:22" x14ac:dyDescent="0.3">
      <c r="A2144" t="s">
        <v>3163</v>
      </c>
      <c r="B2144" s="1">
        <v>45914</v>
      </c>
      <c r="C2144" t="s">
        <v>968</v>
      </c>
      <c r="D2144" t="s">
        <v>390</v>
      </c>
      <c r="E2144" t="s">
        <v>61</v>
      </c>
      <c r="F2144" t="s">
        <v>71</v>
      </c>
      <c r="G2144" t="s">
        <v>72</v>
      </c>
      <c r="H2144" t="s">
        <v>28</v>
      </c>
      <c r="I2144" t="s">
        <v>29</v>
      </c>
      <c r="J2144" t="s">
        <v>30</v>
      </c>
      <c r="K2144">
        <v>1</v>
      </c>
      <c r="L2144">
        <v>57272.33</v>
      </c>
      <c r="M2144">
        <v>0.05</v>
      </c>
      <c r="N2144">
        <v>54408.71</v>
      </c>
      <c r="O2144">
        <v>50689.56</v>
      </c>
      <c r="P2144">
        <v>3719.15</v>
      </c>
      <c r="Q2144" t="s">
        <v>31</v>
      </c>
      <c r="R2144">
        <v>6.835578347657939E-2</v>
      </c>
      <c r="S2144">
        <v>2025</v>
      </c>
      <c r="T2144" t="s">
        <v>1671</v>
      </c>
      <c r="U2144">
        <v>9</v>
      </c>
      <c r="V2144" t="s">
        <v>1385</v>
      </c>
    </row>
    <row r="2145" spans="1:22" x14ac:dyDescent="0.3">
      <c r="A2145" t="s">
        <v>3164</v>
      </c>
      <c r="B2145" s="1">
        <v>45914</v>
      </c>
      <c r="C2145" t="s">
        <v>559</v>
      </c>
      <c r="D2145" t="s">
        <v>223</v>
      </c>
      <c r="E2145" t="s">
        <v>61</v>
      </c>
      <c r="F2145" t="s">
        <v>78</v>
      </c>
      <c r="G2145" t="s">
        <v>216</v>
      </c>
      <c r="H2145" t="s">
        <v>28</v>
      </c>
      <c r="I2145" t="s">
        <v>73</v>
      </c>
      <c r="J2145" t="s">
        <v>74</v>
      </c>
      <c r="K2145">
        <v>2</v>
      </c>
      <c r="L2145">
        <v>2627.92</v>
      </c>
      <c r="M2145">
        <v>0.1</v>
      </c>
      <c r="N2145">
        <v>4730.26</v>
      </c>
      <c r="O2145">
        <v>2952.55</v>
      </c>
      <c r="P2145">
        <v>1777.71</v>
      </c>
      <c r="Q2145" t="s">
        <v>113</v>
      </c>
      <c r="R2145">
        <v>0.37581655131007602</v>
      </c>
      <c r="S2145">
        <v>2025</v>
      </c>
      <c r="T2145" t="s">
        <v>1671</v>
      </c>
      <c r="U2145">
        <v>9</v>
      </c>
      <c r="V2145" t="s">
        <v>1385</v>
      </c>
    </row>
    <row r="2146" spans="1:22" x14ac:dyDescent="0.3">
      <c r="A2146" t="s">
        <v>3165</v>
      </c>
      <c r="B2146" s="1">
        <v>45914</v>
      </c>
      <c r="C2146" t="s">
        <v>432</v>
      </c>
      <c r="D2146" t="s">
        <v>944</v>
      </c>
      <c r="E2146" t="s">
        <v>61</v>
      </c>
      <c r="F2146" t="s">
        <v>78</v>
      </c>
      <c r="G2146" t="s">
        <v>104</v>
      </c>
      <c r="H2146" t="s">
        <v>64</v>
      </c>
      <c r="I2146" t="s">
        <v>108</v>
      </c>
      <c r="J2146" t="s">
        <v>109</v>
      </c>
      <c r="K2146">
        <v>3</v>
      </c>
      <c r="L2146">
        <v>6728.16</v>
      </c>
      <c r="M2146">
        <v>0.1</v>
      </c>
      <c r="N2146">
        <v>18166.03</v>
      </c>
      <c r="O2146">
        <v>12933.98</v>
      </c>
      <c r="P2146">
        <v>5232.05</v>
      </c>
      <c r="Q2146" t="s">
        <v>46</v>
      </c>
      <c r="R2146">
        <v>0.28801284595478488</v>
      </c>
      <c r="S2146">
        <v>2025</v>
      </c>
      <c r="T2146" t="s">
        <v>1671</v>
      </c>
      <c r="U2146">
        <v>9</v>
      </c>
      <c r="V2146" t="s">
        <v>1385</v>
      </c>
    </row>
    <row r="2147" spans="1:22" x14ac:dyDescent="0.3">
      <c r="A2147" t="s">
        <v>3166</v>
      </c>
      <c r="B2147" s="1">
        <v>45914</v>
      </c>
      <c r="C2147" t="s">
        <v>1996</v>
      </c>
      <c r="D2147" t="s">
        <v>675</v>
      </c>
      <c r="E2147" t="s">
        <v>61</v>
      </c>
      <c r="F2147" t="s">
        <v>71</v>
      </c>
      <c r="G2147" t="s">
        <v>100</v>
      </c>
      <c r="H2147" t="s">
        <v>43</v>
      </c>
      <c r="I2147" t="s">
        <v>44</v>
      </c>
      <c r="J2147" t="s">
        <v>248</v>
      </c>
      <c r="K2147">
        <v>2</v>
      </c>
      <c r="L2147">
        <v>301.33</v>
      </c>
      <c r="M2147">
        <v>0</v>
      </c>
      <c r="N2147">
        <v>602.66</v>
      </c>
      <c r="O2147">
        <v>253.88</v>
      </c>
      <c r="P2147">
        <v>348.78</v>
      </c>
      <c r="Q2147" t="s">
        <v>53</v>
      </c>
      <c r="R2147">
        <v>0.57873427803404909</v>
      </c>
      <c r="S2147">
        <v>2025</v>
      </c>
      <c r="T2147" t="s">
        <v>1671</v>
      </c>
      <c r="U2147">
        <v>9</v>
      </c>
      <c r="V2147" t="s">
        <v>1385</v>
      </c>
    </row>
    <row r="2148" spans="1:22" x14ac:dyDescent="0.3">
      <c r="A2148" t="s">
        <v>3167</v>
      </c>
      <c r="B2148" s="1">
        <v>45915</v>
      </c>
      <c r="C2148" t="s">
        <v>3168</v>
      </c>
      <c r="D2148" t="s">
        <v>649</v>
      </c>
      <c r="E2148" t="s">
        <v>25</v>
      </c>
      <c r="F2148" t="s">
        <v>26</v>
      </c>
      <c r="G2148" t="s">
        <v>37</v>
      </c>
      <c r="H2148" t="s">
        <v>84</v>
      </c>
      <c r="I2148" t="s">
        <v>138</v>
      </c>
      <c r="J2148" t="s">
        <v>139</v>
      </c>
      <c r="K2148">
        <v>2</v>
      </c>
      <c r="L2148">
        <v>12281.49</v>
      </c>
      <c r="M2148">
        <v>0.1</v>
      </c>
      <c r="N2148">
        <v>22106.68</v>
      </c>
      <c r="O2148">
        <v>18242.61</v>
      </c>
      <c r="P2148">
        <v>3864.07</v>
      </c>
      <c r="Q2148" t="s">
        <v>31</v>
      </c>
      <c r="R2148">
        <v>0.17479196333415961</v>
      </c>
      <c r="S2148">
        <v>2025</v>
      </c>
      <c r="T2148" t="s">
        <v>1671</v>
      </c>
      <c r="U2148">
        <v>9</v>
      </c>
      <c r="V2148" t="s">
        <v>1385</v>
      </c>
    </row>
    <row r="2149" spans="1:22" x14ac:dyDescent="0.3">
      <c r="A2149" t="s">
        <v>3169</v>
      </c>
      <c r="B2149" s="1">
        <v>45915</v>
      </c>
      <c r="C2149" t="s">
        <v>280</v>
      </c>
      <c r="D2149" t="s">
        <v>587</v>
      </c>
      <c r="E2149" t="s">
        <v>41</v>
      </c>
      <c r="F2149" t="s">
        <v>42</v>
      </c>
      <c r="G2149" t="s">
        <v>42</v>
      </c>
      <c r="H2149" t="s">
        <v>84</v>
      </c>
      <c r="I2149" t="s">
        <v>85</v>
      </c>
      <c r="J2149" t="s">
        <v>145</v>
      </c>
      <c r="K2149">
        <v>4</v>
      </c>
      <c r="L2149">
        <v>3115.6</v>
      </c>
      <c r="M2149">
        <v>0.1</v>
      </c>
      <c r="N2149">
        <v>11216.16</v>
      </c>
      <c r="O2149">
        <v>6988.63</v>
      </c>
      <c r="P2149">
        <v>4227.53</v>
      </c>
      <c r="Q2149" t="s">
        <v>113</v>
      </c>
      <c r="R2149">
        <v>0.37691420236515882</v>
      </c>
      <c r="S2149">
        <v>2025</v>
      </c>
      <c r="T2149" t="s">
        <v>1671</v>
      </c>
      <c r="U2149">
        <v>9</v>
      </c>
      <c r="V2149" t="s">
        <v>1385</v>
      </c>
    </row>
    <row r="2150" spans="1:22" x14ac:dyDescent="0.3">
      <c r="A2150" t="s">
        <v>3170</v>
      </c>
      <c r="B2150" s="1">
        <v>45916</v>
      </c>
      <c r="C2150" t="s">
        <v>2202</v>
      </c>
      <c r="D2150" t="s">
        <v>295</v>
      </c>
      <c r="E2150" t="s">
        <v>61</v>
      </c>
      <c r="F2150" t="s">
        <v>71</v>
      </c>
      <c r="G2150" t="s">
        <v>201</v>
      </c>
      <c r="H2150" t="s">
        <v>84</v>
      </c>
      <c r="I2150" t="s">
        <v>85</v>
      </c>
      <c r="J2150" t="s">
        <v>145</v>
      </c>
      <c r="K2150">
        <v>2</v>
      </c>
      <c r="L2150">
        <v>3259.5</v>
      </c>
      <c r="M2150">
        <v>0.1</v>
      </c>
      <c r="N2150">
        <v>5867.1</v>
      </c>
      <c r="O2150">
        <v>3709.44</v>
      </c>
      <c r="P2150">
        <v>2157.66</v>
      </c>
      <c r="Q2150" t="s">
        <v>67</v>
      </c>
      <c r="R2150">
        <v>0.36775579076545478</v>
      </c>
      <c r="S2150">
        <v>2025</v>
      </c>
      <c r="T2150" t="s">
        <v>1671</v>
      </c>
      <c r="U2150">
        <v>9</v>
      </c>
      <c r="V2150" t="s">
        <v>1385</v>
      </c>
    </row>
    <row r="2151" spans="1:22" x14ac:dyDescent="0.3">
      <c r="A2151" t="s">
        <v>3171</v>
      </c>
      <c r="B2151" s="1">
        <v>45917</v>
      </c>
      <c r="C2151" t="s">
        <v>769</v>
      </c>
      <c r="D2151" t="s">
        <v>1433</v>
      </c>
      <c r="E2151" t="s">
        <v>120</v>
      </c>
      <c r="F2151" t="s">
        <v>121</v>
      </c>
      <c r="G2151" t="s">
        <v>130</v>
      </c>
      <c r="H2151" t="s">
        <v>28</v>
      </c>
      <c r="I2151" t="s">
        <v>73</v>
      </c>
      <c r="J2151" t="s">
        <v>74</v>
      </c>
      <c r="K2151">
        <v>2</v>
      </c>
      <c r="L2151">
        <v>2502.29</v>
      </c>
      <c r="M2151">
        <v>0.1</v>
      </c>
      <c r="N2151">
        <v>4504.12</v>
      </c>
      <c r="O2151">
        <v>2846.98</v>
      </c>
      <c r="P2151">
        <v>1657.14</v>
      </c>
      <c r="Q2151" t="s">
        <v>31</v>
      </c>
      <c r="R2151">
        <v>0.36791648535118959</v>
      </c>
      <c r="S2151">
        <v>2025</v>
      </c>
      <c r="T2151" t="s">
        <v>1671</v>
      </c>
      <c r="U2151">
        <v>9</v>
      </c>
      <c r="V2151" t="s">
        <v>1385</v>
      </c>
    </row>
    <row r="2152" spans="1:22" x14ac:dyDescent="0.3">
      <c r="A2152" t="s">
        <v>3172</v>
      </c>
      <c r="B2152" s="1">
        <v>45917</v>
      </c>
      <c r="C2152" t="s">
        <v>1348</v>
      </c>
      <c r="D2152" t="s">
        <v>599</v>
      </c>
      <c r="E2152" t="s">
        <v>25</v>
      </c>
      <c r="F2152" t="s">
        <v>26</v>
      </c>
      <c r="G2152" t="s">
        <v>27</v>
      </c>
      <c r="H2152" t="s">
        <v>28</v>
      </c>
      <c r="I2152" t="s">
        <v>29</v>
      </c>
      <c r="J2152" t="s">
        <v>57</v>
      </c>
      <c r="K2152">
        <v>3</v>
      </c>
      <c r="L2152">
        <v>15178.35</v>
      </c>
      <c r="M2152">
        <v>0</v>
      </c>
      <c r="N2152">
        <v>45535.05</v>
      </c>
      <c r="O2152">
        <v>34490.79</v>
      </c>
      <c r="P2152">
        <v>11044.26</v>
      </c>
      <c r="Q2152" t="s">
        <v>46</v>
      </c>
      <c r="R2152">
        <v>0.2425441500558361</v>
      </c>
      <c r="S2152">
        <v>2025</v>
      </c>
      <c r="T2152" t="s">
        <v>1671</v>
      </c>
      <c r="U2152">
        <v>9</v>
      </c>
      <c r="V2152" t="s">
        <v>1385</v>
      </c>
    </row>
    <row r="2153" spans="1:22" x14ac:dyDescent="0.3">
      <c r="A2153" t="s">
        <v>3173</v>
      </c>
      <c r="B2153" s="1">
        <v>45917</v>
      </c>
      <c r="C2153" t="s">
        <v>666</v>
      </c>
      <c r="D2153" t="s">
        <v>203</v>
      </c>
      <c r="E2153" t="s">
        <v>61</v>
      </c>
      <c r="F2153" t="s">
        <v>71</v>
      </c>
      <c r="G2153" t="s">
        <v>201</v>
      </c>
      <c r="H2153" t="s">
        <v>43</v>
      </c>
      <c r="I2153" t="s">
        <v>44</v>
      </c>
      <c r="J2153" t="s">
        <v>45</v>
      </c>
      <c r="K2153">
        <v>3</v>
      </c>
      <c r="L2153">
        <v>234.65</v>
      </c>
      <c r="M2153">
        <v>0.05</v>
      </c>
      <c r="N2153">
        <v>668.75</v>
      </c>
      <c r="O2153">
        <v>277.04000000000002</v>
      </c>
      <c r="P2153">
        <v>391.71</v>
      </c>
      <c r="Q2153" t="s">
        <v>53</v>
      </c>
      <c r="R2153">
        <v>0.58573457943925233</v>
      </c>
      <c r="S2153">
        <v>2025</v>
      </c>
      <c r="T2153" t="s">
        <v>1671</v>
      </c>
      <c r="U2153">
        <v>9</v>
      </c>
      <c r="V2153" t="s">
        <v>1385</v>
      </c>
    </row>
    <row r="2154" spans="1:22" x14ac:dyDescent="0.3">
      <c r="A2154" t="s">
        <v>3174</v>
      </c>
      <c r="B2154" s="1">
        <v>45918</v>
      </c>
      <c r="C2154" t="s">
        <v>1083</v>
      </c>
      <c r="D2154" t="s">
        <v>1455</v>
      </c>
      <c r="E2154" t="s">
        <v>120</v>
      </c>
      <c r="F2154" t="s">
        <v>121</v>
      </c>
      <c r="G2154" t="s">
        <v>224</v>
      </c>
      <c r="H2154" t="s">
        <v>43</v>
      </c>
      <c r="I2154" t="s">
        <v>51</v>
      </c>
      <c r="J2154" t="s">
        <v>52</v>
      </c>
      <c r="K2154">
        <v>2</v>
      </c>
      <c r="L2154">
        <v>726.17</v>
      </c>
      <c r="M2154">
        <v>0.05</v>
      </c>
      <c r="N2154">
        <v>1379.72</v>
      </c>
      <c r="O2154">
        <v>656.76</v>
      </c>
      <c r="P2154">
        <v>722.96</v>
      </c>
      <c r="Q2154" t="s">
        <v>31</v>
      </c>
      <c r="R2154">
        <v>0.52399037485866695</v>
      </c>
      <c r="S2154">
        <v>2025</v>
      </c>
      <c r="T2154" t="s">
        <v>1671</v>
      </c>
      <c r="U2154">
        <v>9</v>
      </c>
      <c r="V2154" t="s">
        <v>1385</v>
      </c>
    </row>
    <row r="2155" spans="1:22" x14ac:dyDescent="0.3">
      <c r="A2155" t="s">
        <v>3175</v>
      </c>
      <c r="B2155" s="1">
        <v>45918</v>
      </c>
      <c r="C2155" t="s">
        <v>892</v>
      </c>
      <c r="D2155" t="s">
        <v>304</v>
      </c>
      <c r="E2155" t="s">
        <v>61</v>
      </c>
      <c r="F2155" t="s">
        <v>78</v>
      </c>
      <c r="G2155" t="s">
        <v>83</v>
      </c>
      <c r="H2155" t="s">
        <v>28</v>
      </c>
      <c r="I2155" t="s">
        <v>29</v>
      </c>
      <c r="J2155" t="s">
        <v>57</v>
      </c>
      <c r="K2155">
        <v>1</v>
      </c>
      <c r="L2155">
        <v>15819.75</v>
      </c>
      <c r="M2155">
        <v>0.1</v>
      </c>
      <c r="N2155">
        <v>14237.77</v>
      </c>
      <c r="O2155">
        <v>11552.09</v>
      </c>
      <c r="P2155">
        <v>2685.68</v>
      </c>
      <c r="Q2155" t="s">
        <v>31</v>
      </c>
      <c r="R2155">
        <v>0.18863066336933379</v>
      </c>
      <c r="S2155">
        <v>2025</v>
      </c>
      <c r="T2155" t="s">
        <v>1671</v>
      </c>
      <c r="U2155">
        <v>9</v>
      </c>
      <c r="V2155" t="s">
        <v>1385</v>
      </c>
    </row>
    <row r="2156" spans="1:22" x14ac:dyDescent="0.3">
      <c r="A2156" t="s">
        <v>3176</v>
      </c>
      <c r="B2156" s="1">
        <v>45918</v>
      </c>
      <c r="C2156" t="s">
        <v>1716</v>
      </c>
      <c r="D2156" t="s">
        <v>112</v>
      </c>
      <c r="E2156" t="s">
        <v>120</v>
      </c>
      <c r="F2156" t="s">
        <v>121</v>
      </c>
      <c r="G2156" t="s">
        <v>122</v>
      </c>
      <c r="H2156" t="s">
        <v>28</v>
      </c>
      <c r="I2156" t="s">
        <v>29</v>
      </c>
      <c r="J2156" t="s">
        <v>30</v>
      </c>
      <c r="K2156">
        <v>4</v>
      </c>
      <c r="L2156">
        <v>61795.51</v>
      </c>
      <c r="M2156">
        <v>0.15</v>
      </c>
      <c r="N2156">
        <v>210104.73</v>
      </c>
      <c r="O2156">
        <v>212817.89</v>
      </c>
      <c r="P2156">
        <v>-2713.16</v>
      </c>
      <c r="Q2156" t="s">
        <v>31</v>
      </c>
      <c r="R2156">
        <v>-1.291336944199209E-2</v>
      </c>
      <c r="S2156">
        <v>2025</v>
      </c>
      <c r="T2156" t="s">
        <v>1671</v>
      </c>
      <c r="U2156">
        <v>9</v>
      </c>
      <c r="V2156" t="s">
        <v>1385</v>
      </c>
    </row>
    <row r="2157" spans="1:22" x14ac:dyDescent="0.3">
      <c r="A2157" t="s">
        <v>3177</v>
      </c>
      <c r="B2157" s="1">
        <v>45918</v>
      </c>
      <c r="C2157" t="s">
        <v>910</v>
      </c>
      <c r="D2157" t="s">
        <v>357</v>
      </c>
      <c r="E2157" t="s">
        <v>61</v>
      </c>
      <c r="F2157" t="s">
        <v>62</v>
      </c>
      <c r="G2157" t="s">
        <v>134</v>
      </c>
      <c r="H2157" t="s">
        <v>43</v>
      </c>
      <c r="I2157" t="s">
        <v>51</v>
      </c>
      <c r="J2157" t="s">
        <v>52</v>
      </c>
      <c r="K2157">
        <v>2</v>
      </c>
      <c r="L2157">
        <v>660.32</v>
      </c>
      <c r="M2157">
        <v>0.2</v>
      </c>
      <c r="N2157">
        <v>1056.51</v>
      </c>
      <c r="O2157">
        <v>626.70000000000005</v>
      </c>
      <c r="P2157">
        <v>429.81</v>
      </c>
      <c r="Q2157" t="s">
        <v>113</v>
      </c>
      <c r="R2157">
        <v>0.40682056961126728</v>
      </c>
      <c r="S2157">
        <v>2025</v>
      </c>
      <c r="T2157" t="s">
        <v>1671</v>
      </c>
      <c r="U2157">
        <v>9</v>
      </c>
      <c r="V2157" t="s">
        <v>1385</v>
      </c>
    </row>
    <row r="2158" spans="1:22" x14ac:dyDescent="0.3">
      <c r="A2158" t="s">
        <v>3178</v>
      </c>
      <c r="B2158" s="1">
        <v>45919</v>
      </c>
      <c r="C2158" t="s">
        <v>1664</v>
      </c>
      <c r="D2158" t="s">
        <v>844</v>
      </c>
      <c r="E2158" t="s">
        <v>120</v>
      </c>
      <c r="F2158" t="s">
        <v>121</v>
      </c>
      <c r="G2158" t="s">
        <v>130</v>
      </c>
      <c r="H2158" t="s">
        <v>64</v>
      </c>
      <c r="I2158" t="s">
        <v>108</v>
      </c>
      <c r="J2158" t="s">
        <v>109</v>
      </c>
      <c r="K2158">
        <v>5</v>
      </c>
      <c r="L2158">
        <v>6850.84</v>
      </c>
      <c r="M2158">
        <v>0.15</v>
      </c>
      <c r="N2158">
        <v>29116.07</v>
      </c>
      <c r="O2158">
        <v>22235.94</v>
      </c>
      <c r="P2158">
        <v>6880.13</v>
      </c>
      <c r="Q2158" t="s">
        <v>46</v>
      </c>
      <c r="R2158">
        <v>0.23630009132413821</v>
      </c>
      <c r="S2158">
        <v>2025</v>
      </c>
      <c r="T2158" t="s">
        <v>1671</v>
      </c>
      <c r="U2158">
        <v>9</v>
      </c>
      <c r="V2158" t="s">
        <v>1385</v>
      </c>
    </row>
    <row r="2159" spans="1:22" x14ac:dyDescent="0.3">
      <c r="A2159" t="s">
        <v>3179</v>
      </c>
      <c r="B2159" s="1">
        <v>45920</v>
      </c>
      <c r="C2159" t="s">
        <v>1551</v>
      </c>
      <c r="D2159" t="s">
        <v>794</v>
      </c>
      <c r="E2159" t="s">
        <v>120</v>
      </c>
      <c r="F2159" t="s">
        <v>121</v>
      </c>
      <c r="G2159" t="s">
        <v>122</v>
      </c>
      <c r="H2159" t="s">
        <v>84</v>
      </c>
      <c r="I2159" t="s">
        <v>138</v>
      </c>
      <c r="J2159" t="s">
        <v>220</v>
      </c>
      <c r="K2159">
        <v>3</v>
      </c>
      <c r="L2159">
        <v>7773.56</v>
      </c>
      <c r="M2159">
        <v>0.05</v>
      </c>
      <c r="N2159">
        <v>22154.65</v>
      </c>
      <c r="O2159">
        <v>15472.84</v>
      </c>
      <c r="P2159">
        <v>6681.81</v>
      </c>
      <c r="Q2159" t="s">
        <v>53</v>
      </c>
      <c r="R2159">
        <v>0.30159853574757439</v>
      </c>
      <c r="S2159">
        <v>2025</v>
      </c>
      <c r="T2159" t="s">
        <v>1671</v>
      </c>
      <c r="U2159">
        <v>9</v>
      </c>
      <c r="V2159" t="s">
        <v>1385</v>
      </c>
    </row>
    <row r="2160" spans="1:22" x14ac:dyDescent="0.3">
      <c r="A2160" t="s">
        <v>3180</v>
      </c>
      <c r="B2160" s="1">
        <v>45920</v>
      </c>
      <c r="C2160" t="s">
        <v>1398</v>
      </c>
      <c r="D2160" t="s">
        <v>949</v>
      </c>
      <c r="E2160" t="s">
        <v>120</v>
      </c>
      <c r="F2160" t="s">
        <v>121</v>
      </c>
      <c r="G2160" t="s">
        <v>130</v>
      </c>
      <c r="H2160" t="s">
        <v>64</v>
      </c>
      <c r="I2160" t="s">
        <v>65</v>
      </c>
      <c r="J2160" t="s">
        <v>232</v>
      </c>
      <c r="K2160">
        <v>1</v>
      </c>
      <c r="L2160">
        <v>4091.15</v>
      </c>
      <c r="M2160">
        <v>0.05</v>
      </c>
      <c r="N2160">
        <v>3886.59</v>
      </c>
      <c r="O2160">
        <v>2483.4499999999998</v>
      </c>
      <c r="P2160">
        <v>1403.14</v>
      </c>
      <c r="Q2160" t="s">
        <v>53</v>
      </c>
      <c r="R2160">
        <v>0.36102084346432223</v>
      </c>
      <c r="S2160">
        <v>2025</v>
      </c>
      <c r="T2160" t="s">
        <v>1671</v>
      </c>
      <c r="U2160">
        <v>9</v>
      </c>
      <c r="V2160" t="s">
        <v>1385</v>
      </c>
    </row>
    <row r="2161" spans="1:22" x14ac:dyDescent="0.3">
      <c r="A2161" t="s">
        <v>3181</v>
      </c>
      <c r="B2161" s="1">
        <v>45920</v>
      </c>
      <c r="C2161" t="s">
        <v>808</v>
      </c>
      <c r="D2161" t="s">
        <v>747</v>
      </c>
      <c r="E2161" t="s">
        <v>25</v>
      </c>
      <c r="F2161" t="s">
        <v>26</v>
      </c>
      <c r="G2161" t="s">
        <v>171</v>
      </c>
      <c r="H2161" t="s">
        <v>28</v>
      </c>
      <c r="I2161" t="s">
        <v>91</v>
      </c>
      <c r="J2161" t="s">
        <v>92</v>
      </c>
      <c r="K2161">
        <v>2</v>
      </c>
      <c r="L2161">
        <v>3064.4</v>
      </c>
      <c r="M2161">
        <v>0.15</v>
      </c>
      <c r="N2161">
        <v>5209.4799999999996</v>
      </c>
      <c r="O2161">
        <v>3229.39</v>
      </c>
      <c r="P2161">
        <v>1980.09</v>
      </c>
      <c r="Q2161" t="s">
        <v>53</v>
      </c>
      <c r="R2161">
        <v>0.38009359859333369</v>
      </c>
      <c r="S2161">
        <v>2025</v>
      </c>
      <c r="T2161" t="s">
        <v>1671</v>
      </c>
      <c r="U2161">
        <v>9</v>
      </c>
      <c r="V2161" t="s">
        <v>1385</v>
      </c>
    </row>
    <row r="2162" spans="1:22" x14ac:dyDescent="0.3">
      <c r="A2162" t="s">
        <v>3182</v>
      </c>
      <c r="B2162" s="1">
        <v>45920</v>
      </c>
      <c r="C2162" t="s">
        <v>2889</v>
      </c>
      <c r="D2162" t="s">
        <v>704</v>
      </c>
      <c r="E2162" t="s">
        <v>61</v>
      </c>
      <c r="F2162" t="s">
        <v>71</v>
      </c>
      <c r="G2162" t="s">
        <v>317</v>
      </c>
      <c r="H2162" t="s">
        <v>84</v>
      </c>
      <c r="I2162" t="s">
        <v>85</v>
      </c>
      <c r="J2162" t="s">
        <v>86</v>
      </c>
      <c r="K2162">
        <v>3</v>
      </c>
      <c r="L2162">
        <v>1861.58</v>
      </c>
      <c r="M2162">
        <v>0.05</v>
      </c>
      <c r="N2162">
        <v>5305.5</v>
      </c>
      <c r="O2162">
        <v>2910.68</v>
      </c>
      <c r="P2162">
        <v>2394.8200000000002</v>
      </c>
      <c r="Q2162" t="s">
        <v>67</v>
      </c>
      <c r="R2162">
        <v>0.45138441240222421</v>
      </c>
      <c r="S2162">
        <v>2025</v>
      </c>
      <c r="T2162" t="s">
        <v>1671</v>
      </c>
      <c r="U2162">
        <v>9</v>
      </c>
      <c r="V2162" t="s">
        <v>1385</v>
      </c>
    </row>
    <row r="2163" spans="1:22" x14ac:dyDescent="0.3">
      <c r="A2163" t="s">
        <v>3183</v>
      </c>
      <c r="B2163" s="1">
        <v>45921</v>
      </c>
      <c r="C2163" t="s">
        <v>436</v>
      </c>
      <c r="D2163" t="s">
        <v>704</v>
      </c>
      <c r="E2163" t="s">
        <v>61</v>
      </c>
      <c r="F2163" t="s">
        <v>62</v>
      </c>
      <c r="G2163" t="s">
        <v>134</v>
      </c>
      <c r="H2163" t="s">
        <v>43</v>
      </c>
      <c r="I2163" t="s">
        <v>51</v>
      </c>
      <c r="J2163" t="s">
        <v>96</v>
      </c>
      <c r="K2163">
        <v>5</v>
      </c>
      <c r="L2163">
        <v>479.27</v>
      </c>
      <c r="M2163">
        <v>0.1</v>
      </c>
      <c r="N2163">
        <v>2156.7199999999998</v>
      </c>
      <c r="O2163">
        <v>1063.42</v>
      </c>
      <c r="P2163">
        <v>1093.3</v>
      </c>
      <c r="Q2163" t="s">
        <v>31</v>
      </c>
      <c r="R2163">
        <v>0.50692718572647355</v>
      </c>
      <c r="S2163">
        <v>2025</v>
      </c>
      <c r="T2163" t="s">
        <v>1671</v>
      </c>
      <c r="U2163">
        <v>9</v>
      </c>
      <c r="V2163" t="s">
        <v>1385</v>
      </c>
    </row>
    <row r="2164" spans="1:22" x14ac:dyDescent="0.3">
      <c r="A2164" t="s">
        <v>3184</v>
      </c>
      <c r="B2164" s="1">
        <v>45921</v>
      </c>
      <c r="C2164" t="s">
        <v>222</v>
      </c>
      <c r="D2164" t="s">
        <v>1367</v>
      </c>
      <c r="E2164" t="s">
        <v>61</v>
      </c>
      <c r="F2164" t="s">
        <v>71</v>
      </c>
      <c r="G2164" t="s">
        <v>201</v>
      </c>
      <c r="H2164" t="s">
        <v>28</v>
      </c>
      <c r="I2164" t="s">
        <v>73</v>
      </c>
      <c r="J2164" t="s">
        <v>80</v>
      </c>
      <c r="K2164">
        <v>3</v>
      </c>
      <c r="L2164">
        <v>781.03</v>
      </c>
      <c r="M2164">
        <v>0.1</v>
      </c>
      <c r="N2164">
        <v>2108.7800000000002</v>
      </c>
      <c r="O2164">
        <v>1395.28</v>
      </c>
      <c r="P2164">
        <v>713.5</v>
      </c>
      <c r="Q2164" t="s">
        <v>31</v>
      </c>
      <c r="R2164">
        <v>0.33834729085063397</v>
      </c>
      <c r="S2164">
        <v>2025</v>
      </c>
      <c r="T2164" t="s">
        <v>1671</v>
      </c>
      <c r="U2164">
        <v>9</v>
      </c>
      <c r="V2164" t="s">
        <v>1385</v>
      </c>
    </row>
    <row r="2165" spans="1:22" x14ac:dyDescent="0.3">
      <c r="A2165" t="s">
        <v>3185</v>
      </c>
      <c r="B2165" s="1">
        <v>45922</v>
      </c>
      <c r="C2165" t="s">
        <v>1145</v>
      </c>
      <c r="D2165" t="s">
        <v>49</v>
      </c>
      <c r="E2165" t="s">
        <v>120</v>
      </c>
      <c r="F2165" t="s">
        <v>121</v>
      </c>
      <c r="G2165" t="s">
        <v>130</v>
      </c>
      <c r="H2165" t="s">
        <v>28</v>
      </c>
      <c r="I2165" t="s">
        <v>91</v>
      </c>
      <c r="J2165" t="s">
        <v>126</v>
      </c>
      <c r="K2165">
        <v>5</v>
      </c>
      <c r="L2165">
        <v>1988.38</v>
      </c>
      <c r="M2165">
        <v>0.1</v>
      </c>
      <c r="N2165">
        <v>8947.7099999999991</v>
      </c>
      <c r="O2165">
        <v>5790.7</v>
      </c>
      <c r="P2165">
        <v>3157.01</v>
      </c>
      <c r="Q2165" t="s">
        <v>31</v>
      </c>
      <c r="R2165">
        <v>0.35282882435841129</v>
      </c>
      <c r="S2165">
        <v>2025</v>
      </c>
      <c r="T2165" t="s">
        <v>1671</v>
      </c>
      <c r="U2165">
        <v>9</v>
      </c>
      <c r="V2165" t="s">
        <v>1385</v>
      </c>
    </row>
    <row r="2166" spans="1:22" x14ac:dyDescent="0.3">
      <c r="A2166" t="s">
        <v>3186</v>
      </c>
      <c r="B2166" s="1">
        <v>45922</v>
      </c>
      <c r="C2166" t="s">
        <v>2307</v>
      </c>
      <c r="D2166" t="s">
        <v>310</v>
      </c>
      <c r="E2166" t="s">
        <v>120</v>
      </c>
      <c r="F2166" t="s">
        <v>121</v>
      </c>
      <c r="G2166" t="s">
        <v>224</v>
      </c>
      <c r="H2166" t="s">
        <v>28</v>
      </c>
      <c r="I2166" t="s">
        <v>73</v>
      </c>
      <c r="J2166" t="s">
        <v>74</v>
      </c>
      <c r="K2166">
        <v>1</v>
      </c>
      <c r="L2166">
        <v>2520.92</v>
      </c>
      <c r="M2166">
        <v>0.15</v>
      </c>
      <c r="N2166">
        <v>2142.7800000000002</v>
      </c>
      <c r="O2166">
        <v>1341.49</v>
      </c>
      <c r="P2166">
        <v>801.29</v>
      </c>
      <c r="Q2166" t="s">
        <v>31</v>
      </c>
      <c r="R2166">
        <v>0.3739487954899709</v>
      </c>
      <c r="S2166">
        <v>2025</v>
      </c>
      <c r="T2166" t="s">
        <v>1671</v>
      </c>
      <c r="U2166">
        <v>9</v>
      </c>
      <c r="V2166" t="s">
        <v>1385</v>
      </c>
    </row>
    <row r="2167" spans="1:22" x14ac:dyDescent="0.3">
      <c r="A2167" t="s">
        <v>3187</v>
      </c>
      <c r="B2167" s="1">
        <v>45922</v>
      </c>
      <c r="C2167" t="s">
        <v>1150</v>
      </c>
      <c r="D2167" t="s">
        <v>981</v>
      </c>
      <c r="E2167" t="s">
        <v>25</v>
      </c>
      <c r="F2167" t="s">
        <v>26</v>
      </c>
      <c r="G2167" t="s">
        <v>171</v>
      </c>
      <c r="H2167" t="s">
        <v>28</v>
      </c>
      <c r="I2167" t="s">
        <v>29</v>
      </c>
      <c r="J2167" t="s">
        <v>30</v>
      </c>
      <c r="K2167">
        <v>1</v>
      </c>
      <c r="L2167">
        <v>56209.11</v>
      </c>
      <c r="M2167">
        <v>0.1</v>
      </c>
      <c r="N2167">
        <v>50588.2</v>
      </c>
      <c r="O2167">
        <v>49882.73</v>
      </c>
      <c r="P2167">
        <v>705.47</v>
      </c>
      <c r="Q2167" t="s">
        <v>31</v>
      </c>
      <c r="R2167">
        <v>1.394534693861414E-2</v>
      </c>
      <c r="S2167">
        <v>2025</v>
      </c>
      <c r="T2167" t="s">
        <v>1671</v>
      </c>
      <c r="U2167">
        <v>9</v>
      </c>
      <c r="V2167" t="s">
        <v>1385</v>
      </c>
    </row>
    <row r="2168" spans="1:22" x14ac:dyDescent="0.3">
      <c r="A2168" t="s">
        <v>3188</v>
      </c>
      <c r="B2168" s="1">
        <v>45922</v>
      </c>
      <c r="C2168" t="s">
        <v>2386</v>
      </c>
      <c r="D2168" t="s">
        <v>925</v>
      </c>
      <c r="E2168" t="s">
        <v>41</v>
      </c>
      <c r="F2168" t="s">
        <v>42</v>
      </c>
      <c r="G2168" t="s">
        <v>42</v>
      </c>
      <c r="H2168" t="s">
        <v>64</v>
      </c>
      <c r="I2168" t="s">
        <v>65</v>
      </c>
      <c r="J2168" t="s">
        <v>232</v>
      </c>
      <c r="K2168">
        <v>4</v>
      </c>
      <c r="L2168">
        <v>4235.55</v>
      </c>
      <c r="M2168">
        <v>0.05</v>
      </c>
      <c r="N2168">
        <v>16095.09</v>
      </c>
      <c r="O2168">
        <v>11046.73</v>
      </c>
      <c r="P2168">
        <v>5048.3599999999997</v>
      </c>
      <c r="Q2168" t="s">
        <v>31</v>
      </c>
      <c r="R2168">
        <v>0.31365838898695192</v>
      </c>
      <c r="S2168">
        <v>2025</v>
      </c>
      <c r="T2168" t="s">
        <v>1671</v>
      </c>
      <c r="U2168">
        <v>9</v>
      </c>
      <c r="V2168" t="s">
        <v>1385</v>
      </c>
    </row>
    <row r="2169" spans="1:22" x14ac:dyDescent="0.3">
      <c r="A2169" t="s">
        <v>3189</v>
      </c>
      <c r="B2169" s="1">
        <v>45923</v>
      </c>
      <c r="C2169" t="s">
        <v>359</v>
      </c>
      <c r="D2169" t="s">
        <v>876</v>
      </c>
      <c r="E2169" t="s">
        <v>25</v>
      </c>
      <c r="F2169" t="s">
        <v>26</v>
      </c>
      <c r="G2169" t="s">
        <v>260</v>
      </c>
      <c r="H2169" t="s">
        <v>43</v>
      </c>
      <c r="I2169" t="s">
        <v>51</v>
      </c>
      <c r="J2169" t="s">
        <v>96</v>
      </c>
      <c r="K2169">
        <v>3</v>
      </c>
      <c r="L2169">
        <v>489.79</v>
      </c>
      <c r="M2169">
        <v>0.05</v>
      </c>
      <c r="N2169">
        <v>1395.9</v>
      </c>
      <c r="O2169">
        <v>665.72</v>
      </c>
      <c r="P2169">
        <v>730.18</v>
      </c>
      <c r="Q2169" t="s">
        <v>31</v>
      </c>
      <c r="R2169">
        <v>0.52308904649330179</v>
      </c>
      <c r="S2169">
        <v>2025</v>
      </c>
      <c r="T2169" t="s">
        <v>1671</v>
      </c>
      <c r="U2169">
        <v>9</v>
      </c>
      <c r="V2169" t="s">
        <v>1385</v>
      </c>
    </row>
    <row r="2170" spans="1:22" x14ac:dyDescent="0.3">
      <c r="A2170" t="s">
        <v>3190</v>
      </c>
      <c r="B2170" s="1">
        <v>45923</v>
      </c>
      <c r="C2170" t="s">
        <v>1624</v>
      </c>
      <c r="D2170" t="s">
        <v>695</v>
      </c>
      <c r="E2170" t="s">
        <v>41</v>
      </c>
      <c r="F2170" t="s">
        <v>42</v>
      </c>
      <c r="G2170" t="s">
        <v>42</v>
      </c>
      <c r="H2170" t="s">
        <v>84</v>
      </c>
      <c r="I2170" t="s">
        <v>85</v>
      </c>
      <c r="J2170" t="s">
        <v>86</v>
      </c>
      <c r="K2170">
        <v>1</v>
      </c>
      <c r="L2170">
        <v>1722.66</v>
      </c>
      <c r="M2170">
        <v>0</v>
      </c>
      <c r="N2170">
        <v>1722.66</v>
      </c>
      <c r="O2170">
        <v>937.85</v>
      </c>
      <c r="P2170">
        <v>784.81</v>
      </c>
      <c r="Q2170" t="s">
        <v>31</v>
      </c>
      <c r="R2170">
        <v>0.4555803234532641</v>
      </c>
      <c r="S2170">
        <v>2025</v>
      </c>
      <c r="T2170" t="s">
        <v>1671</v>
      </c>
      <c r="U2170">
        <v>9</v>
      </c>
      <c r="V2170" t="s">
        <v>1385</v>
      </c>
    </row>
    <row r="2171" spans="1:22" x14ac:dyDescent="0.3">
      <c r="A2171" t="s">
        <v>3191</v>
      </c>
      <c r="B2171" s="1">
        <v>45923</v>
      </c>
      <c r="C2171" t="s">
        <v>423</v>
      </c>
      <c r="D2171" t="s">
        <v>535</v>
      </c>
      <c r="E2171" t="s">
        <v>25</v>
      </c>
      <c r="F2171" t="s">
        <v>26</v>
      </c>
      <c r="G2171" t="s">
        <v>37</v>
      </c>
      <c r="H2171" t="s">
        <v>43</v>
      </c>
      <c r="I2171" t="s">
        <v>51</v>
      </c>
      <c r="J2171" t="s">
        <v>96</v>
      </c>
      <c r="K2171">
        <v>1</v>
      </c>
      <c r="L2171">
        <v>491.72</v>
      </c>
      <c r="M2171">
        <v>0.05</v>
      </c>
      <c r="N2171">
        <v>467.13</v>
      </c>
      <c r="O2171">
        <v>226.16</v>
      </c>
      <c r="P2171">
        <v>240.97</v>
      </c>
      <c r="Q2171" t="s">
        <v>31</v>
      </c>
      <c r="R2171">
        <v>0.51585211825401922</v>
      </c>
      <c r="S2171">
        <v>2025</v>
      </c>
      <c r="T2171" t="s">
        <v>1671</v>
      </c>
      <c r="U2171">
        <v>9</v>
      </c>
      <c r="V2171" t="s">
        <v>1385</v>
      </c>
    </row>
    <row r="2172" spans="1:22" x14ac:dyDescent="0.3">
      <c r="A2172" t="s">
        <v>3192</v>
      </c>
      <c r="B2172" s="1">
        <v>45923</v>
      </c>
      <c r="C2172" t="s">
        <v>1829</v>
      </c>
      <c r="D2172" t="s">
        <v>599</v>
      </c>
      <c r="E2172" t="s">
        <v>61</v>
      </c>
      <c r="F2172" t="s">
        <v>62</v>
      </c>
      <c r="G2172" t="s">
        <v>90</v>
      </c>
      <c r="H2172" t="s">
        <v>43</v>
      </c>
      <c r="I2172" t="s">
        <v>44</v>
      </c>
      <c r="J2172" t="s">
        <v>45</v>
      </c>
      <c r="K2172">
        <v>5</v>
      </c>
      <c r="L2172">
        <v>260.17</v>
      </c>
      <c r="M2172">
        <v>0</v>
      </c>
      <c r="N2172">
        <v>1300.8499999999999</v>
      </c>
      <c r="O2172">
        <v>503.36</v>
      </c>
      <c r="P2172">
        <v>797.49</v>
      </c>
      <c r="Q2172" t="s">
        <v>53</v>
      </c>
      <c r="R2172">
        <v>0.61305300380520433</v>
      </c>
      <c r="S2172">
        <v>2025</v>
      </c>
      <c r="T2172" t="s">
        <v>1671</v>
      </c>
      <c r="U2172">
        <v>9</v>
      </c>
      <c r="V2172" t="s">
        <v>1385</v>
      </c>
    </row>
    <row r="2173" spans="1:22" x14ac:dyDescent="0.3">
      <c r="A2173" t="s">
        <v>3193</v>
      </c>
      <c r="B2173" s="1">
        <v>45924</v>
      </c>
      <c r="C2173" t="s">
        <v>1611</v>
      </c>
      <c r="D2173" t="s">
        <v>981</v>
      </c>
      <c r="E2173" t="s">
        <v>61</v>
      </c>
      <c r="F2173" t="s">
        <v>62</v>
      </c>
      <c r="G2173" t="s">
        <v>228</v>
      </c>
      <c r="H2173" t="s">
        <v>64</v>
      </c>
      <c r="I2173" t="s">
        <v>108</v>
      </c>
      <c r="J2173" t="s">
        <v>109</v>
      </c>
      <c r="K2173">
        <v>4</v>
      </c>
      <c r="L2173">
        <v>6861</v>
      </c>
      <c r="M2173">
        <v>0</v>
      </c>
      <c r="N2173">
        <v>27444</v>
      </c>
      <c r="O2173">
        <v>17238.310000000001</v>
      </c>
      <c r="P2173">
        <v>10205.69</v>
      </c>
      <c r="Q2173" t="s">
        <v>53</v>
      </c>
      <c r="R2173">
        <v>0.37187326920274022</v>
      </c>
      <c r="S2173">
        <v>2025</v>
      </c>
      <c r="T2173" t="s">
        <v>1671</v>
      </c>
      <c r="U2173">
        <v>9</v>
      </c>
      <c r="V2173" t="s">
        <v>1385</v>
      </c>
    </row>
    <row r="2174" spans="1:22" x14ac:dyDescent="0.3">
      <c r="A2174" t="s">
        <v>3194</v>
      </c>
      <c r="B2174" s="1">
        <v>45924</v>
      </c>
      <c r="C2174" t="s">
        <v>937</v>
      </c>
      <c r="D2174" t="s">
        <v>440</v>
      </c>
      <c r="E2174" t="s">
        <v>41</v>
      </c>
      <c r="F2174" t="s">
        <v>42</v>
      </c>
      <c r="G2174" t="s">
        <v>50</v>
      </c>
      <c r="H2174" t="s">
        <v>43</v>
      </c>
      <c r="I2174" t="s">
        <v>51</v>
      </c>
      <c r="J2174" t="s">
        <v>52</v>
      </c>
      <c r="K2174">
        <v>4</v>
      </c>
      <c r="L2174">
        <v>692.66</v>
      </c>
      <c r="M2174">
        <v>0.15</v>
      </c>
      <c r="N2174">
        <v>2355.04</v>
      </c>
      <c r="O2174">
        <v>1260.67</v>
      </c>
      <c r="P2174">
        <v>1094.3699999999999</v>
      </c>
      <c r="Q2174" t="s">
        <v>113</v>
      </c>
      <c r="R2174">
        <v>0.4646927440722875</v>
      </c>
      <c r="S2174">
        <v>2025</v>
      </c>
      <c r="T2174" t="s">
        <v>1671</v>
      </c>
      <c r="U2174">
        <v>9</v>
      </c>
      <c r="V2174" t="s">
        <v>1385</v>
      </c>
    </row>
    <row r="2175" spans="1:22" x14ac:dyDescent="0.3">
      <c r="A2175" t="s">
        <v>3195</v>
      </c>
      <c r="B2175" s="1">
        <v>45925</v>
      </c>
      <c r="C2175" t="s">
        <v>2547</v>
      </c>
      <c r="D2175" t="s">
        <v>40</v>
      </c>
      <c r="E2175" t="s">
        <v>61</v>
      </c>
      <c r="F2175" t="s">
        <v>71</v>
      </c>
      <c r="G2175" t="s">
        <v>201</v>
      </c>
      <c r="H2175" t="s">
        <v>43</v>
      </c>
      <c r="I2175" t="s">
        <v>44</v>
      </c>
      <c r="J2175" t="s">
        <v>45</v>
      </c>
      <c r="K2175">
        <v>1</v>
      </c>
      <c r="L2175">
        <v>262.82</v>
      </c>
      <c r="M2175">
        <v>0</v>
      </c>
      <c r="N2175">
        <v>262.82</v>
      </c>
      <c r="O2175">
        <v>96.36</v>
      </c>
      <c r="P2175">
        <v>166.46</v>
      </c>
      <c r="Q2175" t="s">
        <v>67</v>
      </c>
      <c r="R2175">
        <v>0.63336123582680171</v>
      </c>
      <c r="S2175">
        <v>2025</v>
      </c>
      <c r="T2175" t="s">
        <v>1671</v>
      </c>
      <c r="U2175">
        <v>9</v>
      </c>
      <c r="V2175" t="s">
        <v>1385</v>
      </c>
    </row>
    <row r="2176" spans="1:22" x14ac:dyDescent="0.3">
      <c r="A2176" t="s">
        <v>3196</v>
      </c>
      <c r="B2176" s="1">
        <v>45925</v>
      </c>
      <c r="C2176" t="s">
        <v>436</v>
      </c>
      <c r="D2176" t="s">
        <v>911</v>
      </c>
      <c r="E2176" t="s">
        <v>61</v>
      </c>
      <c r="F2176" t="s">
        <v>71</v>
      </c>
      <c r="G2176" t="s">
        <v>100</v>
      </c>
      <c r="H2176" t="s">
        <v>28</v>
      </c>
      <c r="I2176" t="s">
        <v>73</v>
      </c>
      <c r="J2176" t="s">
        <v>80</v>
      </c>
      <c r="K2176">
        <v>1</v>
      </c>
      <c r="L2176">
        <v>786.89</v>
      </c>
      <c r="M2176">
        <v>0.1</v>
      </c>
      <c r="N2176">
        <v>708.2</v>
      </c>
      <c r="O2176">
        <v>486.08</v>
      </c>
      <c r="P2176">
        <v>222.12</v>
      </c>
      <c r="Q2176" t="s">
        <v>46</v>
      </c>
      <c r="R2176">
        <v>0.31364021462863589</v>
      </c>
      <c r="S2176">
        <v>2025</v>
      </c>
      <c r="T2176" t="s">
        <v>1671</v>
      </c>
      <c r="U2176">
        <v>9</v>
      </c>
      <c r="V2176" t="s">
        <v>1385</v>
      </c>
    </row>
    <row r="2177" spans="1:22" x14ac:dyDescent="0.3">
      <c r="A2177" t="s">
        <v>3197</v>
      </c>
      <c r="B2177" s="1">
        <v>45925</v>
      </c>
      <c r="C2177" t="s">
        <v>1276</v>
      </c>
      <c r="D2177" t="s">
        <v>185</v>
      </c>
      <c r="E2177" t="s">
        <v>61</v>
      </c>
      <c r="F2177" t="s">
        <v>71</v>
      </c>
      <c r="G2177" t="s">
        <v>317</v>
      </c>
      <c r="H2177" t="s">
        <v>64</v>
      </c>
      <c r="I2177" t="s">
        <v>108</v>
      </c>
      <c r="J2177" t="s">
        <v>155</v>
      </c>
      <c r="K2177">
        <v>4</v>
      </c>
      <c r="L2177">
        <v>8393.3799999999992</v>
      </c>
      <c r="M2177">
        <v>0</v>
      </c>
      <c r="N2177">
        <v>33573.519999999997</v>
      </c>
      <c r="O2177">
        <v>23643.01</v>
      </c>
      <c r="P2177">
        <v>9930.51</v>
      </c>
      <c r="Q2177" t="s">
        <v>31</v>
      </c>
      <c r="R2177">
        <v>0.29578399881811618</v>
      </c>
      <c r="S2177">
        <v>2025</v>
      </c>
      <c r="T2177" t="s">
        <v>1671</v>
      </c>
      <c r="U2177">
        <v>9</v>
      </c>
      <c r="V2177" t="s">
        <v>1385</v>
      </c>
    </row>
    <row r="2178" spans="1:22" x14ac:dyDescent="0.3">
      <c r="A2178" t="s">
        <v>3198</v>
      </c>
      <c r="B2178" s="1">
        <v>45926</v>
      </c>
      <c r="C2178" t="s">
        <v>1143</v>
      </c>
      <c r="D2178" t="s">
        <v>1088</v>
      </c>
      <c r="E2178" t="s">
        <v>61</v>
      </c>
      <c r="F2178" t="s">
        <v>78</v>
      </c>
      <c r="G2178" t="s">
        <v>216</v>
      </c>
      <c r="H2178" t="s">
        <v>43</v>
      </c>
      <c r="I2178" t="s">
        <v>51</v>
      </c>
      <c r="J2178" t="s">
        <v>96</v>
      </c>
      <c r="K2178">
        <v>3</v>
      </c>
      <c r="L2178">
        <v>527.39</v>
      </c>
      <c r="M2178">
        <v>0</v>
      </c>
      <c r="N2178">
        <v>1582.17</v>
      </c>
      <c r="O2178">
        <v>737.94</v>
      </c>
      <c r="P2178">
        <v>844.23</v>
      </c>
      <c r="Q2178" t="s">
        <v>46</v>
      </c>
      <c r="R2178">
        <v>0.53358994292648698</v>
      </c>
      <c r="S2178">
        <v>2025</v>
      </c>
      <c r="T2178" t="s">
        <v>1671</v>
      </c>
      <c r="U2178">
        <v>9</v>
      </c>
      <c r="V2178" t="s">
        <v>1385</v>
      </c>
    </row>
    <row r="2179" spans="1:22" x14ac:dyDescent="0.3">
      <c r="A2179" t="s">
        <v>3199</v>
      </c>
      <c r="B2179" s="1">
        <v>45926</v>
      </c>
      <c r="C2179" t="s">
        <v>2119</v>
      </c>
      <c r="D2179" t="s">
        <v>1230</v>
      </c>
      <c r="E2179" t="s">
        <v>61</v>
      </c>
      <c r="F2179" t="s">
        <v>62</v>
      </c>
      <c r="G2179" t="s">
        <v>90</v>
      </c>
      <c r="H2179" t="s">
        <v>64</v>
      </c>
      <c r="I2179" t="s">
        <v>65</v>
      </c>
      <c r="J2179" t="s">
        <v>232</v>
      </c>
      <c r="K2179">
        <v>4</v>
      </c>
      <c r="L2179">
        <v>4134.93</v>
      </c>
      <c r="M2179">
        <v>0.05</v>
      </c>
      <c r="N2179">
        <v>15712.73</v>
      </c>
      <c r="O2179">
        <v>10355.14</v>
      </c>
      <c r="P2179">
        <v>5357.59</v>
      </c>
      <c r="Q2179" t="s">
        <v>53</v>
      </c>
      <c r="R2179">
        <v>0.34097130161340522</v>
      </c>
      <c r="S2179">
        <v>2025</v>
      </c>
      <c r="T2179" t="s">
        <v>1671</v>
      </c>
      <c r="U2179">
        <v>9</v>
      </c>
      <c r="V2179" t="s">
        <v>1385</v>
      </c>
    </row>
    <row r="2180" spans="1:22" x14ac:dyDescent="0.3">
      <c r="A2180" t="s">
        <v>3200</v>
      </c>
      <c r="B2180" s="1">
        <v>45926</v>
      </c>
      <c r="C2180" t="s">
        <v>1725</v>
      </c>
      <c r="D2180" t="s">
        <v>161</v>
      </c>
      <c r="E2180" t="s">
        <v>120</v>
      </c>
      <c r="F2180" t="s">
        <v>121</v>
      </c>
      <c r="G2180" t="s">
        <v>224</v>
      </c>
      <c r="H2180" t="s">
        <v>28</v>
      </c>
      <c r="I2180" t="s">
        <v>73</v>
      </c>
      <c r="J2180" t="s">
        <v>74</v>
      </c>
      <c r="K2180">
        <v>3</v>
      </c>
      <c r="L2180">
        <v>2476.21</v>
      </c>
      <c r="M2180">
        <v>0.1</v>
      </c>
      <c r="N2180">
        <v>6685.77</v>
      </c>
      <c r="O2180">
        <v>4112.91</v>
      </c>
      <c r="P2180">
        <v>2572.86</v>
      </c>
      <c r="Q2180" t="s">
        <v>53</v>
      </c>
      <c r="R2180">
        <v>0.38482628029381799</v>
      </c>
      <c r="S2180">
        <v>2025</v>
      </c>
      <c r="T2180" t="s">
        <v>1671</v>
      </c>
      <c r="U2180">
        <v>9</v>
      </c>
      <c r="V2180" t="s">
        <v>1385</v>
      </c>
    </row>
    <row r="2181" spans="1:22" x14ac:dyDescent="0.3">
      <c r="A2181" t="s">
        <v>3201</v>
      </c>
      <c r="B2181" s="1">
        <v>45927</v>
      </c>
      <c r="C2181" t="s">
        <v>1004</v>
      </c>
      <c r="D2181" t="s">
        <v>1138</v>
      </c>
      <c r="E2181" t="s">
        <v>25</v>
      </c>
      <c r="F2181" t="s">
        <v>26</v>
      </c>
      <c r="G2181" t="s">
        <v>260</v>
      </c>
      <c r="H2181" t="s">
        <v>64</v>
      </c>
      <c r="I2181" t="s">
        <v>108</v>
      </c>
      <c r="J2181" t="s">
        <v>155</v>
      </c>
      <c r="K2181">
        <v>2</v>
      </c>
      <c r="L2181">
        <v>8934.2999999999993</v>
      </c>
      <c r="M2181">
        <v>0</v>
      </c>
      <c r="N2181">
        <v>17868.599999999999</v>
      </c>
      <c r="O2181">
        <v>12214.18</v>
      </c>
      <c r="P2181">
        <v>5654.42</v>
      </c>
      <c r="Q2181" t="s">
        <v>31</v>
      </c>
      <c r="R2181">
        <v>0.31644448921571922</v>
      </c>
      <c r="S2181">
        <v>2025</v>
      </c>
      <c r="T2181" t="s">
        <v>1671</v>
      </c>
      <c r="U2181">
        <v>9</v>
      </c>
      <c r="V2181" t="s">
        <v>1385</v>
      </c>
    </row>
    <row r="2182" spans="1:22" x14ac:dyDescent="0.3">
      <c r="A2182" t="s">
        <v>3202</v>
      </c>
      <c r="B2182" s="1">
        <v>45927</v>
      </c>
      <c r="C2182" t="s">
        <v>3148</v>
      </c>
      <c r="D2182" t="s">
        <v>884</v>
      </c>
      <c r="E2182" t="s">
        <v>61</v>
      </c>
      <c r="F2182" t="s">
        <v>71</v>
      </c>
      <c r="G2182" t="s">
        <v>100</v>
      </c>
      <c r="H2182" t="s">
        <v>43</v>
      </c>
      <c r="I2182" t="s">
        <v>51</v>
      </c>
      <c r="J2182" t="s">
        <v>52</v>
      </c>
      <c r="K2182">
        <v>3</v>
      </c>
      <c r="L2182">
        <v>722.74</v>
      </c>
      <c r="M2182">
        <v>0.15</v>
      </c>
      <c r="N2182">
        <v>1842.99</v>
      </c>
      <c r="O2182">
        <v>1008.13</v>
      </c>
      <c r="P2182">
        <v>834.86</v>
      </c>
      <c r="Q2182" t="s">
        <v>67</v>
      </c>
      <c r="R2182">
        <v>0.45299214862804471</v>
      </c>
      <c r="S2182">
        <v>2025</v>
      </c>
      <c r="T2182" t="s">
        <v>1671</v>
      </c>
      <c r="U2182">
        <v>9</v>
      </c>
      <c r="V2182" t="s">
        <v>1385</v>
      </c>
    </row>
    <row r="2183" spans="1:22" x14ac:dyDescent="0.3">
      <c r="A2183" t="s">
        <v>3203</v>
      </c>
      <c r="B2183" s="1">
        <v>45928</v>
      </c>
      <c r="C2183" t="s">
        <v>3204</v>
      </c>
      <c r="D2183" t="s">
        <v>129</v>
      </c>
      <c r="E2183" t="s">
        <v>120</v>
      </c>
      <c r="F2183" t="s">
        <v>121</v>
      </c>
      <c r="G2183" t="s">
        <v>122</v>
      </c>
      <c r="H2183" t="s">
        <v>84</v>
      </c>
      <c r="I2183" t="s">
        <v>85</v>
      </c>
      <c r="J2183" t="s">
        <v>86</v>
      </c>
      <c r="K2183">
        <v>3</v>
      </c>
      <c r="L2183">
        <v>1894.93</v>
      </c>
      <c r="M2183">
        <v>0.1</v>
      </c>
      <c r="N2183">
        <v>5116.3100000000004</v>
      </c>
      <c r="O2183">
        <v>3110.29</v>
      </c>
      <c r="P2183">
        <v>2006.02</v>
      </c>
      <c r="Q2183" t="s">
        <v>67</v>
      </c>
      <c r="R2183">
        <v>0.39208335695061469</v>
      </c>
      <c r="S2183">
        <v>2025</v>
      </c>
      <c r="T2183" t="s">
        <v>1671</v>
      </c>
      <c r="U2183">
        <v>9</v>
      </c>
      <c r="V2183" t="s">
        <v>1385</v>
      </c>
    </row>
    <row r="2184" spans="1:22" x14ac:dyDescent="0.3">
      <c r="A2184" t="s">
        <v>3205</v>
      </c>
      <c r="B2184" s="1">
        <v>45928</v>
      </c>
      <c r="C2184" t="s">
        <v>2829</v>
      </c>
      <c r="D2184" t="s">
        <v>360</v>
      </c>
      <c r="E2184" t="s">
        <v>41</v>
      </c>
      <c r="F2184" t="s">
        <v>42</v>
      </c>
      <c r="G2184" t="s">
        <v>42</v>
      </c>
      <c r="H2184" t="s">
        <v>28</v>
      </c>
      <c r="I2184" t="s">
        <v>73</v>
      </c>
      <c r="J2184" t="s">
        <v>80</v>
      </c>
      <c r="K2184">
        <v>2</v>
      </c>
      <c r="L2184">
        <v>773.8</v>
      </c>
      <c r="M2184">
        <v>0.05</v>
      </c>
      <c r="N2184">
        <v>1470.22</v>
      </c>
      <c r="O2184">
        <v>962.95</v>
      </c>
      <c r="P2184">
        <v>507.27</v>
      </c>
      <c r="Q2184" t="s">
        <v>31</v>
      </c>
      <c r="R2184">
        <v>0.34502999551087588</v>
      </c>
      <c r="S2184">
        <v>2025</v>
      </c>
      <c r="T2184" t="s">
        <v>1671</v>
      </c>
      <c r="U2184">
        <v>9</v>
      </c>
      <c r="V2184" t="s">
        <v>1385</v>
      </c>
    </row>
    <row r="2185" spans="1:22" x14ac:dyDescent="0.3">
      <c r="A2185" t="s">
        <v>3206</v>
      </c>
      <c r="B2185" s="1">
        <v>45928</v>
      </c>
      <c r="C2185" t="s">
        <v>586</v>
      </c>
      <c r="D2185" t="s">
        <v>253</v>
      </c>
      <c r="E2185" t="s">
        <v>25</v>
      </c>
      <c r="F2185" t="s">
        <v>26</v>
      </c>
      <c r="G2185" t="s">
        <v>260</v>
      </c>
      <c r="H2185" t="s">
        <v>43</v>
      </c>
      <c r="I2185" t="s">
        <v>51</v>
      </c>
      <c r="J2185" t="s">
        <v>52</v>
      </c>
      <c r="K2185">
        <v>5</v>
      </c>
      <c r="L2185">
        <v>705</v>
      </c>
      <c r="M2185">
        <v>0</v>
      </c>
      <c r="N2185">
        <v>3525</v>
      </c>
      <c r="O2185">
        <v>1710.96</v>
      </c>
      <c r="P2185">
        <v>1814.04</v>
      </c>
      <c r="Q2185" t="s">
        <v>46</v>
      </c>
      <c r="R2185">
        <v>0.51462127659574464</v>
      </c>
      <c r="S2185">
        <v>2025</v>
      </c>
      <c r="T2185" t="s">
        <v>1671</v>
      </c>
      <c r="U2185">
        <v>9</v>
      </c>
      <c r="V2185" t="s">
        <v>1385</v>
      </c>
    </row>
    <row r="2186" spans="1:22" x14ac:dyDescent="0.3">
      <c r="A2186" t="s">
        <v>3207</v>
      </c>
      <c r="B2186" s="1">
        <v>45928</v>
      </c>
      <c r="C2186" t="s">
        <v>2504</v>
      </c>
      <c r="D2186" t="s">
        <v>657</v>
      </c>
      <c r="E2186" t="s">
        <v>61</v>
      </c>
      <c r="F2186" t="s">
        <v>71</v>
      </c>
      <c r="G2186" t="s">
        <v>100</v>
      </c>
      <c r="H2186" t="s">
        <v>28</v>
      </c>
      <c r="I2186" t="s">
        <v>73</v>
      </c>
      <c r="J2186" t="s">
        <v>74</v>
      </c>
      <c r="K2186">
        <v>2</v>
      </c>
      <c r="L2186">
        <v>2547.61</v>
      </c>
      <c r="M2186">
        <v>0</v>
      </c>
      <c r="N2186">
        <v>5095.22</v>
      </c>
      <c r="O2186">
        <v>2887.34</v>
      </c>
      <c r="P2186">
        <v>2207.88</v>
      </c>
      <c r="Q2186" t="s">
        <v>46</v>
      </c>
      <c r="R2186">
        <v>0.43332378189754323</v>
      </c>
      <c r="S2186">
        <v>2025</v>
      </c>
      <c r="T2186" t="s">
        <v>1671</v>
      </c>
      <c r="U2186">
        <v>9</v>
      </c>
      <c r="V2186" t="s">
        <v>1385</v>
      </c>
    </row>
    <row r="2187" spans="1:22" x14ac:dyDescent="0.3">
      <c r="A2187" t="s">
        <v>3208</v>
      </c>
      <c r="B2187" s="1">
        <v>45928</v>
      </c>
      <c r="C2187" t="s">
        <v>1309</v>
      </c>
      <c r="D2187" t="s">
        <v>2064</v>
      </c>
      <c r="E2187" t="s">
        <v>120</v>
      </c>
      <c r="F2187" t="s">
        <v>121</v>
      </c>
      <c r="G2187" t="s">
        <v>122</v>
      </c>
      <c r="H2187" t="s">
        <v>64</v>
      </c>
      <c r="I2187" t="s">
        <v>65</v>
      </c>
      <c r="J2187" t="s">
        <v>66</v>
      </c>
      <c r="K2187">
        <v>1</v>
      </c>
      <c r="L2187">
        <v>5122.25</v>
      </c>
      <c r="M2187">
        <v>0</v>
      </c>
      <c r="N2187">
        <v>5122.25</v>
      </c>
      <c r="O2187">
        <v>3029.16</v>
      </c>
      <c r="P2187">
        <v>2093.09</v>
      </c>
      <c r="Q2187" t="s">
        <v>31</v>
      </c>
      <c r="R2187">
        <v>0.40862706818292738</v>
      </c>
      <c r="S2187">
        <v>2025</v>
      </c>
      <c r="T2187" t="s">
        <v>1671</v>
      </c>
      <c r="U2187">
        <v>9</v>
      </c>
      <c r="V2187" t="s">
        <v>1385</v>
      </c>
    </row>
    <row r="2188" spans="1:22" x14ac:dyDescent="0.3">
      <c r="A2188" t="s">
        <v>3209</v>
      </c>
      <c r="B2188" s="1">
        <v>45928</v>
      </c>
      <c r="C2188" t="s">
        <v>883</v>
      </c>
      <c r="D2188" t="s">
        <v>107</v>
      </c>
      <c r="E2188" t="s">
        <v>61</v>
      </c>
      <c r="F2188" t="s">
        <v>71</v>
      </c>
      <c r="G2188" t="s">
        <v>100</v>
      </c>
      <c r="H2188" t="s">
        <v>84</v>
      </c>
      <c r="I2188" t="s">
        <v>85</v>
      </c>
      <c r="J2188" t="s">
        <v>86</v>
      </c>
      <c r="K2188">
        <v>2</v>
      </c>
      <c r="L2188">
        <v>1838.84</v>
      </c>
      <c r="M2188">
        <v>0.2</v>
      </c>
      <c r="N2188">
        <v>2942.14</v>
      </c>
      <c r="O2188">
        <v>2026.64</v>
      </c>
      <c r="P2188">
        <v>915.5</v>
      </c>
      <c r="Q2188" t="s">
        <v>53</v>
      </c>
      <c r="R2188">
        <v>0.31116806134310399</v>
      </c>
      <c r="S2188">
        <v>2025</v>
      </c>
      <c r="T2188" t="s">
        <v>1671</v>
      </c>
      <c r="U2188">
        <v>9</v>
      </c>
      <c r="V2188" t="s">
        <v>1385</v>
      </c>
    </row>
    <row r="2189" spans="1:22" x14ac:dyDescent="0.3">
      <c r="A2189" t="s">
        <v>3210</v>
      </c>
      <c r="B2189" s="1">
        <v>45929</v>
      </c>
      <c r="C2189" t="s">
        <v>2260</v>
      </c>
      <c r="D2189" t="s">
        <v>103</v>
      </c>
      <c r="E2189" t="s">
        <v>61</v>
      </c>
      <c r="F2189" t="s">
        <v>71</v>
      </c>
      <c r="G2189" t="s">
        <v>201</v>
      </c>
      <c r="H2189" t="s">
        <v>43</v>
      </c>
      <c r="I2189" t="s">
        <v>51</v>
      </c>
      <c r="J2189" t="s">
        <v>52</v>
      </c>
      <c r="K2189">
        <v>3</v>
      </c>
      <c r="L2189">
        <v>711.69</v>
      </c>
      <c r="M2189">
        <v>0.1</v>
      </c>
      <c r="N2189">
        <v>1921.56</v>
      </c>
      <c r="O2189">
        <v>1014.82</v>
      </c>
      <c r="P2189">
        <v>906.74</v>
      </c>
      <c r="Q2189" t="s">
        <v>53</v>
      </c>
      <c r="R2189">
        <v>0.47187701659068682</v>
      </c>
      <c r="S2189">
        <v>2025</v>
      </c>
      <c r="T2189" t="s">
        <v>1671</v>
      </c>
      <c r="U2189">
        <v>9</v>
      </c>
      <c r="V2189" t="s">
        <v>1385</v>
      </c>
    </row>
    <row r="2190" spans="1:22" x14ac:dyDescent="0.3">
      <c r="A2190" t="s">
        <v>3211</v>
      </c>
      <c r="B2190" s="1">
        <v>45929</v>
      </c>
      <c r="C2190" t="s">
        <v>1040</v>
      </c>
      <c r="D2190" t="s">
        <v>390</v>
      </c>
      <c r="E2190" t="s">
        <v>61</v>
      </c>
      <c r="F2190" t="s">
        <v>78</v>
      </c>
      <c r="G2190" t="s">
        <v>104</v>
      </c>
      <c r="H2190" t="s">
        <v>28</v>
      </c>
      <c r="I2190" t="s">
        <v>91</v>
      </c>
      <c r="J2190" t="s">
        <v>126</v>
      </c>
      <c r="K2190">
        <v>5</v>
      </c>
      <c r="L2190">
        <v>2053.23</v>
      </c>
      <c r="M2190">
        <v>0</v>
      </c>
      <c r="N2190">
        <v>10266.15</v>
      </c>
      <c r="O2190">
        <v>5813.42</v>
      </c>
      <c r="P2190">
        <v>4452.7299999999996</v>
      </c>
      <c r="Q2190" t="s">
        <v>31</v>
      </c>
      <c r="R2190">
        <v>0.43372929481840811</v>
      </c>
      <c r="S2190">
        <v>2025</v>
      </c>
      <c r="T2190" t="s">
        <v>1671</v>
      </c>
      <c r="U2190">
        <v>9</v>
      </c>
      <c r="V2190" t="s">
        <v>1385</v>
      </c>
    </row>
    <row r="2191" spans="1:22" x14ac:dyDescent="0.3">
      <c r="A2191" t="s">
        <v>3212</v>
      </c>
      <c r="B2191" s="1">
        <v>45930</v>
      </c>
      <c r="C2191" t="s">
        <v>333</v>
      </c>
      <c r="D2191" t="s">
        <v>680</v>
      </c>
      <c r="E2191" t="s">
        <v>120</v>
      </c>
      <c r="F2191" t="s">
        <v>121</v>
      </c>
      <c r="G2191" t="s">
        <v>130</v>
      </c>
      <c r="H2191" t="s">
        <v>84</v>
      </c>
      <c r="I2191" t="s">
        <v>138</v>
      </c>
      <c r="J2191" t="s">
        <v>220</v>
      </c>
      <c r="K2191">
        <v>1</v>
      </c>
      <c r="L2191">
        <v>7905.68</v>
      </c>
      <c r="M2191">
        <v>0.15</v>
      </c>
      <c r="N2191">
        <v>6719.83</v>
      </c>
      <c r="O2191">
        <v>4938.1000000000004</v>
      </c>
      <c r="P2191">
        <v>1781.73</v>
      </c>
      <c r="Q2191" t="s">
        <v>67</v>
      </c>
      <c r="R2191">
        <v>0.26514510039688499</v>
      </c>
      <c r="S2191">
        <v>2025</v>
      </c>
      <c r="T2191" t="s">
        <v>1671</v>
      </c>
      <c r="U2191">
        <v>9</v>
      </c>
      <c r="V2191" t="s">
        <v>1385</v>
      </c>
    </row>
    <row r="2192" spans="1:22" x14ac:dyDescent="0.3">
      <c r="A2192" t="s">
        <v>3213</v>
      </c>
      <c r="B2192" s="1">
        <v>45930</v>
      </c>
      <c r="C2192" t="s">
        <v>769</v>
      </c>
      <c r="D2192" t="s">
        <v>1345</v>
      </c>
      <c r="E2192" t="s">
        <v>41</v>
      </c>
      <c r="F2192" t="s">
        <v>42</v>
      </c>
      <c r="G2192" t="s">
        <v>50</v>
      </c>
      <c r="H2192" t="s">
        <v>43</v>
      </c>
      <c r="I2192" t="s">
        <v>51</v>
      </c>
      <c r="J2192" t="s">
        <v>96</v>
      </c>
      <c r="K2192">
        <v>2</v>
      </c>
      <c r="L2192">
        <v>499.11</v>
      </c>
      <c r="M2192">
        <v>0.2</v>
      </c>
      <c r="N2192">
        <v>798.58</v>
      </c>
      <c r="O2192">
        <v>461.36</v>
      </c>
      <c r="P2192">
        <v>337.22</v>
      </c>
      <c r="Q2192" t="s">
        <v>67</v>
      </c>
      <c r="R2192">
        <v>0.42227453730371411</v>
      </c>
      <c r="S2192">
        <v>2025</v>
      </c>
      <c r="T2192" t="s">
        <v>1671</v>
      </c>
      <c r="U2192">
        <v>9</v>
      </c>
      <c r="V2192" t="s">
        <v>1385</v>
      </c>
    </row>
    <row r="2193" spans="1:22" x14ac:dyDescent="0.3">
      <c r="A2193" t="s">
        <v>3214</v>
      </c>
      <c r="B2193" s="1">
        <v>45930</v>
      </c>
      <c r="C2193" t="s">
        <v>2389</v>
      </c>
      <c r="D2193" t="s">
        <v>2244</v>
      </c>
      <c r="E2193" t="s">
        <v>61</v>
      </c>
      <c r="F2193" t="s">
        <v>78</v>
      </c>
      <c r="G2193" t="s">
        <v>216</v>
      </c>
      <c r="H2193" t="s">
        <v>28</v>
      </c>
      <c r="I2193" t="s">
        <v>29</v>
      </c>
      <c r="J2193" t="s">
        <v>57</v>
      </c>
      <c r="K2193">
        <v>4</v>
      </c>
      <c r="L2193">
        <v>16667.599999999999</v>
      </c>
      <c r="M2193">
        <v>0.2</v>
      </c>
      <c r="N2193">
        <v>53336.32</v>
      </c>
      <c r="O2193">
        <v>50532.29</v>
      </c>
      <c r="P2193">
        <v>2804.03</v>
      </c>
      <c r="Q2193" t="s">
        <v>53</v>
      </c>
      <c r="R2193">
        <v>5.2572618433367732E-2</v>
      </c>
      <c r="S2193">
        <v>2025</v>
      </c>
      <c r="T2193" t="s">
        <v>1671</v>
      </c>
      <c r="U2193">
        <v>9</v>
      </c>
      <c r="V2193" t="s">
        <v>1385</v>
      </c>
    </row>
    <row r="2194" spans="1:22" x14ac:dyDescent="0.3">
      <c r="A2194" t="s">
        <v>3215</v>
      </c>
      <c r="B2194" s="1">
        <v>45931</v>
      </c>
      <c r="C2194" t="s">
        <v>1752</v>
      </c>
      <c r="D2194" t="s">
        <v>1433</v>
      </c>
      <c r="E2194" t="s">
        <v>61</v>
      </c>
      <c r="F2194" t="s">
        <v>71</v>
      </c>
      <c r="G2194" t="s">
        <v>72</v>
      </c>
      <c r="H2194" t="s">
        <v>84</v>
      </c>
      <c r="I2194" t="s">
        <v>85</v>
      </c>
      <c r="J2194" t="s">
        <v>145</v>
      </c>
      <c r="K2194">
        <v>1</v>
      </c>
      <c r="L2194">
        <v>3475.87</v>
      </c>
      <c r="M2194">
        <v>0.05</v>
      </c>
      <c r="N2194">
        <v>3302.08</v>
      </c>
      <c r="O2194">
        <v>1949.84</v>
      </c>
      <c r="P2194">
        <v>1352.24</v>
      </c>
      <c r="Q2194" t="s">
        <v>31</v>
      </c>
      <c r="R2194">
        <v>0.40951158057951348</v>
      </c>
      <c r="S2194">
        <v>2025</v>
      </c>
      <c r="T2194" t="s">
        <v>1802</v>
      </c>
      <c r="U2194">
        <v>10</v>
      </c>
      <c r="V2194" t="s">
        <v>1803</v>
      </c>
    </row>
    <row r="2195" spans="1:22" x14ac:dyDescent="0.3">
      <c r="A2195" t="s">
        <v>3216</v>
      </c>
      <c r="B2195" s="1">
        <v>45931</v>
      </c>
      <c r="C2195" t="s">
        <v>3217</v>
      </c>
      <c r="D2195" t="s">
        <v>726</v>
      </c>
      <c r="E2195" t="s">
        <v>25</v>
      </c>
      <c r="F2195" t="s">
        <v>26</v>
      </c>
      <c r="G2195" t="s">
        <v>171</v>
      </c>
      <c r="H2195" t="s">
        <v>28</v>
      </c>
      <c r="I2195" t="s">
        <v>73</v>
      </c>
      <c r="J2195" t="s">
        <v>80</v>
      </c>
      <c r="K2195">
        <v>5</v>
      </c>
      <c r="L2195">
        <v>837.89</v>
      </c>
      <c r="M2195">
        <v>0.2</v>
      </c>
      <c r="N2195">
        <v>3351.56</v>
      </c>
      <c r="O2195">
        <v>2626.33</v>
      </c>
      <c r="P2195">
        <v>725.23</v>
      </c>
      <c r="Q2195" t="s">
        <v>31</v>
      </c>
      <c r="R2195">
        <v>0.21638580243230021</v>
      </c>
      <c r="S2195">
        <v>2025</v>
      </c>
      <c r="T2195" t="s">
        <v>1802</v>
      </c>
      <c r="U2195">
        <v>10</v>
      </c>
      <c r="V2195" t="s">
        <v>1803</v>
      </c>
    </row>
    <row r="2196" spans="1:22" x14ac:dyDescent="0.3">
      <c r="A2196" t="s">
        <v>3218</v>
      </c>
      <c r="B2196" s="1">
        <v>45931</v>
      </c>
      <c r="C2196" t="s">
        <v>3219</v>
      </c>
      <c r="D2196" t="s">
        <v>726</v>
      </c>
      <c r="E2196" t="s">
        <v>61</v>
      </c>
      <c r="F2196" t="s">
        <v>62</v>
      </c>
      <c r="G2196" t="s">
        <v>134</v>
      </c>
      <c r="H2196" t="s">
        <v>28</v>
      </c>
      <c r="I2196" t="s">
        <v>73</v>
      </c>
      <c r="J2196" t="s">
        <v>80</v>
      </c>
      <c r="K2196">
        <v>3</v>
      </c>
      <c r="L2196">
        <v>780.18</v>
      </c>
      <c r="M2196">
        <v>0</v>
      </c>
      <c r="N2196">
        <v>2340.54</v>
      </c>
      <c r="O2196">
        <v>1492.58</v>
      </c>
      <c r="P2196">
        <v>847.96</v>
      </c>
      <c r="Q2196" t="s">
        <v>31</v>
      </c>
      <c r="R2196">
        <v>0.36229246242320151</v>
      </c>
      <c r="S2196">
        <v>2025</v>
      </c>
      <c r="T2196" t="s">
        <v>1802</v>
      </c>
      <c r="U2196">
        <v>10</v>
      </c>
      <c r="V2196" t="s">
        <v>1803</v>
      </c>
    </row>
    <row r="2197" spans="1:22" x14ac:dyDescent="0.3">
      <c r="A2197" t="s">
        <v>3220</v>
      </c>
      <c r="B2197" s="1">
        <v>45931</v>
      </c>
      <c r="C2197" t="s">
        <v>692</v>
      </c>
      <c r="D2197" t="s">
        <v>701</v>
      </c>
      <c r="E2197" t="s">
        <v>61</v>
      </c>
      <c r="F2197" t="s">
        <v>78</v>
      </c>
      <c r="G2197" t="s">
        <v>83</v>
      </c>
      <c r="H2197" t="s">
        <v>43</v>
      </c>
      <c r="I2197" t="s">
        <v>44</v>
      </c>
      <c r="J2197" t="s">
        <v>45</v>
      </c>
      <c r="K2197">
        <v>3</v>
      </c>
      <c r="L2197">
        <v>248.06</v>
      </c>
      <c r="M2197">
        <v>0.1</v>
      </c>
      <c r="N2197">
        <v>669.76</v>
      </c>
      <c r="O2197">
        <v>293.19</v>
      </c>
      <c r="P2197">
        <v>376.57</v>
      </c>
      <c r="Q2197" t="s">
        <v>46</v>
      </c>
      <c r="R2197">
        <v>0.56224617773530816</v>
      </c>
      <c r="S2197">
        <v>2025</v>
      </c>
      <c r="T2197" t="s">
        <v>1802</v>
      </c>
      <c r="U2197">
        <v>10</v>
      </c>
      <c r="V2197" t="s">
        <v>1803</v>
      </c>
    </row>
    <row r="2198" spans="1:22" x14ac:dyDescent="0.3">
      <c r="A2198" t="s">
        <v>3221</v>
      </c>
      <c r="B2198" s="1">
        <v>45931</v>
      </c>
      <c r="C2198" t="s">
        <v>589</v>
      </c>
      <c r="D2198" t="s">
        <v>151</v>
      </c>
      <c r="E2198" t="s">
        <v>61</v>
      </c>
      <c r="F2198" t="s">
        <v>71</v>
      </c>
      <c r="G2198" t="s">
        <v>100</v>
      </c>
      <c r="H2198" t="s">
        <v>43</v>
      </c>
      <c r="I2198" t="s">
        <v>44</v>
      </c>
      <c r="J2198" t="s">
        <v>45</v>
      </c>
      <c r="K2198">
        <v>4</v>
      </c>
      <c r="L2198">
        <v>245.47</v>
      </c>
      <c r="M2198">
        <v>0.15</v>
      </c>
      <c r="N2198">
        <v>834.6</v>
      </c>
      <c r="O2198">
        <v>380.77</v>
      </c>
      <c r="P2198">
        <v>453.83</v>
      </c>
      <c r="Q2198" t="s">
        <v>31</v>
      </c>
      <c r="R2198">
        <v>0.54376947040498436</v>
      </c>
      <c r="S2198">
        <v>2025</v>
      </c>
      <c r="T2198" t="s">
        <v>1802</v>
      </c>
      <c r="U2198">
        <v>10</v>
      </c>
      <c r="V2198" t="s">
        <v>1803</v>
      </c>
    </row>
    <row r="2199" spans="1:22" x14ac:dyDescent="0.3">
      <c r="A2199" t="s">
        <v>3222</v>
      </c>
      <c r="B2199" s="1">
        <v>45933</v>
      </c>
      <c r="C2199" t="s">
        <v>968</v>
      </c>
      <c r="D2199" t="s">
        <v>935</v>
      </c>
      <c r="E2199" t="s">
        <v>61</v>
      </c>
      <c r="F2199" t="s">
        <v>62</v>
      </c>
      <c r="G2199" t="s">
        <v>63</v>
      </c>
      <c r="H2199" t="s">
        <v>64</v>
      </c>
      <c r="I2199" t="s">
        <v>108</v>
      </c>
      <c r="J2199" t="s">
        <v>109</v>
      </c>
      <c r="K2199">
        <v>3</v>
      </c>
      <c r="L2199">
        <v>7413.37</v>
      </c>
      <c r="M2199">
        <v>0</v>
      </c>
      <c r="N2199">
        <v>22240.11</v>
      </c>
      <c r="O2199">
        <v>13984.18</v>
      </c>
      <c r="P2199">
        <v>8255.93</v>
      </c>
      <c r="Q2199" t="s">
        <v>31</v>
      </c>
      <c r="R2199">
        <v>0.37121803804027947</v>
      </c>
      <c r="S2199">
        <v>2025</v>
      </c>
      <c r="T2199" t="s">
        <v>1802</v>
      </c>
      <c r="U2199">
        <v>10</v>
      </c>
      <c r="V2199" t="s">
        <v>1803</v>
      </c>
    </row>
    <row r="2200" spans="1:22" x14ac:dyDescent="0.3">
      <c r="A2200" t="s">
        <v>3223</v>
      </c>
      <c r="B2200" s="1">
        <v>45933</v>
      </c>
      <c r="C2200" t="s">
        <v>640</v>
      </c>
      <c r="D2200" t="s">
        <v>1521</v>
      </c>
      <c r="E2200" t="s">
        <v>41</v>
      </c>
      <c r="F2200" t="s">
        <v>42</v>
      </c>
      <c r="G2200" t="s">
        <v>50</v>
      </c>
      <c r="H2200" t="s">
        <v>28</v>
      </c>
      <c r="I2200" t="s">
        <v>91</v>
      </c>
      <c r="J2200" t="s">
        <v>126</v>
      </c>
      <c r="K2200">
        <v>1</v>
      </c>
      <c r="L2200">
        <v>2028.57</v>
      </c>
      <c r="M2200">
        <v>0.15</v>
      </c>
      <c r="N2200">
        <v>1724.28</v>
      </c>
      <c r="O2200">
        <v>1201.1300000000001</v>
      </c>
      <c r="P2200">
        <v>523.15</v>
      </c>
      <c r="Q2200" t="s">
        <v>46</v>
      </c>
      <c r="R2200">
        <v>0.30340199967522669</v>
      </c>
      <c r="S2200">
        <v>2025</v>
      </c>
      <c r="T2200" t="s">
        <v>1802</v>
      </c>
      <c r="U2200">
        <v>10</v>
      </c>
      <c r="V2200" t="s">
        <v>1803</v>
      </c>
    </row>
    <row r="2201" spans="1:22" x14ac:dyDescent="0.3">
      <c r="A2201" t="s">
        <v>3224</v>
      </c>
      <c r="B2201" s="1">
        <v>45934</v>
      </c>
      <c r="C2201" t="s">
        <v>351</v>
      </c>
      <c r="D2201" t="s">
        <v>1988</v>
      </c>
      <c r="E2201" t="s">
        <v>41</v>
      </c>
      <c r="F2201" t="s">
        <v>42</v>
      </c>
      <c r="G2201" t="s">
        <v>42</v>
      </c>
      <c r="H2201" t="s">
        <v>28</v>
      </c>
      <c r="I2201" t="s">
        <v>73</v>
      </c>
      <c r="J2201" t="s">
        <v>74</v>
      </c>
      <c r="K2201">
        <v>3</v>
      </c>
      <c r="L2201">
        <v>2460.46</v>
      </c>
      <c r="M2201">
        <v>0.1</v>
      </c>
      <c r="N2201">
        <v>6643.24</v>
      </c>
      <c r="O2201">
        <v>3978.39</v>
      </c>
      <c r="P2201">
        <v>2664.85</v>
      </c>
      <c r="Q2201" t="s">
        <v>46</v>
      </c>
      <c r="R2201">
        <v>0.40113709575448131</v>
      </c>
      <c r="S2201">
        <v>2025</v>
      </c>
      <c r="T2201" t="s">
        <v>1802</v>
      </c>
      <c r="U2201">
        <v>10</v>
      </c>
      <c r="V2201" t="s">
        <v>1803</v>
      </c>
    </row>
    <row r="2202" spans="1:22" x14ac:dyDescent="0.3">
      <c r="A2202" t="s">
        <v>3225</v>
      </c>
      <c r="B2202" s="1">
        <v>45934</v>
      </c>
      <c r="C2202" t="s">
        <v>883</v>
      </c>
      <c r="D2202" t="s">
        <v>268</v>
      </c>
      <c r="E2202" t="s">
        <v>61</v>
      </c>
      <c r="F2202" t="s">
        <v>62</v>
      </c>
      <c r="G2202" t="s">
        <v>134</v>
      </c>
      <c r="H2202" t="s">
        <v>43</v>
      </c>
      <c r="I2202" t="s">
        <v>44</v>
      </c>
      <c r="J2202" t="s">
        <v>45</v>
      </c>
      <c r="K2202">
        <v>2</v>
      </c>
      <c r="L2202">
        <v>250.58</v>
      </c>
      <c r="M2202">
        <v>0.2</v>
      </c>
      <c r="N2202">
        <v>400.93</v>
      </c>
      <c r="O2202">
        <v>186.95</v>
      </c>
      <c r="P2202">
        <v>213.98</v>
      </c>
      <c r="Q2202" t="s">
        <v>46</v>
      </c>
      <c r="R2202">
        <v>0.53370912628139577</v>
      </c>
      <c r="S2202">
        <v>2025</v>
      </c>
      <c r="T2202" t="s">
        <v>1802</v>
      </c>
      <c r="U2202">
        <v>10</v>
      </c>
      <c r="V2202" t="s">
        <v>1803</v>
      </c>
    </row>
    <row r="2203" spans="1:22" x14ac:dyDescent="0.3">
      <c r="A2203" t="s">
        <v>3226</v>
      </c>
      <c r="B2203" s="1">
        <v>45935</v>
      </c>
      <c r="C2203" t="s">
        <v>476</v>
      </c>
      <c r="D2203" t="s">
        <v>1136</v>
      </c>
      <c r="E2203" t="s">
        <v>25</v>
      </c>
      <c r="F2203" t="s">
        <v>26</v>
      </c>
      <c r="G2203" t="s">
        <v>37</v>
      </c>
      <c r="H2203" t="s">
        <v>43</v>
      </c>
      <c r="I2203" t="s">
        <v>44</v>
      </c>
      <c r="J2203" t="s">
        <v>45</v>
      </c>
      <c r="K2203">
        <v>4</v>
      </c>
      <c r="L2203">
        <v>238.63</v>
      </c>
      <c r="M2203">
        <v>0.05</v>
      </c>
      <c r="N2203">
        <v>906.79</v>
      </c>
      <c r="O2203">
        <v>352.73</v>
      </c>
      <c r="P2203">
        <v>554.05999999999995</v>
      </c>
      <c r="Q2203" t="s">
        <v>113</v>
      </c>
      <c r="R2203">
        <v>0.61101247256806979</v>
      </c>
      <c r="S2203">
        <v>2025</v>
      </c>
      <c r="T2203" t="s">
        <v>1802</v>
      </c>
      <c r="U2203">
        <v>10</v>
      </c>
      <c r="V2203" t="s">
        <v>1803</v>
      </c>
    </row>
    <row r="2204" spans="1:22" x14ac:dyDescent="0.3">
      <c r="A2204" t="s">
        <v>3227</v>
      </c>
      <c r="B2204" s="1">
        <v>45935</v>
      </c>
      <c r="C2204" t="s">
        <v>1653</v>
      </c>
      <c r="D2204" t="s">
        <v>444</v>
      </c>
      <c r="E2204" t="s">
        <v>120</v>
      </c>
      <c r="F2204" t="s">
        <v>121</v>
      </c>
      <c r="G2204" t="s">
        <v>224</v>
      </c>
      <c r="H2204" t="s">
        <v>28</v>
      </c>
      <c r="I2204" t="s">
        <v>73</v>
      </c>
      <c r="J2204" t="s">
        <v>74</v>
      </c>
      <c r="K2204">
        <v>2</v>
      </c>
      <c r="L2204">
        <v>2540.36</v>
      </c>
      <c r="M2204">
        <v>0.05</v>
      </c>
      <c r="N2204">
        <v>4826.68</v>
      </c>
      <c r="O2204">
        <v>2896.05</v>
      </c>
      <c r="P2204">
        <v>1930.63</v>
      </c>
      <c r="Q2204" t="s">
        <v>46</v>
      </c>
      <c r="R2204">
        <v>0.3999912983665791</v>
      </c>
      <c r="S2204">
        <v>2025</v>
      </c>
      <c r="T2204" t="s">
        <v>1802</v>
      </c>
      <c r="U2204">
        <v>10</v>
      </c>
      <c r="V2204" t="s">
        <v>1803</v>
      </c>
    </row>
    <row r="2205" spans="1:22" x14ac:dyDescent="0.3">
      <c r="A2205" t="s">
        <v>3228</v>
      </c>
      <c r="B2205" s="1">
        <v>45935</v>
      </c>
      <c r="C2205" t="s">
        <v>379</v>
      </c>
      <c r="D2205" t="s">
        <v>683</v>
      </c>
      <c r="E2205" t="s">
        <v>41</v>
      </c>
      <c r="F2205" t="s">
        <v>42</v>
      </c>
      <c r="G2205" t="s">
        <v>42</v>
      </c>
      <c r="H2205" t="s">
        <v>84</v>
      </c>
      <c r="I2205" t="s">
        <v>138</v>
      </c>
      <c r="J2205" t="s">
        <v>139</v>
      </c>
      <c r="K2205">
        <v>4</v>
      </c>
      <c r="L2205">
        <v>13711.7</v>
      </c>
      <c r="M2205">
        <v>0.1</v>
      </c>
      <c r="N2205">
        <v>49362.12</v>
      </c>
      <c r="O2205">
        <v>38474.43</v>
      </c>
      <c r="P2205">
        <v>10887.69</v>
      </c>
      <c r="Q2205" t="s">
        <v>53</v>
      </c>
      <c r="R2205">
        <v>0.2205677146767602</v>
      </c>
      <c r="S2205">
        <v>2025</v>
      </c>
      <c r="T2205" t="s">
        <v>1802</v>
      </c>
      <c r="U2205">
        <v>10</v>
      </c>
      <c r="V2205" t="s">
        <v>1803</v>
      </c>
    </row>
    <row r="2206" spans="1:22" x14ac:dyDescent="0.3">
      <c r="A2206" t="s">
        <v>3229</v>
      </c>
      <c r="B2206" s="1">
        <v>45936</v>
      </c>
      <c r="C2206" t="s">
        <v>908</v>
      </c>
      <c r="D2206" t="s">
        <v>510</v>
      </c>
      <c r="E2206" t="s">
        <v>41</v>
      </c>
      <c r="F2206" t="s">
        <v>42</v>
      </c>
      <c r="G2206" t="s">
        <v>50</v>
      </c>
      <c r="H2206" t="s">
        <v>28</v>
      </c>
      <c r="I2206" t="s">
        <v>91</v>
      </c>
      <c r="J2206" t="s">
        <v>92</v>
      </c>
      <c r="K2206">
        <v>1</v>
      </c>
      <c r="L2206">
        <v>3134.22</v>
      </c>
      <c r="M2206">
        <v>0</v>
      </c>
      <c r="N2206">
        <v>3134.22</v>
      </c>
      <c r="O2206">
        <v>1603.11</v>
      </c>
      <c r="P2206">
        <v>1531.11</v>
      </c>
      <c r="Q2206" t="s">
        <v>67</v>
      </c>
      <c r="R2206">
        <v>0.48851388862300671</v>
      </c>
      <c r="S2206">
        <v>2025</v>
      </c>
      <c r="T2206" t="s">
        <v>1802</v>
      </c>
      <c r="U2206">
        <v>10</v>
      </c>
      <c r="V2206" t="s">
        <v>1803</v>
      </c>
    </row>
    <row r="2207" spans="1:22" x14ac:dyDescent="0.3">
      <c r="A2207" t="s">
        <v>3230</v>
      </c>
      <c r="B2207" s="1">
        <v>45936</v>
      </c>
      <c r="C2207" t="s">
        <v>1477</v>
      </c>
      <c r="D2207" t="s">
        <v>568</v>
      </c>
      <c r="E2207" t="s">
        <v>120</v>
      </c>
      <c r="F2207" t="s">
        <v>121</v>
      </c>
      <c r="G2207" t="s">
        <v>224</v>
      </c>
      <c r="H2207" t="s">
        <v>43</v>
      </c>
      <c r="I2207" t="s">
        <v>44</v>
      </c>
      <c r="J2207" t="s">
        <v>248</v>
      </c>
      <c r="K2207">
        <v>3</v>
      </c>
      <c r="L2207">
        <v>300.58</v>
      </c>
      <c r="M2207">
        <v>0.05</v>
      </c>
      <c r="N2207">
        <v>856.65</v>
      </c>
      <c r="O2207">
        <v>386.49</v>
      </c>
      <c r="P2207">
        <v>470.16</v>
      </c>
      <c r="Q2207" t="s">
        <v>31</v>
      </c>
      <c r="R2207">
        <v>0.54883558045876379</v>
      </c>
      <c r="S2207">
        <v>2025</v>
      </c>
      <c r="T2207" t="s">
        <v>1802</v>
      </c>
      <c r="U2207">
        <v>10</v>
      </c>
      <c r="V2207" t="s">
        <v>1803</v>
      </c>
    </row>
    <row r="2208" spans="1:22" x14ac:dyDescent="0.3">
      <c r="A2208" t="s">
        <v>3231</v>
      </c>
      <c r="B2208" s="1">
        <v>45937</v>
      </c>
      <c r="C2208" t="s">
        <v>784</v>
      </c>
      <c r="D2208" t="s">
        <v>227</v>
      </c>
      <c r="E2208" t="s">
        <v>61</v>
      </c>
      <c r="F2208" t="s">
        <v>71</v>
      </c>
      <c r="G2208" t="s">
        <v>317</v>
      </c>
      <c r="H2208" t="s">
        <v>64</v>
      </c>
      <c r="I2208" t="s">
        <v>65</v>
      </c>
      <c r="J2208" t="s">
        <v>232</v>
      </c>
      <c r="K2208">
        <v>3</v>
      </c>
      <c r="L2208">
        <v>3833.31</v>
      </c>
      <c r="M2208">
        <v>0</v>
      </c>
      <c r="N2208">
        <v>11499.93</v>
      </c>
      <c r="O2208">
        <v>7451.49</v>
      </c>
      <c r="P2208">
        <v>4048.44</v>
      </c>
      <c r="Q2208" t="s">
        <v>46</v>
      </c>
      <c r="R2208">
        <v>0.35204040372419659</v>
      </c>
      <c r="S2208">
        <v>2025</v>
      </c>
      <c r="T2208" t="s">
        <v>1802</v>
      </c>
      <c r="U2208">
        <v>10</v>
      </c>
      <c r="V2208" t="s">
        <v>1803</v>
      </c>
    </row>
    <row r="2209" spans="1:22" x14ac:dyDescent="0.3">
      <c r="A2209" t="s">
        <v>3232</v>
      </c>
      <c r="B2209" s="1">
        <v>45937</v>
      </c>
      <c r="C2209" t="s">
        <v>983</v>
      </c>
      <c r="D2209" t="s">
        <v>932</v>
      </c>
      <c r="E2209" t="s">
        <v>61</v>
      </c>
      <c r="F2209" t="s">
        <v>71</v>
      </c>
      <c r="G2209" t="s">
        <v>100</v>
      </c>
      <c r="H2209" t="s">
        <v>43</v>
      </c>
      <c r="I2209" t="s">
        <v>51</v>
      </c>
      <c r="J2209" t="s">
        <v>52</v>
      </c>
      <c r="K2209">
        <v>5</v>
      </c>
      <c r="L2209">
        <v>693.4</v>
      </c>
      <c r="M2209">
        <v>0.15</v>
      </c>
      <c r="N2209">
        <v>2946.95</v>
      </c>
      <c r="O2209">
        <v>1599.98</v>
      </c>
      <c r="P2209">
        <v>1346.97</v>
      </c>
      <c r="Q2209" t="s">
        <v>67</v>
      </c>
      <c r="R2209">
        <v>0.45707256655185868</v>
      </c>
      <c r="S2209">
        <v>2025</v>
      </c>
      <c r="T2209" t="s">
        <v>1802</v>
      </c>
      <c r="U2209">
        <v>10</v>
      </c>
      <c r="V2209" t="s">
        <v>1803</v>
      </c>
    </row>
    <row r="2210" spans="1:22" x14ac:dyDescent="0.3">
      <c r="A2210" t="s">
        <v>3233</v>
      </c>
      <c r="B2210" s="1">
        <v>45937</v>
      </c>
      <c r="C2210" t="s">
        <v>1826</v>
      </c>
      <c r="D2210" t="s">
        <v>1433</v>
      </c>
      <c r="E2210" t="s">
        <v>41</v>
      </c>
      <c r="F2210" t="s">
        <v>42</v>
      </c>
      <c r="G2210" t="s">
        <v>42</v>
      </c>
      <c r="H2210" t="s">
        <v>64</v>
      </c>
      <c r="I2210" t="s">
        <v>65</v>
      </c>
      <c r="J2210" t="s">
        <v>232</v>
      </c>
      <c r="K2210">
        <v>1</v>
      </c>
      <c r="L2210">
        <v>4105.1499999999996</v>
      </c>
      <c r="M2210">
        <v>0.15</v>
      </c>
      <c r="N2210">
        <v>3489.38</v>
      </c>
      <c r="O2210">
        <v>2680.05</v>
      </c>
      <c r="P2210">
        <v>809.33</v>
      </c>
      <c r="Q2210" t="s">
        <v>53</v>
      </c>
      <c r="R2210">
        <v>0.23194091787079649</v>
      </c>
      <c r="S2210">
        <v>2025</v>
      </c>
      <c r="T2210" t="s">
        <v>1802</v>
      </c>
      <c r="U2210">
        <v>10</v>
      </c>
      <c r="V2210" t="s">
        <v>1803</v>
      </c>
    </row>
    <row r="2211" spans="1:22" x14ac:dyDescent="0.3">
      <c r="A2211" t="s">
        <v>3234</v>
      </c>
      <c r="B2211" s="1">
        <v>45938</v>
      </c>
      <c r="C2211" t="s">
        <v>1551</v>
      </c>
      <c r="D2211" t="s">
        <v>1658</v>
      </c>
      <c r="E2211" t="s">
        <v>41</v>
      </c>
      <c r="F2211" t="s">
        <v>42</v>
      </c>
      <c r="G2211" t="s">
        <v>50</v>
      </c>
      <c r="H2211" t="s">
        <v>64</v>
      </c>
      <c r="I2211" t="s">
        <v>65</v>
      </c>
      <c r="J2211" t="s">
        <v>232</v>
      </c>
      <c r="K2211">
        <v>1</v>
      </c>
      <c r="L2211">
        <v>4221.79</v>
      </c>
      <c r="M2211">
        <v>0.15</v>
      </c>
      <c r="N2211">
        <v>3588.52</v>
      </c>
      <c r="O2211">
        <v>2652.6</v>
      </c>
      <c r="P2211">
        <v>935.92</v>
      </c>
      <c r="Q2211" t="s">
        <v>53</v>
      </c>
      <c r="R2211">
        <v>0.2608094701994137</v>
      </c>
      <c r="S2211">
        <v>2025</v>
      </c>
      <c r="T2211" t="s">
        <v>1802</v>
      </c>
      <c r="U2211">
        <v>10</v>
      </c>
      <c r="V2211" t="s">
        <v>1803</v>
      </c>
    </row>
    <row r="2212" spans="1:22" x14ac:dyDescent="0.3">
      <c r="A2212" t="s">
        <v>3235</v>
      </c>
      <c r="B2212" s="1">
        <v>45938</v>
      </c>
      <c r="C2212" t="s">
        <v>593</v>
      </c>
      <c r="D2212" t="s">
        <v>601</v>
      </c>
      <c r="E2212" t="s">
        <v>120</v>
      </c>
      <c r="F2212" t="s">
        <v>121</v>
      </c>
      <c r="G2212" t="s">
        <v>122</v>
      </c>
      <c r="H2212" t="s">
        <v>28</v>
      </c>
      <c r="I2212" t="s">
        <v>91</v>
      </c>
      <c r="J2212" t="s">
        <v>92</v>
      </c>
      <c r="K2212">
        <v>1</v>
      </c>
      <c r="L2212">
        <v>3046.4</v>
      </c>
      <c r="M2212">
        <v>0.05</v>
      </c>
      <c r="N2212">
        <v>2894.08</v>
      </c>
      <c r="O2212">
        <v>1567.66</v>
      </c>
      <c r="P2212">
        <v>1326.42</v>
      </c>
      <c r="Q2212" t="s">
        <v>53</v>
      </c>
      <c r="R2212">
        <v>0.45832181556833262</v>
      </c>
      <c r="S2212">
        <v>2025</v>
      </c>
      <c r="T2212" t="s">
        <v>1802</v>
      </c>
      <c r="U2212">
        <v>10</v>
      </c>
      <c r="V2212" t="s">
        <v>1803</v>
      </c>
    </row>
    <row r="2213" spans="1:22" x14ac:dyDescent="0.3">
      <c r="A2213" t="s">
        <v>3236</v>
      </c>
      <c r="B2213" s="1">
        <v>45938</v>
      </c>
      <c r="C2213" t="s">
        <v>714</v>
      </c>
      <c r="D2213" t="s">
        <v>1108</v>
      </c>
      <c r="E2213" t="s">
        <v>61</v>
      </c>
      <c r="F2213" t="s">
        <v>71</v>
      </c>
      <c r="G2213" t="s">
        <v>72</v>
      </c>
      <c r="H2213" t="s">
        <v>43</v>
      </c>
      <c r="I2213" t="s">
        <v>51</v>
      </c>
      <c r="J2213" t="s">
        <v>52</v>
      </c>
      <c r="K2213">
        <v>4</v>
      </c>
      <c r="L2213">
        <v>658.94</v>
      </c>
      <c r="M2213">
        <v>0.1</v>
      </c>
      <c r="N2213">
        <v>2372.1799999999998</v>
      </c>
      <c r="O2213">
        <v>1244.99</v>
      </c>
      <c r="P2213">
        <v>1127.19</v>
      </c>
      <c r="Q2213" t="s">
        <v>46</v>
      </c>
      <c r="R2213">
        <v>0.47517051825746792</v>
      </c>
      <c r="S2213">
        <v>2025</v>
      </c>
      <c r="T2213" t="s">
        <v>1802</v>
      </c>
      <c r="U2213">
        <v>10</v>
      </c>
      <c r="V2213" t="s">
        <v>1803</v>
      </c>
    </row>
    <row r="2214" spans="1:22" x14ac:dyDescent="0.3">
      <c r="A2214" t="s">
        <v>3237</v>
      </c>
      <c r="B2214" s="1">
        <v>45938</v>
      </c>
      <c r="C2214" t="s">
        <v>742</v>
      </c>
      <c r="D2214" t="s">
        <v>1044</v>
      </c>
      <c r="E2214" t="s">
        <v>61</v>
      </c>
      <c r="F2214" t="s">
        <v>62</v>
      </c>
      <c r="G2214" t="s">
        <v>63</v>
      </c>
      <c r="H2214" t="s">
        <v>64</v>
      </c>
      <c r="I2214" t="s">
        <v>108</v>
      </c>
      <c r="J2214" t="s">
        <v>109</v>
      </c>
      <c r="K2214">
        <v>4</v>
      </c>
      <c r="L2214">
        <v>6938.49</v>
      </c>
      <c r="M2214">
        <v>0.1</v>
      </c>
      <c r="N2214">
        <v>24978.560000000001</v>
      </c>
      <c r="O2214">
        <v>18074.37</v>
      </c>
      <c r="P2214">
        <v>6904.19</v>
      </c>
      <c r="Q2214" t="s">
        <v>31</v>
      </c>
      <c r="R2214">
        <v>0.27640464462322878</v>
      </c>
      <c r="S2214">
        <v>2025</v>
      </c>
      <c r="T2214" t="s">
        <v>1802</v>
      </c>
      <c r="U2214">
        <v>10</v>
      </c>
      <c r="V2214" t="s">
        <v>1803</v>
      </c>
    </row>
    <row r="2215" spans="1:22" x14ac:dyDescent="0.3">
      <c r="A2215" t="s">
        <v>3238</v>
      </c>
      <c r="B2215" s="1">
        <v>45939</v>
      </c>
      <c r="C2215" t="s">
        <v>2069</v>
      </c>
      <c r="D2215" t="s">
        <v>1136</v>
      </c>
      <c r="E2215" t="s">
        <v>25</v>
      </c>
      <c r="F2215" t="s">
        <v>26</v>
      </c>
      <c r="G2215" t="s">
        <v>37</v>
      </c>
      <c r="H2215" t="s">
        <v>64</v>
      </c>
      <c r="I2215" t="s">
        <v>108</v>
      </c>
      <c r="J2215" t="s">
        <v>109</v>
      </c>
      <c r="K2215">
        <v>3</v>
      </c>
      <c r="L2215">
        <v>7065.14</v>
      </c>
      <c r="M2215">
        <v>0.05</v>
      </c>
      <c r="N2215">
        <v>20135.650000000001</v>
      </c>
      <c r="O2215">
        <v>13793.5</v>
      </c>
      <c r="P2215">
        <v>6342.15</v>
      </c>
      <c r="Q2215" t="s">
        <v>31</v>
      </c>
      <c r="R2215">
        <v>0.31497120778321042</v>
      </c>
      <c r="S2215">
        <v>2025</v>
      </c>
      <c r="T2215" t="s">
        <v>1802</v>
      </c>
      <c r="U2215">
        <v>10</v>
      </c>
      <c r="V2215" t="s">
        <v>1803</v>
      </c>
    </row>
    <row r="2216" spans="1:22" x14ac:dyDescent="0.3">
      <c r="A2216" t="s">
        <v>3239</v>
      </c>
      <c r="B2216" s="1">
        <v>45939</v>
      </c>
      <c r="C2216" t="s">
        <v>953</v>
      </c>
      <c r="D2216" t="s">
        <v>630</v>
      </c>
      <c r="E2216" t="s">
        <v>120</v>
      </c>
      <c r="F2216" t="s">
        <v>121</v>
      </c>
      <c r="G2216" t="s">
        <v>224</v>
      </c>
      <c r="H2216" t="s">
        <v>84</v>
      </c>
      <c r="I2216" t="s">
        <v>85</v>
      </c>
      <c r="J2216" t="s">
        <v>145</v>
      </c>
      <c r="K2216">
        <v>4</v>
      </c>
      <c r="L2216">
        <v>3395.73</v>
      </c>
      <c r="M2216">
        <v>0.05</v>
      </c>
      <c r="N2216">
        <v>12903.77</v>
      </c>
      <c r="O2216">
        <v>7779.11</v>
      </c>
      <c r="P2216">
        <v>5124.66</v>
      </c>
      <c r="Q2216" t="s">
        <v>53</v>
      </c>
      <c r="R2216">
        <v>0.39714440043491162</v>
      </c>
      <c r="S2216">
        <v>2025</v>
      </c>
      <c r="T2216" t="s">
        <v>1802</v>
      </c>
      <c r="U2216">
        <v>10</v>
      </c>
      <c r="V2216" t="s">
        <v>1803</v>
      </c>
    </row>
    <row r="2217" spans="1:22" x14ac:dyDescent="0.3">
      <c r="A2217" t="s">
        <v>3240</v>
      </c>
      <c r="B2217" s="1">
        <v>45939</v>
      </c>
      <c r="C2217" t="s">
        <v>2939</v>
      </c>
      <c r="D2217" t="s">
        <v>1367</v>
      </c>
      <c r="E2217" t="s">
        <v>41</v>
      </c>
      <c r="F2217" t="s">
        <v>42</v>
      </c>
      <c r="G2217" t="s">
        <v>50</v>
      </c>
      <c r="H2217" t="s">
        <v>28</v>
      </c>
      <c r="I2217" t="s">
        <v>73</v>
      </c>
      <c r="J2217" t="s">
        <v>80</v>
      </c>
      <c r="K2217">
        <v>2</v>
      </c>
      <c r="L2217">
        <v>809.54</v>
      </c>
      <c r="M2217">
        <v>0.05</v>
      </c>
      <c r="N2217">
        <v>1538.13</v>
      </c>
      <c r="O2217">
        <v>992.26</v>
      </c>
      <c r="P2217">
        <v>545.87</v>
      </c>
      <c r="Q2217" t="s">
        <v>46</v>
      </c>
      <c r="R2217">
        <v>0.35489197922152221</v>
      </c>
      <c r="S2217">
        <v>2025</v>
      </c>
      <c r="T2217" t="s">
        <v>1802</v>
      </c>
      <c r="U2217">
        <v>10</v>
      </c>
      <c r="V2217" t="s">
        <v>1803</v>
      </c>
    </row>
    <row r="2218" spans="1:22" x14ac:dyDescent="0.3">
      <c r="A2218" t="s">
        <v>3241</v>
      </c>
      <c r="B2218" s="1">
        <v>45940</v>
      </c>
      <c r="C2218" t="s">
        <v>1001</v>
      </c>
      <c r="D2218" t="s">
        <v>137</v>
      </c>
      <c r="E2218" t="s">
        <v>61</v>
      </c>
      <c r="F2218" t="s">
        <v>62</v>
      </c>
      <c r="G2218" t="s">
        <v>134</v>
      </c>
      <c r="H2218" t="s">
        <v>28</v>
      </c>
      <c r="I2218" t="s">
        <v>91</v>
      </c>
      <c r="J2218" t="s">
        <v>92</v>
      </c>
      <c r="K2218">
        <v>1</v>
      </c>
      <c r="L2218">
        <v>2946.72</v>
      </c>
      <c r="M2218">
        <v>0.15</v>
      </c>
      <c r="N2218">
        <v>2504.71</v>
      </c>
      <c r="O2218">
        <v>1550.51</v>
      </c>
      <c r="P2218">
        <v>954.2</v>
      </c>
      <c r="Q2218" t="s">
        <v>31</v>
      </c>
      <c r="R2218">
        <v>0.38096226708880471</v>
      </c>
      <c r="S2218">
        <v>2025</v>
      </c>
      <c r="T2218" t="s">
        <v>1802</v>
      </c>
      <c r="U2218">
        <v>10</v>
      </c>
      <c r="V2218" t="s">
        <v>1803</v>
      </c>
    </row>
    <row r="2219" spans="1:22" x14ac:dyDescent="0.3">
      <c r="A2219" t="s">
        <v>3242</v>
      </c>
      <c r="B2219" s="1">
        <v>45940</v>
      </c>
      <c r="C2219" t="s">
        <v>502</v>
      </c>
      <c r="D2219" t="s">
        <v>270</v>
      </c>
      <c r="E2219" t="s">
        <v>61</v>
      </c>
      <c r="F2219" t="s">
        <v>78</v>
      </c>
      <c r="G2219" t="s">
        <v>83</v>
      </c>
      <c r="H2219" t="s">
        <v>84</v>
      </c>
      <c r="I2219" t="s">
        <v>138</v>
      </c>
      <c r="J2219" t="s">
        <v>220</v>
      </c>
      <c r="K2219">
        <v>1</v>
      </c>
      <c r="L2219">
        <v>7388.88</v>
      </c>
      <c r="M2219">
        <v>0.05</v>
      </c>
      <c r="N2219">
        <v>7019.44</v>
      </c>
      <c r="O2219">
        <v>4816.3100000000004</v>
      </c>
      <c r="P2219">
        <v>2203.13</v>
      </c>
      <c r="Q2219" t="s">
        <v>31</v>
      </c>
      <c r="R2219">
        <v>0.3138612196984375</v>
      </c>
      <c r="S2219">
        <v>2025</v>
      </c>
      <c r="T2219" t="s">
        <v>1802</v>
      </c>
      <c r="U2219">
        <v>10</v>
      </c>
      <c r="V2219" t="s">
        <v>1803</v>
      </c>
    </row>
    <row r="2220" spans="1:22" x14ac:dyDescent="0.3">
      <c r="A2220" t="s">
        <v>3243</v>
      </c>
      <c r="B2220" s="1">
        <v>45940</v>
      </c>
      <c r="C2220" t="s">
        <v>193</v>
      </c>
      <c r="D2220" t="s">
        <v>235</v>
      </c>
      <c r="E2220" t="s">
        <v>25</v>
      </c>
      <c r="F2220" t="s">
        <v>26</v>
      </c>
      <c r="G2220" t="s">
        <v>37</v>
      </c>
      <c r="H2220" t="s">
        <v>43</v>
      </c>
      <c r="I2220" t="s">
        <v>44</v>
      </c>
      <c r="J2220" t="s">
        <v>248</v>
      </c>
      <c r="K2220">
        <v>1</v>
      </c>
      <c r="L2220">
        <v>287</v>
      </c>
      <c r="M2220">
        <v>0</v>
      </c>
      <c r="N2220">
        <v>287</v>
      </c>
      <c r="O2220">
        <v>116.66</v>
      </c>
      <c r="P2220">
        <v>170.34</v>
      </c>
      <c r="Q2220" t="s">
        <v>46</v>
      </c>
      <c r="R2220">
        <v>0.59351916376306624</v>
      </c>
      <c r="S2220">
        <v>2025</v>
      </c>
      <c r="T2220" t="s">
        <v>1802</v>
      </c>
      <c r="U2220">
        <v>10</v>
      </c>
      <c r="V2220" t="s">
        <v>1803</v>
      </c>
    </row>
    <row r="2221" spans="1:22" x14ac:dyDescent="0.3">
      <c r="A2221" t="s">
        <v>3244</v>
      </c>
      <c r="B2221" s="1">
        <v>45941</v>
      </c>
      <c r="C2221" t="s">
        <v>193</v>
      </c>
      <c r="D2221" t="s">
        <v>273</v>
      </c>
      <c r="E2221" t="s">
        <v>61</v>
      </c>
      <c r="F2221" t="s">
        <v>62</v>
      </c>
      <c r="G2221" t="s">
        <v>134</v>
      </c>
      <c r="H2221" t="s">
        <v>84</v>
      </c>
      <c r="I2221" t="s">
        <v>138</v>
      </c>
      <c r="J2221" t="s">
        <v>139</v>
      </c>
      <c r="K2221">
        <v>4</v>
      </c>
      <c r="L2221">
        <v>13048.06</v>
      </c>
      <c r="M2221">
        <v>0.05</v>
      </c>
      <c r="N2221">
        <v>49582.63</v>
      </c>
      <c r="O2221">
        <v>38288.6</v>
      </c>
      <c r="P2221">
        <v>11294.03</v>
      </c>
      <c r="Q2221" t="s">
        <v>31</v>
      </c>
      <c r="R2221">
        <v>0.2277819873612997</v>
      </c>
      <c r="S2221">
        <v>2025</v>
      </c>
      <c r="T2221" t="s">
        <v>1802</v>
      </c>
      <c r="U2221">
        <v>10</v>
      </c>
      <c r="V2221" t="s">
        <v>1803</v>
      </c>
    </row>
    <row r="2222" spans="1:22" x14ac:dyDescent="0.3">
      <c r="A2222" t="s">
        <v>3245</v>
      </c>
      <c r="B2222" s="1">
        <v>45941</v>
      </c>
      <c r="C2222" t="s">
        <v>1032</v>
      </c>
      <c r="D2222" t="s">
        <v>978</v>
      </c>
      <c r="E2222" t="s">
        <v>61</v>
      </c>
      <c r="F2222" t="s">
        <v>62</v>
      </c>
      <c r="G2222" t="s">
        <v>90</v>
      </c>
      <c r="H2222" t="s">
        <v>28</v>
      </c>
      <c r="I2222" t="s">
        <v>73</v>
      </c>
      <c r="J2222" t="s">
        <v>80</v>
      </c>
      <c r="K2222">
        <v>4</v>
      </c>
      <c r="L2222">
        <v>806.54</v>
      </c>
      <c r="M2222">
        <v>0.05</v>
      </c>
      <c r="N2222">
        <v>3064.85</v>
      </c>
      <c r="O2222">
        <v>1942.78</v>
      </c>
      <c r="P2222">
        <v>1122.07</v>
      </c>
      <c r="Q2222" t="s">
        <v>67</v>
      </c>
      <c r="R2222">
        <v>0.36610927125307918</v>
      </c>
      <c r="S2222">
        <v>2025</v>
      </c>
      <c r="T2222" t="s">
        <v>1802</v>
      </c>
      <c r="U2222">
        <v>10</v>
      </c>
      <c r="V2222" t="s">
        <v>1803</v>
      </c>
    </row>
    <row r="2223" spans="1:22" x14ac:dyDescent="0.3">
      <c r="A2223" t="s">
        <v>3246</v>
      </c>
      <c r="B2223" s="1">
        <v>45941</v>
      </c>
      <c r="C2223" t="s">
        <v>937</v>
      </c>
      <c r="D2223" t="s">
        <v>532</v>
      </c>
      <c r="E2223" t="s">
        <v>41</v>
      </c>
      <c r="F2223" t="s">
        <v>42</v>
      </c>
      <c r="G2223" t="s">
        <v>50</v>
      </c>
      <c r="H2223" t="s">
        <v>84</v>
      </c>
      <c r="I2223" t="s">
        <v>138</v>
      </c>
      <c r="J2223" t="s">
        <v>220</v>
      </c>
      <c r="K2223">
        <v>3</v>
      </c>
      <c r="L2223">
        <v>7193.22</v>
      </c>
      <c r="M2223">
        <v>0.1</v>
      </c>
      <c r="N2223">
        <v>19421.689999999999</v>
      </c>
      <c r="O2223">
        <v>13769.84</v>
      </c>
      <c r="P2223">
        <v>5651.85</v>
      </c>
      <c r="Q2223" t="s">
        <v>53</v>
      </c>
      <c r="R2223">
        <v>0.29100711627052028</v>
      </c>
      <c r="S2223">
        <v>2025</v>
      </c>
      <c r="T2223" t="s">
        <v>1802</v>
      </c>
      <c r="U2223">
        <v>10</v>
      </c>
      <c r="V2223" t="s">
        <v>1803</v>
      </c>
    </row>
    <row r="2224" spans="1:22" x14ac:dyDescent="0.3">
      <c r="A2224" t="s">
        <v>3247</v>
      </c>
      <c r="B2224" s="1">
        <v>45941</v>
      </c>
      <c r="C2224" t="s">
        <v>739</v>
      </c>
      <c r="D2224" t="s">
        <v>849</v>
      </c>
      <c r="E2224" t="s">
        <v>41</v>
      </c>
      <c r="F2224" t="s">
        <v>42</v>
      </c>
      <c r="G2224" t="s">
        <v>42</v>
      </c>
      <c r="H2224" t="s">
        <v>84</v>
      </c>
      <c r="I2224" t="s">
        <v>85</v>
      </c>
      <c r="J2224" t="s">
        <v>86</v>
      </c>
      <c r="K2224">
        <v>4</v>
      </c>
      <c r="L2224">
        <v>1727.44</v>
      </c>
      <c r="M2224">
        <v>0.05</v>
      </c>
      <c r="N2224">
        <v>6564.27</v>
      </c>
      <c r="O2224">
        <v>3754.15</v>
      </c>
      <c r="P2224">
        <v>2810.12</v>
      </c>
      <c r="Q2224" t="s">
        <v>113</v>
      </c>
      <c r="R2224">
        <v>0.42809329902639592</v>
      </c>
      <c r="S2224">
        <v>2025</v>
      </c>
      <c r="T2224" t="s">
        <v>1802</v>
      </c>
      <c r="U2224">
        <v>10</v>
      </c>
      <c r="V2224" t="s">
        <v>1803</v>
      </c>
    </row>
    <row r="2225" spans="1:22" x14ac:dyDescent="0.3">
      <c r="A2225" t="s">
        <v>3248</v>
      </c>
      <c r="B2225" s="1">
        <v>45942</v>
      </c>
      <c r="C2225" t="s">
        <v>1546</v>
      </c>
      <c r="D2225" t="s">
        <v>510</v>
      </c>
      <c r="E2225" t="s">
        <v>25</v>
      </c>
      <c r="F2225" t="s">
        <v>26</v>
      </c>
      <c r="G2225" t="s">
        <v>260</v>
      </c>
      <c r="H2225" t="s">
        <v>84</v>
      </c>
      <c r="I2225" t="s">
        <v>138</v>
      </c>
      <c r="J2225" t="s">
        <v>220</v>
      </c>
      <c r="K2225">
        <v>1</v>
      </c>
      <c r="L2225">
        <v>7323.92</v>
      </c>
      <c r="M2225">
        <v>0.05</v>
      </c>
      <c r="N2225">
        <v>6957.72</v>
      </c>
      <c r="O2225">
        <v>4785.0200000000004</v>
      </c>
      <c r="P2225">
        <v>2172.6999999999998</v>
      </c>
      <c r="Q2225" t="s">
        <v>113</v>
      </c>
      <c r="R2225">
        <v>0.31227183617621862</v>
      </c>
      <c r="S2225">
        <v>2025</v>
      </c>
      <c r="T2225" t="s">
        <v>1802</v>
      </c>
      <c r="U2225">
        <v>10</v>
      </c>
      <c r="V2225" t="s">
        <v>1803</v>
      </c>
    </row>
    <row r="2226" spans="1:22" x14ac:dyDescent="0.3">
      <c r="A2226" t="s">
        <v>3249</v>
      </c>
      <c r="B2226" s="1">
        <v>45942</v>
      </c>
      <c r="C2226" t="s">
        <v>351</v>
      </c>
      <c r="D2226" t="s">
        <v>116</v>
      </c>
      <c r="E2226" t="s">
        <v>61</v>
      </c>
      <c r="F2226" t="s">
        <v>62</v>
      </c>
      <c r="G2226" t="s">
        <v>90</v>
      </c>
      <c r="H2226" t="s">
        <v>28</v>
      </c>
      <c r="I2226" t="s">
        <v>29</v>
      </c>
      <c r="J2226" t="s">
        <v>57</v>
      </c>
      <c r="K2226">
        <v>5</v>
      </c>
      <c r="L2226">
        <v>15280.55</v>
      </c>
      <c r="M2226">
        <v>0.1</v>
      </c>
      <c r="N2226">
        <v>68762.48</v>
      </c>
      <c r="O2226">
        <v>56409.14</v>
      </c>
      <c r="P2226">
        <v>12353.34</v>
      </c>
      <c r="Q2226" t="s">
        <v>31</v>
      </c>
      <c r="R2226">
        <v>0.1796523336563777</v>
      </c>
      <c r="S2226">
        <v>2025</v>
      </c>
      <c r="T2226" t="s">
        <v>1802</v>
      </c>
      <c r="U2226">
        <v>10</v>
      </c>
      <c r="V2226" t="s">
        <v>1803</v>
      </c>
    </row>
    <row r="2227" spans="1:22" x14ac:dyDescent="0.3">
      <c r="A2227" t="s">
        <v>3250</v>
      </c>
      <c r="B2227" s="1">
        <v>45942</v>
      </c>
      <c r="C2227" t="s">
        <v>294</v>
      </c>
      <c r="D2227" t="s">
        <v>1088</v>
      </c>
      <c r="E2227" t="s">
        <v>41</v>
      </c>
      <c r="F2227" t="s">
        <v>42</v>
      </c>
      <c r="G2227" t="s">
        <v>50</v>
      </c>
      <c r="H2227" t="s">
        <v>84</v>
      </c>
      <c r="I2227" t="s">
        <v>85</v>
      </c>
      <c r="J2227" t="s">
        <v>86</v>
      </c>
      <c r="K2227">
        <v>2</v>
      </c>
      <c r="L2227">
        <v>1893.02</v>
      </c>
      <c r="M2227">
        <v>0.1</v>
      </c>
      <c r="N2227">
        <v>3407.44</v>
      </c>
      <c r="O2227">
        <v>1972.41</v>
      </c>
      <c r="P2227">
        <v>1435.03</v>
      </c>
      <c r="Q2227" t="s">
        <v>31</v>
      </c>
      <c r="R2227">
        <v>0.4211460803418402</v>
      </c>
      <c r="S2227">
        <v>2025</v>
      </c>
      <c r="T2227" t="s">
        <v>1802</v>
      </c>
      <c r="U2227">
        <v>10</v>
      </c>
      <c r="V2227" t="s">
        <v>1803</v>
      </c>
    </row>
    <row r="2228" spans="1:22" x14ac:dyDescent="0.3">
      <c r="A2228" t="s">
        <v>3251</v>
      </c>
      <c r="B2228" s="1">
        <v>45942</v>
      </c>
      <c r="C2228" t="s">
        <v>2125</v>
      </c>
      <c r="D2228" t="s">
        <v>465</v>
      </c>
      <c r="E2228" t="s">
        <v>61</v>
      </c>
      <c r="F2228" t="s">
        <v>78</v>
      </c>
      <c r="G2228" t="s">
        <v>79</v>
      </c>
      <c r="H2228" t="s">
        <v>28</v>
      </c>
      <c r="I2228" t="s">
        <v>29</v>
      </c>
      <c r="J2228" t="s">
        <v>30</v>
      </c>
      <c r="K2228">
        <v>3</v>
      </c>
      <c r="L2228">
        <v>57975.55</v>
      </c>
      <c r="M2228">
        <v>0</v>
      </c>
      <c r="N2228">
        <v>173926.65</v>
      </c>
      <c r="O2228">
        <v>155650.21</v>
      </c>
      <c r="P2228">
        <v>18276.439999999999</v>
      </c>
      <c r="Q2228" t="s">
        <v>31</v>
      </c>
      <c r="R2228">
        <v>0.1050813087011105</v>
      </c>
      <c r="S2228">
        <v>2025</v>
      </c>
      <c r="T2228" t="s">
        <v>1802</v>
      </c>
      <c r="U2228">
        <v>10</v>
      </c>
      <c r="V2228" t="s">
        <v>1803</v>
      </c>
    </row>
    <row r="2229" spans="1:22" x14ac:dyDescent="0.3">
      <c r="A2229" t="s">
        <v>3252</v>
      </c>
      <c r="B2229" s="1">
        <v>45942</v>
      </c>
      <c r="C2229" t="s">
        <v>962</v>
      </c>
      <c r="D2229" t="s">
        <v>89</v>
      </c>
      <c r="E2229" t="s">
        <v>120</v>
      </c>
      <c r="F2229" t="s">
        <v>121</v>
      </c>
      <c r="G2229" t="s">
        <v>224</v>
      </c>
      <c r="H2229" t="s">
        <v>28</v>
      </c>
      <c r="I2229" t="s">
        <v>73</v>
      </c>
      <c r="J2229" t="s">
        <v>74</v>
      </c>
      <c r="K2229">
        <v>2</v>
      </c>
      <c r="L2229">
        <v>2452.27</v>
      </c>
      <c r="M2229">
        <v>0.15</v>
      </c>
      <c r="N2229">
        <v>4168.8599999999997</v>
      </c>
      <c r="O2229">
        <v>2759.05</v>
      </c>
      <c r="P2229">
        <v>1409.81</v>
      </c>
      <c r="Q2229" t="s">
        <v>67</v>
      </c>
      <c r="R2229">
        <v>0.33817638395148802</v>
      </c>
      <c r="S2229">
        <v>2025</v>
      </c>
      <c r="T2229" t="s">
        <v>1802</v>
      </c>
      <c r="U2229">
        <v>10</v>
      </c>
      <c r="V2229" t="s">
        <v>1803</v>
      </c>
    </row>
    <row r="2230" spans="1:22" x14ac:dyDescent="0.3">
      <c r="A2230" t="s">
        <v>3253</v>
      </c>
      <c r="B2230" s="1">
        <v>45943</v>
      </c>
      <c r="C2230" t="s">
        <v>1202</v>
      </c>
      <c r="D2230" t="s">
        <v>1118</v>
      </c>
      <c r="E2230" t="s">
        <v>61</v>
      </c>
      <c r="F2230" t="s">
        <v>62</v>
      </c>
      <c r="G2230" t="s">
        <v>63</v>
      </c>
      <c r="H2230" t="s">
        <v>84</v>
      </c>
      <c r="I2230" t="s">
        <v>85</v>
      </c>
      <c r="J2230" t="s">
        <v>145</v>
      </c>
      <c r="K2230">
        <v>3</v>
      </c>
      <c r="L2230">
        <v>3424.44</v>
      </c>
      <c r="M2230">
        <v>0.1</v>
      </c>
      <c r="N2230">
        <v>9245.99</v>
      </c>
      <c r="O2230">
        <v>5698.92</v>
      </c>
      <c r="P2230">
        <v>3547.07</v>
      </c>
      <c r="Q2230" t="s">
        <v>31</v>
      </c>
      <c r="R2230">
        <v>0.38363333726296478</v>
      </c>
      <c r="S2230">
        <v>2025</v>
      </c>
      <c r="T2230" t="s">
        <v>1802</v>
      </c>
      <c r="U2230">
        <v>10</v>
      </c>
      <c r="V2230" t="s">
        <v>1803</v>
      </c>
    </row>
    <row r="2231" spans="1:22" x14ac:dyDescent="0.3">
      <c r="A2231" t="s">
        <v>3254</v>
      </c>
      <c r="B2231" s="1">
        <v>45943</v>
      </c>
      <c r="C2231" t="s">
        <v>479</v>
      </c>
      <c r="D2231" t="s">
        <v>981</v>
      </c>
      <c r="E2231" t="s">
        <v>25</v>
      </c>
      <c r="F2231" t="s">
        <v>26</v>
      </c>
      <c r="G2231" t="s">
        <v>37</v>
      </c>
      <c r="H2231" t="s">
        <v>28</v>
      </c>
      <c r="I2231" t="s">
        <v>29</v>
      </c>
      <c r="J2231" t="s">
        <v>57</v>
      </c>
      <c r="K2231">
        <v>2</v>
      </c>
      <c r="L2231">
        <v>15321.46</v>
      </c>
      <c r="M2231">
        <v>0.1</v>
      </c>
      <c r="N2231">
        <v>27578.63</v>
      </c>
      <c r="O2231">
        <v>22280.240000000002</v>
      </c>
      <c r="P2231">
        <v>5298.39</v>
      </c>
      <c r="Q2231" t="s">
        <v>31</v>
      </c>
      <c r="R2231">
        <v>0.19211940549621209</v>
      </c>
      <c r="S2231">
        <v>2025</v>
      </c>
      <c r="T2231" t="s">
        <v>1802</v>
      </c>
      <c r="U2231">
        <v>10</v>
      </c>
      <c r="V2231" t="s">
        <v>1803</v>
      </c>
    </row>
    <row r="2232" spans="1:22" x14ac:dyDescent="0.3">
      <c r="A2232" t="s">
        <v>3255</v>
      </c>
      <c r="B2232" s="1">
        <v>45943</v>
      </c>
      <c r="C2232" t="s">
        <v>1691</v>
      </c>
      <c r="D2232" t="s">
        <v>582</v>
      </c>
      <c r="E2232" t="s">
        <v>120</v>
      </c>
      <c r="F2232" t="s">
        <v>121</v>
      </c>
      <c r="G2232" t="s">
        <v>130</v>
      </c>
      <c r="H2232" t="s">
        <v>64</v>
      </c>
      <c r="I2232" t="s">
        <v>65</v>
      </c>
      <c r="J2232" t="s">
        <v>232</v>
      </c>
      <c r="K2232">
        <v>2</v>
      </c>
      <c r="L2232">
        <v>3871.88</v>
      </c>
      <c r="M2232">
        <v>0.15</v>
      </c>
      <c r="N2232">
        <v>6582.2</v>
      </c>
      <c r="O2232">
        <v>4810.3999999999996</v>
      </c>
      <c r="P2232">
        <v>1771.8</v>
      </c>
      <c r="Q2232" t="s">
        <v>46</v>
      </c>
      <c r="R2232">
        <v>0.26918051715231989</v>
      </c>
      <c r="S2232">
        <v>2025</v>
      </c>
      <c r="T2232" t="s">
        <v>1802</v>
      </c>
      <c r="U2232">
        <v>10</v>
      </c>
      <c r="V2232" t="s">
        <v>1803</v>
      </c>
    </row>
    <row r="2233" spans="1:22" x14ac:dyDescent="0.3">
      <c r="A2233" t="s">
        <v>3256</v>
      </c>
      <c r="B2233" s="1">
        <v>45944</v>
      </c>
      <c r="C2233" t="s">
        <v>2669</v>
      </c>
      <c r="D2233" t="s">
        <v>535</v>
      </c>
      <c r="E2233" t="s">
        <v>25</v>
      </c>
      <c r="F2233" t="s">
        <v>26</v>
      </c>
      <c r="G2233" t="s">
        <v>27</v>
      </c>
      <c r="H2233" t="s">
        <v>28</v>
      </c>
      <c r="I2233" t="s">
        <v>91</v>
      </c>
      <c r="J2233" t="s">
        <v>126</v>
      </c>
      <c r="K2233">
        <v>5</v>
      </c>
      <c r="L2233">
        <v>1890.99</v>
      </c>
      <c r="M2233">
        <v>0.05</v>
      </c>
      <c r="N2233">
        <v>8982.2000000000007</v>
      </c>
      <c r="O2233">
        <v>5408.36</v>
      </c>
      <c r="P2233">
        <v>3573.84</v>
      </c>
      <c r="Q2233" t="s">
        <v>53</v>
      </c>
      <c r="R2233">
        <v>0.39788025205406252</v>
      </c>
      <c r="S2233">
        <v>2025</v>
      </c>
      <c r="T2233" t="s">
        <v>1802</v>
      </c>
      <c r="U2233">
        <v>10</v>
      </c>
      <c r="V2233" t="s">
        <v>1803</v>
      </c>
    </row>
    <row r="2234" spans="1:22" x14ac:dyDescent="0.3">
      <c r="A2234" t="s">
        <v>3257</v>
      </c>
      <c r="B2234" s="1">
        <v>45944</v>
      </c>
      <c r="C2234" t="s">
        <v>1747</v>
      </c>
      <c r="D2234" t="s">
        <v>154</v>
      </c>
      <c r="E2234" t="s">
        <v>41</v>
      </c>
      <c r="F2234" t="s">
        <v>42</v>
      </c>
      <c r="G2234" t="s">
        <v>42</v>
      </c>
      <c r="H2234" t="s">
        <v>28</v>
      </c>
      <c r="I2234" t="s">
        <v>91</v>
      </c>
      <c r="J2234" t="s">
        <v>92</v>
      </c>
      <c r="K2234">
        <v>3</v>
      </c>
      <c r="L2234">
        <v>3079.11</v>
      </c>
      <c r="M2234">
        <v>0</v>
      </c>
      <c r="N2234">
        <v>9237.33</v>
      </c>
      <c r="O2234">
        <v>4968.2700000000004</v>
      </c>
      <c r="P2234">
        <v>4269.0600000000004</v>
      </c>
      <c r="Q2234" t="s">
        <v>113</v>
      </c>
      <c r="R2234">
        <v>0.46215302473766767</v>
      </c>
      <c r="S2234">
        <v>2025</v>
      </c>
      <c r="T2234" t="s">
        <v>1802</v>
      </c>
      <c r="U2234">
        <v>10</v>
      </c>
      <c r="V2234" t="s">
        <v>1803</v>
      </c>
    </row>
    <row r="2235" spans="1:22" x14ac:dyDescent="0.3">
      <c r="A2235" t="s">
        <v>3258</v>
      </c>
      <c r="B2235" s="1">
        <v>45945</v>
      </c>
      <c r="C2235" t="s">
        <v>1104</v>
      </c>
      <c r="D2235" t="s">
        <v>1516</v>
      </c>
      <c r="E2235" t="s">
        <v>41</v>
      </c>
      <c r="F2235" t="s">
        <v>42</v>
      </c>
      <c r="G2235" t="s">
        <v>42</v>
      </c>
      <c r="H2235" t="s">
        <v>84</v>
      </c>
      <c r="I2235" t="s">
        <v>138</v>
      </c>
      <c r="J2235" t="s">
        <v>139</v>
      </c>
      <c r="K2235">
        <v>3</v>
      </c>
      <c r="L2235">
        <v>12844.34</v>
      </c>
      <c r="M2235">
        <v>0</v>
      </c>
      <c r="N2235">
        <v>38533.019999999997</v>
      </c>
      <c r="O2235">
        <v>26645.78</v>
      </c>
      <c r="P2235">
        <v>11887.24</v>
      </c>
      <c r="Q2235" t="s">
        <v>31</v>
      </c>
      <c r="R2235">
        <v>0.30849489606576391</v>
      </c>
      <c r="S2235">
        <v>2025</v>
      </c>
      <c r="T2235" t="s">
        <v>1802</v>
      </c>
      <c r="U2235">
        <v>10</v>
      </c>
      <c r="V2235" t="s">
        <v>1803</v>
      </c>
    </row>
    <row r="2236" spans="1:22" x14ac:dyDescent="0.3">
      <c r="A2236" t="s">
        <v>3259</v>
      </c>
      <c r="B2236" s="1">
        <v>45945</v>
      </c>
      <c r="C2236" t="s">
        <v>537</v>
      </c>
      <c r="D2236" t="s">
        <v>1307</v>
      </c>
      <c r="E2236" t="s">
        <v>41</v>
      </c>
      <c r="F2236" t="s">
        <v>42</v>
      </c>
      <c r="G2236" t="s">
        <v>42</v>
      </c>
      <c r="H2236" t="s">
        <v>84</v>
      </c>
      <c r="I2236" t="s">
        <v>85</v>
      </c>
      <c r="J2236" t="s">
        <v>86</v>
      </c>
      <c r="K2236">
        <v>1</v>
      </c>
      <c r="L2236">
        <v>1877.77</v>
      </c>
      <c r="M2236">
        <v>0.15</v>
      </c>
      <c r="N2236">
        <v>1596.1</v>
      </c>
      <c r="O2236">
        <v>1052.6500000000001</v>
      </c>
      <c r="P2236">
        <v>543.45000000000005</v>
      </c>
      <c r="Q2236" t="s">
        <v>67</v>
      </c>
      <c r="R2236">
        <v>0.3404861850761231</v>
      </c>
      <c r="S2236">
        <v>2025</v>
      </c>
      <c r="T2236" t="s">
        <v>1802</v>
      </c>
      <c r="U2236">
        <v>10</v>
      </c>
      <c r="V2236" t="s">
        <v>1803</v>
      </c>
    </row>
    <row r="2237" spans="1:22" x14ac:dyDescent="0.3">
      <c r="A2237" t="s">
        <v>3260</v>
      </c>
      <c r="B2237" s="1">
        <v>45945</v>
      </c>
      <c r="C2237" t="s">
        <v>625</v>
      </c>
      <c r="D2237" t="s">
        <v>782</v>
      </c>
      <c r="E2237" t="s">
        <v>61</v>
      </c>
      <c r="F2237" t="s">
        <v>62</v>
      </c>
      <c r="G2237" t="s">
        <v>134</v>
      </c>
      <c r="H2237" t="s">
        <v>43</v>
      </c>
      <c r="I2237" t="s">
        <v>51</v>
      </c>
      <c r="J2237" t="s">
        <v>52</v>
      </c>
      <c r="K2237">
        <v>5</v>
      </c>
      <c r="L2237">
        <v>678.41</v>
      </c>
      <c r="M2237">
        <v>0.05</v>
      </c>
      <c r="N2237">
        <v>3222.45</v>
      </c>
      <c r="O2237">
        <v>1644.84</v>
      </c>
      <c r="P2237">
        <v>1577.61</v>
      </c>
      <c r="Q2237" t="s">
        <v>31</v>
      </c>
      <c r="R2237">
        <v>0.48956849602010888</v>
      </c>
      <c r="S2237">
        <v>2025</v>
      </c>
      <c r="T2237" t="s">
        <v>1802</v>
      </c>
      <c r="U2237">
        <v>10</v>
      </c>
      <c r="V2237" t="s">
        <v>1803</v>
      </c>
    </row>
    <row r="2238" spans="1:22" x14ac:dyDescent="0.3">
      <c r="A2238" t="s">
        <v>3261</v>
      </c>
      <c r="B2238" s="1">
        <v>45945</v>
      </c>
      <c r="C2238" t="s">
        <v>280</v>
      </c>
      <c r="D2238" t="s">
        <v>644</v>
      </c>
      <c r="E2238" t="s">
        <v>61</v>
      </c>
      <c r="F2238" t="s">
        <v>62</v>
      </c>
      <c r="G2238" t="s">
        <v>228</v>
      </c>
      <c r="H2238" t="s">
        <v>28</v>
      </c>
      <c r="I2238" t="s">
        <v>29</v>
      </c>
      <c r="J2238" t="s">
        <v>30</v>
      </c>
      <c r="K2238">
        <v>3</v>
      </c>
      <c r="L2238">
        <v>58411.74</v>
      </c>
      <c r="M2238">
        <v>0</v>
      </c>
      <c r="N2238">
        <v>175235.22</v>
      </c>
      <c r="O2238">
        <v>150454.81</v>
      </c>
      <c r="P2238">
        <v>24780.41</v>
      </c>
      <c r="Q2238" t="s">
        <v>31</v>
      </c>
      <c r="R2238">
        <v>0.14141226860673331</v>
      </c>
      <c r="S2238">
        <v>2025</v>
      </c>
      <c r="T2238" t="s">
        <v>1802</v>
      </c>
      <c r="U2238">
        <v>10</v>
      </c>
      <c r="V2238" t="s">
        <v>1803</v>
      </c>
    </row>
    <row r="2239" spans="1:22" x14ac:dyDescent="0.3">
      <c r="A2239" t="s">
        <v>3262</v>
      </c>
      <c r="B2239" s="1">
        <v>45946</v>
      </c>
      <c r="C2239" t="s">
        <v>1065</v>
      </c>
      <c r="D2239" t="s">
        <v>1513</v>
      </c>
      <c r="E2239" t="s">
        <v>61</v>
      </c>
      <c r="F2239" t="s">
        <v>78</v>
      </c>
      <c r="G2239" t="s">
        <v>79</v>
      </c>
      <c r="H2239" t="s">
        <v>28</v>
      </c>
      <c r="I2239" t="s">
        <v>29</v>
      </c>
      <c r="J2239" t="s">
        <v>30</v>
      </c>
      <c r="K2239">
        <v>1</v>
      </c>
      <c r="L2239">
        <v>62227.76</v>
      </c>
      <c r="M2239">
        <v>0</v>
      </c>
      <c r="N2239">
        <v>62227.76</v>
      </c>
      <c r="O2239">
        <v>53246.51</v>
      </c>
      <c r="P2239">
        <v>8981.25</v>
      </c>
      <c r="Q2239" t="s">
        <v>53</v>
      </c>
      <c r="R2239">
        <v>0.14432867260528101</v>
      </c>
      <c r="S2239">
        <v>2025</v>
      </c>
      <c r="T2239" t="s">
        <v>1802</v>
      </c>
      <c r="U2239">
        <v>10</v>
      </c>
      <c r="V2239" t="s">
        <v>1803</v>
      </c>
    </row>
    <row r="2240" spans="1:22" x14ac:dyDescent="0.3">
      <c r="A2240" t="s">
        <v>3263</v>
      </c>
      <c r="B2240" s="1">
        <v>45947</v>
      </c>
      <c r="C2240" t="s">
        <v>1251</v>
      </c>
      <c r="D2240" t="s">
        <v>1435</v>
      </c>
      <c r="E2240" t="s">
        <v>120</v>
      </c>
      <c r="F2240" t="s">
        <v>121</v>
      </c>
      <c r="G2240" t="s">
        <v>122</v>
      </c>
      <c r="H2240" t="s">
        <v>28</v>
      </c>
      <c r="I2240" t="s">
        <v>29</v>
      </c>
      <c r="J2240" t="s">
        <v>57</v>
      </c>
      <c r="K2240">
        <v>2</v>
      </c>
      <c r="L2240">
        <v>15995.1</v>
      </c>
      <c r="M2240">
        <v>0.05</v>
      </c>
      <c r="N2240">
        <v>30390.69</v>
      </c>
      <c r="O2240">
        <v>24829.98</v>
      </c>
      <c r="P2240">
        <v>5560.71</v>
      </c>
      <c r="Q2240" t="s">
        <v>31</v>
      </c>
      <c r="R2240">
        <v>0.18297412793194229</v>
      </c>
      <c r="S2240">
        <v>2025</v>
      </c>
      <c r="T2240" t="s">
        <v>1802</v>
      </c>
      <c r="U2240">
        <v>10</v>
      </c>
      <c r="V2240" t="s">
        <v>1803</v>
      </c>
    </row>
    <row r="2241" spans="1:22" x14ac:dyDescent="0.3">
      <c r="A2241" t="s">
        <v>3264</v>
      </c>
      <c r="B2241" s="1">
        <v>45947</v>
      </c>
      <c r="C2241" t="s">
        <v>1458</v>
      </c>
      <c r="D2241" t="s">
        <v>580</v>
      </c>
      <c r="E2241" t="s">
        <v>61</v>
      </c>
      <c r="F2241" t="s">
        <v>71</v>
      </c>
      <c r="G2241" t="s">
        <v>100</v>
      </c>
      <c r="H2241" t="s">
        <v>43</v>
      </c>
      <c r="I2241" t="s">
        <v>44</v>
      </c>
      <c r="J2241" t="s">
        <v>45</v>
      </c>
      <c r="K2241">
        <v>2</v>
      </c>
      <c r="L2241">
        <v>239.2</v>
      </c>
      <c r="M2241">
        <v>0.05</v>
      </c>
      <c r="N2241">
        <v>454.48</v>
      </c>
      <c r="O2241">
        <v>178.47</v>
      </c>
      <c r="P2241">
        <v>276.01</v>
      </c>
      <c r="Q2241" t="s">
        <v>46</v>
      </c>
      <c r="R2241">
        <v>0.60730945256116875</v>
      </c>
      <c r="S2241">
        <v>2025</v>
      </c>
      <c r="T2241" t="s">
        <v>1802</v>
      </c>
      <c r="U2241">
        <v>10</v>
      </c>
      <c r="V2241" t="s">
        <v>1803</v>
      </c>
    </row>
    <row r="2242" spans="1:22" x14ac:dyDescent="0.3">
      <c r="A2242" t="s">
        <v>3265</v>
      </c>
      <c r="B2242" s="1">
        <v>45947</v>
      </c>
      <c r="C2242" t="s">
        <v>2879</v>
      </c>
      <c r="D2242" t="s">
        <v>371</v>
      </c>
      <c r="E2242" t="s">
        <v>41</v>
      </c>
      <c r="F2242" t="s">
        <v>42</v>
      </c>
      <c r="G2242" t="s">
        <v>42</v>
      </c>
      <c r="H2242" t="s">
        <v>43</v>
      </c>
      <c r="I2242" t="s">
        <v>51</v>
      </c>
      <c r="J2242" t="s">
        <v>96</v>
      </c>
      <c r="K2242">
        <v>4</v>
      </c>
      <c r="L2242">
        <v>474.54</v>
      </c>
      <c r="M2242">
        <v>0</v>
      </c>
      <c r="N2242">
        <v>1898.16</v>
      </c>
      <c r="O2242">
        <v>831.58</v>
      </c>
      <c r="P2242">
        <v>1066.58</v>
      </c>
      <c r="Q2242" t="s">
        <v>67</v>
      </c>
      <c r="R2242">
        <v>0.56190205251401348</v>
      </c>
      <c r="S2242">
        <v>2025</v>
      </c>
      <c r="T2242" t="s">
        <v>1802</v>
      </c>
      <c r="U2242">
        <v>10</v>
      </c>
      <c r="V2242" t="s">
        <v>1803</v>
      </c>
    </row>
    <row r="2243" spans="1:22" x14ac:dyDescent="0.3">
      <c r="A2243" t="s">
        <v>3266</v>
      </c>
      <c r="B2243" s="1">
        <v>45947</v>
      </c>
      <c r="C2243" t="s">
        <v>157</v>
      </c>
      <c r="D2243" t="s">
        <v>137</v>
      </c>
      <c r="E2243" t="s">
        <v>41</v>
      </c>
      <c r="F2243" t="s">
        <v>42</v>
      </c>
      <c r="G2243" t="s">
        <v>50</v>
      </c>
      <c r="H2243" t="s">
        <v>28</v>
      </c>
      <c r="I2243" t="s">
        <v>29</v>
      </c>
      <c r="J2243" t="s">
        <v>57</v>
      </c>
      <c r="K2243">
        <v>2</v>
      </c>
      <c r="L2243">
        <v>16291.76</v>
      </c>
      <c r="M2243">
        <v>0.2</v>
      </c>
      <c r="N2243">
        <v>26066.82</v>
      </c>
      <c r="O2243">
        <v>23674.12</v>
      </c>
      <c r="P2243">
        <v>2392.6999999999998</v>
      </c>
      <c r="Q2243" t="s">
        <v>31</v>
      </c>
      <c r="R2243">
        <v>9.17910201551244E-2</v>
      </c>
      <c r="S2243">
        <v>2025</v>
      </c>
      <c r="T2243" t="s">
        <v>1802</v>
      </c>
      <c r="U2243">
        <v>10</v>
      </c>
      <c r="V2243" t="s">
        <v>1803</v>
      </c>
    </row>
    <row r="2244" spans="1:22" x14ac:dyDescent="0.3">
      <c r="A2244" t="s">
        <v>3267</v>
      </c>
      <c r="B2244" s="1">
        <v>45948</v>
      </c>
      <c r="C2244" t="s">
        <v>272</v>
      </c>
      <c r="D2244" t="s">
        <v>954</v>
      </c>
      <c r="E2244" t="s">
        <v>25</v>
      </c>
      <c r="F2244" t="s">
        <v>26</v>
      </c>
      <c r="G2244" t="s">
        <v>37</v>
      </c>
      <c r="H2244" t="s">
        <v>28</v>
      </c>
      <c r="I2244" t="s">
        <v>73</v>
      </c>
      <c r="J2244" t="s">
        <v>74</v>
      </c>
      <c r="K2244">
        <v>1</v>
      </c>
      <c r="L2244">
        <v>2628.45</v>
      </c>
      <c r="M2244">
        <v>0.1</v>
      </c>
      <c r="N2244">
        <v>2365.61</v>
      </c>
      <c r="O2244">
        <v>1477.93</v>
      </c>
      <c r="P2244">
        <v>887.68</v>
      </c>
      <c r="Q2244" t="s">
        <v>31</v>
      </c>
      <c r="R2244">
        <v>0.37524359467536911</v>
      </c>
      <c r="S2244">
        <v>2025</v>
      </c>
      <c r="T2244" t="s">
        <v>1802</v>
      </c>
      <c r="U2244">
        <v>10</v>
      </c>
      <c r="V2244" t="s">
        <v>1803</v>
      </c>
    </row>
    <row r="2245" spans="1:22" x14ac:dyDescent="0.3">
      <c r="A2245" t="s">
        <v>3268</v>
      </c>
      <c r="B2245" s="1">
        <v>45948</v>
      </c>
      <c r="C2245" t="s">
        <v>2215</v>
      </c>
      <c r="D2245" t="s">
        <v>307</v>
      </c>
      <c r="E2245" t="s">
        <v>61</v>
      </c>
      <c r="F2245" t="s">
        <v>62</v>
      </c>
      <c r="G2245" t="s">
        <v>228</v>
      </c>
      <c r="H2245" t="s">
        <v>43</v>
      </c>
      <c r="I2245" t="s">
        <v>44</v>
      </c>
      <c r="J2245" t="s">
        <v>45</v>
      </c>
      <c r="K2245">
        <v>2</v>
      </c>
      <c r="L2245">
        <v>263.8</v>
      </c>
      <c r="M2245">
        <v>0.2</v>
      </c>
      <c r="N2245">
        <v>422.08</v>
      </c>
      <c r="O2245">
        <v>205.9</v>
      </c>
      <c r="P2245">
        <v>216.18</v>
      </c>
      <c r="Q2245" t="s">
        <v>53</v>
      </c>
      <c r="R2245">
        <v>0.51217778620166798</v>
      </c>
      <c r="S2245">
        <v>2025</v>
      </c>
      <c r="T2245" t="s">
        <v>1802</v>
      </c>
      <c r="U2245">
        <v>10</v>
      </c>
      <c r="V2245" t="s">
        <v>1803</v>
      </c>
    </row>
    <row r="2246" spans="1:22" x14ac:dyDescent="0.3">
      <c r="A2246" t="s">
        <v>3269</v>
      </c>
      <c r="B2246" s="1">
        <v>45948</v>
      </c>
      <c r="C2246" t="s">
        <v>287</v>
      </c>
      <c r="D2246" t="s">
        <v>3047</v>
      </c>
      <c r="E2246" t="s">
        <v>41</v>
      </c>
      <c r="F2246" t="s">
        <v>42</v>
      </c>
      <c r="G2246" t="s">
        <v>42</v>
      </c>
      <c r="H2246" t="s">
        <v>64</v>
      </c>
      <c r="I2246" t="s">
        <v>65</v>
      </c>
      <c r="J2246" t="s">
        <v>66</v>
      </c>
      <c r="K2246">
        <v>4</v>
      </c>
      <c r="L2246">
        <v>4778.51</v>
      </c>
      <c r="M2246">
        <v>0.1</v>
      </c>
      <c r="N2246">
        <v>17202.64</v>
      </c>
      <c r="O2246">
        <v>11299.69</v>
      </c>
      <c r="P2246">
        <v>5902.95</v>
      </c>
      <c r="Q2246" t="s">
        <v>53</v>
      </c>
      <c r="R2246">
        <v>0.34314209911966997</v>
      </c>
      <c r="S2246">
        <v>2025</v>
      </c>
      <c r="T2246" t="s">
        <v>1802</v>
      </c>
      <c r="U2246">
        <v>10</v>
      </c>
      <c r="V2246" t="s">
        <v>1803</v>
      </c>
    </row>
    <row r="2247" spans="1:22" x14ac:dyDescent="0.3">
      <c r="A2247" t="s">
        <v>3270</v>
      </c>
      <c r="B2247" s="1">
        <v>45948</v>
      </c>
      <c r="C2247" t="s">
        <v>1357</v>
      </c>
      <c r="D2247" t="s">
        <v>822</v>
      </c>
      <c r="E2247" t="s">
        <v>61</v>
      </c>
      <c r="F2247" t="s">
        <v>62</v>
      </c>
      <c r="G2247" t="s">
        <v>90</v>
      </c>
      <c r="H2247" t="s">
        <v>43</v>
      </c>
      <c r="I2247" t="s">
        <v>51</v>
      </c>
      <c r="J2247" t="s">
        <v>96</v>
      </c>
      <c r="K2247">
        <v>3</v>
      </c>
      <c r="L2247">
        <v>480.1</v>
      </c>
      <c r="M2247">
        <v>0</v>
      </c>
      <c r="N2247">
        <v>1440.3</v>
      </c>
      <c r="O2247">
        <v>655.16</v>
      </c>
      <c r="P2247">
        <v>785.14</v>
      </c>
      <c r="Q2247" t="s">
        <v>46</v>
      </c>
      <c r="R2247">
        <v>0.54512254391446224</v>
      </c>
      <c r="S2247">
        <v>2025</v>
      </c>
      <c r="T2247" t="s">
        <v>1802</v>
      </c>
      <c r="U2247">
        <v>10</v>
      </c>
      <c r="V2247" t="s">
        <v>1803</v>
      </c>
    </row>
    <row r="2248" spans="1:22" x14ac:dyDescent="0.3">
      <c r="A2248" t="s">
        <v>3271</v>
      </c>
      <c r="B2248" s="1">
        <v>45949</v>
      </c>
      <c r="C2248" t="s">
        <v>303</v>
      </c>
      <c r="D2248" t="s">
        <v>906</v>
      </c>
      <c r="E2248" t="s">
        <v>61</v>
      </c>
      <c r="F2248" t="s">
        <v>62</v>
      </c>
      <c r="G2248" t="s">
        <v>228</v>
      </c>
      <c r="H2248" t="s">
        <v>84</v>
      </c>
      <c r="I2248" t="s">
        <v>138</v>
      </c>
      <c r="J2248" t="s">
        <v>220</v>
      </c>
      <c r="K2248">
        <v>2</v>
      </c>
      <c r="L2248">
        <v>7875.47</v>
      </c>
      <c r="M2248">
        <v>0.15</v>
      </c>
      <c r="N2248">
        <v>13388.3</v>
      </c>
      <c r="O2248">
        <v>9845.82</v>
      </c>
      <c r="P2248">
        <v>3542.48</v>
      </c>
      <c r="Q2248" t="s">
        <v>46</v>
      </c>
      <c r="R2248">
        <v>0.26459520626218408</v>
      </c>
      <c r="S2248">
        <v>2025</v>
      </c>
      <c r="T2248" t="s">
        <v>1802</v>
      </c>
      <c r="U2248">
        <v>10</v>
      </c>
      <c r="V2248" t="s">
        <v>1803</v>
      </c>
    </row>
    <row r="2249" spans="1:22" x14ac:dyDescent="0.3">
      <c r="A2249" t="s">
        <v>3272</v>
      </c>
      <c r="B2249" s="1">
        <v>45950</v>
      </c>
      <c r="C2249" t="s">
        <v>1704</v>
      </c>
      <c r="D2249" t="s">
        <v>1613</v>
      </c>
      <c r="E2249" t="s">
        <v>61</v>
      </c>
      <c r="F2249" t="s">
        <v>71</v>
      </c>
      <c r="G2249" t="s">
        <v>317</v>
      </c>
      <c r="H2249" t="s">
        <v>43</v>
      </c>
      <c r="I2249" t="s">
        <v>44</v>
      </c>
      <c r="J2249" t="s">
        <v>248</v>
      </c>
      <c r="K2249">
        <v>2</v>
      </c>
      <c r="L2249">
        <v>299.92</v>
      </c>
      <c r="M2249">
        <v>0.05</v>
      </c>
      <c r="N2249">
        <v>569.85</v>
      </c>
      <c r="O2249">
        <v>251.16</v>
      </c>
      <c r="P2249">
        <v>318.69</v>
      </c>
      <c r="Q2249" t="s">
        <v>46</v>
      </c>
      <c r="R2249">
        <v>0.55925243485127663</v>
      </c>
      <c r="S2249">
        <v>2025</v>
      </c>
      <c r="T2249" t="s">
        <v>1802</v>
      </c>
      <c r="U2249">
        <v>10</v>
      </c>
      <c r="V2249" t="s">
        <v>1803</v>
      </c>
    </row>
    <row r="2250" spans="1:22" x14ac:dyDescent="0.3">
      <c r="A2250" t="s">
        <v>3273</v>
      </c>
      <c r="B2250" s="1">
        <v>45950</v>
      </c>
      <c r="C2250" t="s">
        <v>2059</v>
      </c>
      <c r="D2250" t="s">
        <v>154</v>
      </c>
      <c r="E2250" t="s">
        <v>61</v>
      </c>
      <c r="F2250" t="s">
        <v>71</v>
      </c>
      <c r="G2250" t="s">
        <v>100</v>
      </c>
      <c r="H2250" t="s">
        <v>64</v>
      </c>
      <c r="I2250" t="s">
        <v>108</v>
      </c>
      <c r="J2250" t="s">
        <v>155</v>
      </c>
      <c r="K2250">
        <v>2</v>
      </c>
      <c r="L2250">
        <v>8555.7199999999993</v>
      </c>
      <c r="M2250">
        <v>0.2</v>
      </c>
      <c r="N2250">
        <v>13689.15</v>
      </c>
      <c r="O2250">
        <v>11812.07</v>
      </c>
      <c r="P2250">
        <v>1877.08</v>
      </c>
      <c r="Q2250" t="s">
        <v>113</v>
      </c>
      <c r="R2250">
        <v>0.13712173509677369</v>
      </c>
      <c r="S2250">
        <v>2025</v>
      </c>
      <c r="T2250" t="s">
        <v>1802</v>
      </c>
      <c r="U2250">
        <v>10</v>
      </c>
      <c r="V2250" t="s">
        <v>1803</v>
      </c>
    </row>
    <row r="2251" spans="1:22" x14ac:dyDescent="0.3">
      <c r="A2251" t="s">
        <v>3274</v>
      </c>
      <c r="B2251" s="1">
        <v>45950</v>
      </c>
      <c r="C2251" t="s">
        <v>333</v>
      </c>
      <c r="D2251" t="s">
        <v>510</v>
      </c>
      <c r="E2251" t="s">
        <v>41</v>
      </c>
      <c r="F2251" t="s">
        <v>42</v>
      </c>
      <c r="G2251" t="s">
        <v>42</v>
      </c>
      <c r="H2251" t="s">
        <v>43</v>
      </c>
      <c r="I2251" t="s">
        <v>51</v>
      </c>
      <c r="J2251" t="s">
        <v>52</v>
      </c>
      <c r="K2251">
        <v>1</v>
      </c>
      <c r="L2251">
        <v>687.35</v>
      </c>
      <c r="M2251">
        <v>0</v>
      </c>
      <c r="N2251">
        <v>687.35</v>
      </c>
      <c r="O2251">
        <v>323.77</v>
      </c>
      <c r="P2251">
        <v>363.58</v>
      </c>
      <c r="Q2251" t="s">
        <v>31</v>
      </c>
      <c r="R2251">
        <v>0.52895904560995122</v>
      </c>
      <c r="S2251">
        <v>2025</v>
      </c>
      <c r="T2251" t="s">
        <v>1802</v>
      </c>
      <c r="U2251">
        <v>10</v>
      </c>
      <c r="V2251" t="s">
        <v>1803</v>
      </c>
    </row>
    <row r="2252" spans="1:22" x14ac:dyDescent="0.3">
      <c r="A2252" t="s">
        <v>3275</v>
      </c>
      <c r="B2252" s="1">
        <v>45950</v>
      </c>
      <c r="C2252" t="s">
        <v>1892</v>
      </c>
      <c r="D2252" t="s">
        <v>685</v>
      </c>
      <c r="E2252" t="s">
        <v>120</v>
      </c>
      <c r="F2252" t="s">
        <v>121</v>
      </c>
      <c r="G2252" t="s">
        <v>122</v>
      </c>
      <c r="H2252" t="s">
        <v>43</v>
      </c>
      <c r="I2252" t="s">
        <v>44</v>
      </c>
      <c r="J2252" t="s">
        <v>45</v>
      </c>
      <c r="K2252">
        <v>1</v>
      </c>
      <c r="L2252">
        <v>260.74</v>
      </c>
      <c r="M2252">
        <v>0.2</v>
      </c>
      <c r="N2252">
        <v>208.59</v>
      </c>
      <c r="O2252">
        <v>99.46</v>
      </c>
      <c r="P2252">
        <v>109.13</v>
      </c>
      <c r="Q2252" t="s">
        <v>113</v>
      </c>
      <c r="R2252">
        <v>0.5231794429263148</v>
      </c>
      <c r="S2252">
        <v>2025</v>
      </c>
      <c r="T2252" t="s">
        <v>1802</v>
      </c>
      <c r="U2252">
        <v>10</v>
      </c>
      <c r="V2252" t="s">
        <v>1803</v>
      </c>
    </row>
    <row r="2253" spans="1:22" x14ac:dyDescent="0.3">
      <c r="A2253" t="s">
        <v>3276</v>
      </c>
      <c r="B2253" s="1">
        <v>45951</v>
      </c>
      <c r="C2253" t="s">
        <v>2762</v>
      </c>
      <c r="D2253" t="s">
        <v>298</v>
      </c>
      <c r="E2253" t="s">
        <v>25</v>
      </c>
      <c r="F2253" t="s">
        <v>26</v>
      </c>
      <c r="G2253" t="s">
        <v>171</v>
      </c>
      <c r="H2253" t="s">
        <v>84</v>
      </c>
      <c r="I2253" t="s">
        <v>138</v>
      </c>
      <c r="J2253" t="s">
        <v>220</v>
      </c>
      <c r="K2253">
        <v>4</v>
      </c>
      <c r="L2253">
        <v>7254.54</v>
      </c>
      <c r="M2253">
        <v>0.2</v>
      </c>
      <c r="N2253">
        <v>23214.53</v>
      </c>
      <c r="O2253">
        <v>19513.400000000001</v>
      </c>
      <c r="P2253">
        <v>3701.13</v>
      </c>
      <c r="Q2253" t="s">
        <v>53</v>
      </c>
      <c r="R2253">
        <v>0.15943161459654789</v>
      </c>
      <c r="S2253">
        <v>2025</v>
      </c>
      <c r="T2253" t="s">
        <v>1802</v>
      </c>
      <c r="U2253">
        <v>10</v>
      </c>
      <c r="V2253" t="s">
        <v>1803</v>
      </c>
    </row>
    <row r="2254" spans="1:22" x14ac:dyDescent="0.3">
      <c r="A2254" t="s">
        <v>3277</v>
      </c>
      <c r="B2254" s="1">
        <v>45951</v>
      </c>
      <c r="C2254" t="s">
        <v>2924</v>
      </c>
      <c r="D2254" t="s">
        <v>547</v>
      </c>
      <c r="E2254" t="s">
        <v>61</v>
      </c>
      <c r="F2254" t="s">
        <v>71</v>
      </c>
      <c r="G2254" t="s">
        <v>72</v>
      </c>
      <c r="H2254" t="s">
        <v>64</v>
      </c>
      <c r="I2254" t="s">
        <v>65</v>
      </c>
      <c r="J2254" t="s">
        <v>232</v>
      </c>
      <c r="K2254">
        <v>1</v>
      </c>
      <c r="L2254">
        <v>4130.9399999999996</v>
      </c>
      <c r="M2254">
        <v>0</v>
      </c>
      <c r="N2254">
        <v>4130.9399999999996</v>
      </c>
      <c r="O2254">
        <v>2573.87</v>
      </c>
      <c r="P2254">
        <v>1557.07</v>
      </c>
      <c r="Q2254" t="s">
        <v>31</v>
      </c>
      <c r="R2254">
        <v>0.37692873776912761</v>
      </c>
      <c r="S2254">
        <v>2025</v>
      </c>
      <c r="T2254" t="s">
        <v>1802</v>
      </c>
      <c r="U2254">
        <v>10</v>
      </c>
      <c r="V2254" t="s">
        <v>1803</v>
      </c>
    </row>
    <row r="2255" spans="1:22" x14ac:dyDescent="0.3">
      <c r="A2255" t="s">
        <v>3278</v>
      </c>
      <c r="B2255" s="1">
        <v>45951</v>
      </c>
      <c r="C2255" t="s">
        <v>2006</v>
      </c>
      <c r="D2255" t="s">
        <v>2550</v>
      </c>
      <c r="E2255" t="s">
        <v>61</v>
      </c>
      <c r="F2255" t="s">
        <v>62</v>
      </c>
      <c r="G2255" t="s">
        <v>90</v>
      </c>
      <c r="H2255" t="s">
        <v>28</v>
      </c>
      <c r="I2255" t="s">
        <v>29</v>
      </c>
      <c r="J2255" t="s">
        <v>57</v>
      </c>
      <c r="K2255">
        <v>4</v>
      </c>
      <c r="L2255">
        <v>15656.91</v>
      </c>
      <c r="M2255">
        <v>0</v>
      </c>
      <c r="N2255">
        <v>62627.64</v>
      </c>
      <c r="O2255">
        <v>48497.06</v>
      </c>
      <c r="P2255">
        <v>14130.58</v>
      </c>
      <c r="Q2255" t="s">
        <v>113</v>
      </c>
      <c r="R2255">
        <v>0.2256284924675431</v>
      </c>
      <c r="S2255">
        <v>2025</v>
      </c>
      <c r="T2255" t="s">
        <v>1802</v>
      </c>
      <c r="U2255">
        <v>10</v>
      </c>
      <c r="V2255" t="s">
        <v>1803</v>
      </c>
    </row>
    <row r="2256" spans="1:22" x14ac:dyDescent="0.3">
      <c r="A2256" t="s">
        <v>3279</v>
      </c>
      <c r="B2256" s="1">
        <v>45951</v>
      </c>
      <c r="C2256" t="s">
        <v>1147</v>
      </c>
      <c r="D2256" t="s">
        <v>360</v>
      </c>
      <c r="E2256" t="s">
        <v>61</v>
      </c>
      <c r="F2256" t="s">
        <v>78</v>
      </c>
      <c r="G2256" t="s">
        <v>79</v>
      </c>
      <c r="H2256" t="s">
        <v>64</v>
      </c>
      <c r="I2256" t="s">
        <v>108</v>
      </c>
      <c r="J2256" t="s">
        <v>155</v>
      </c>
      <c r="K2256">
        <v>2</v>
      </c>
      <c r="L2256">
        <v>8965.65</v>
      </c>
      <c r="M2256">
        <v>0.15</v>
      </c>
      <c r="N2256">
        <v>15241.6</v>
      </c>
      <c r="O2256">
        <v>12532.25</v>
      </c>
      <c r="P2256">
        <v>2709.35</v>
      </c>
      <c r="Q2256" t="s">
        <v>53</v>
      </c>
      <c r="R2256">
        <v>0.17776020890195249</v>
      </c>
      <c r="S2256">
        <v>2025</v>
      </c>
      <c r="T2256" t="s">
        <v>1802</v>
      </c>
      <c r="U2256">
        <v>10</v>
      </c>
      <c r="V2256" t="s">
        <v>1803</v>
      </c>
    </row>
    <row r="2257" spans="1:22" x14ac:dyDescent="0.3">
      <c r="A2257" t="s">
        <v>3280</v>
      </c>
      <c r="B2257" s="1">
        <v>45952</v>
      </c>
      <c r="C2257" t="s">
        <v>1472</v>
      </c>
      <c r="D2257" t="s">
        <v>209</v>
      </c>
      <c r="E2257" t="s">
        <v>61</v>
      </c>
      <c r="F2257" t="s">
        <v>78</v>
      </c>
      <c r="G2257" t="s">
        <v>83</v>
      </c>
      <c r="H2257" t="s">
        <v>84</v>
      </c>
      <c r="I2257" t="s">
        <v>138</v>
      </c>
      <c r="J2257" t="s">
        <v>139</v>
      </c>
      <c r="K2257">
        <v>2</v>
      </c>
      <c r="L2257">
        <v>13741.7</v>
      </c>
      <c r="M2257">
        <v>0.1</v>
      </c>
      <c r="N2257">
        <v>24735.06</v>
      </c>
      <c r="O2257">
        <v>19868.45</v>
      </c>
      <c r="P2257">
        <v>4866.6099999999997</v>
      </c>
      <c r="Q2257" t="s">
        <v>31</v>
      </c>
      <c r="R2257">
        <v>0.19674947220665731</v>
      </c>
      <c r="S2257">
        <v>2025</v>
      </c>
      <c r="T2257" t="s">
        <v>1802</v>
      </c>
      <c r="U2257">
        <v>10</v>
      </c>
      <c r="V2257" t="s">
        <v>1803</v>
      </c>
    </row>
    <row r="2258" spans="1:22" x14ac:dyDescent="0.3">
      <c r="A2258" t="s">
        <v>3281</v>
      </c>
      <c r="B2258" s="1">
        <v>45952</v>
      </c>
      <c r="C2258" t="s">
        <v>502</v>
      </c>
      <c r="D2258" t="s">
        <v>527</v>
      </c>
      <c r="E2258" t="s">
        <v>61</v>
      </c>
      <c r="F2258" t="s">
        <v>78</v>
      </c>
      <c r="G2258" t="s">
        <v>79</v>
      </c>
      <c r="H2258" t="s">
        <v>43</v>
      </c>
      <c r="I2258" t="s">
        <v>51</v>
      </c>
      <c r="J2258" t="s">
        <v>96</v>
      </c>
      <c r="K2258">
        <v>1</v>
      </c>
      <c r="L2258">
        <v>512.16999999999996</v>
      </c>
      <c r="M2258">
        <v>0</v>
      </c>
      <c r="N2258">
        <v>512.16999999999996</v>
      </c>
      <c r="O2258">
        <v>230.52</v>
      </c>
      <c r="P2258">
        <v>281.64999999999998</v>
      </c>
      <c r="Q2258" t="s">
        <v>31</v>
      </c>
      <c r="R2258">
        <v>0.54991506726282291</v>
      </c>
      <c r="S2258">
        <v>2025</v>
      </c>
      <c r="T2258" t="s">
        <v>1802</v>
      </c>
      <c r="U2258">
        <v>10</v>
      </c>
      <c r="V2258" t="s">
        <v>1803</v>
      </c>
    </row>
    <row r="2259" spans="1:22" x14ac:dyDescent="0.3">
      <c r="A2259" t="s">
        <v>3282</v>
      </c>
      <c r="B2259" s="1">
        <v>45953</v>
      </c>
      <c r="C2259" t="s">
        <v>414</v>
      </c>
      <c r="D2259" t="s">
        <v>901</v>
      </c>
      <c r="E2259" t="s">
        <v>120</v>
      </c>
      <c r="F2259" t="s">
        <v>121</v>
      </c>
      <c r="G2259" t="s">
        <v>130</v>
      </c>
      <c r="H2259" t="s">
        <v>64</v>
      </c>
      <c r="I2259" t="s">
        <v>65</v>
      </c>
      <c r="J2259" t="s">
        <v>232</v>
      </c>
      <c r="K2259">
        <v>2</v>
      </c>
      <c r="L2259">
        <v>3863.76</v>
      </c>
      <c r="M2259">
        <v>0.2</v>
      </c>
      <c r="N2259">
        <v>6182.02</v>
      </c>
      <c r="O2259">
        <v>4746.6400000000003</v>
      </c>
      <c r="P2259">
        <v>1435.38</v>
      </c>
      <c r="Q2259" t="s">
        <v>53</v>
      </c>
      <c r="R2259">
        <v>0.2321862433314677</v>
      </c>
      <c r="S2259">
        <v>2025</v>
      </c>
      <c r="T2259" t="s">
        <v>1802</v>
      </c>
      <c r="U2259">
        <v>10</v>
      </c>
      <c r="V2259" t="s">
        <v>1803</v>
      </c>
    </row>
    <row r="2260" spans="1:22" x14ac:dyDescent="0.3">
      <c r="A2260" t="s">
        <v>3283</v>
      </c>
      <c r="B2260" s="1">
        <v>45953</v>
      </c>
      <c r="C2260" t="s">
        <v>598</v>
      </c>
      <c r="D2260" t="s">
        <v>1503</v>
      </c>
      <c r="E2260" t="s">
        <v>61</v>
      </c>
      <c r="F2260" t="s">
        <v>71</v>
      </c>
      <c r="G2260" t="s">
        <v>100</v>
      </c>
      <c r="H2260" t="s">
        <v>28</v>
      </c>
      <c r="I2260" t="s">
        <v>73</v>
      </c>
      <c r="J2260" t="s">
        <v>80</v>
      </c>
      <c r="K2260">
        <v>1</v>
      </c>
      <c r="L2260">
        <v>802.31</v>
      </c>
      <c r="M2260">
        <v>0.1</v>
      </c>
      <c r="N2260">
        <v>722.08</v>
      </c>
      <c r="O2260">
        <v>482.75</v>
      </c>
      <c r="P2260">
        <v>239.33</v>
      </c>
      <c r="Q2260" t="s">
        <v>53</v>
      </c>
      <c r="R2260">
        <v>0.33144526922224682</v>
      </c>
      <c r="S2260">
        <v>2025</v>
      </c>
      <c r="T2260" t="s">
        <v>1802</v>
      </c>
      <c r="U2260">
        <v>10</v>
      </c>
      <c r="V2260" t="s">
        <v>1803</v>
      </c>
    </row>
    <row r="2261" spans="1:22" x14ac:dyDescent="0.3">
      <c r="A2261" t="s">
        <v>3284</v>
      </c>
      <c r="B2261" s="1">
        <v>45954</v>
      </c>
      <c r="C2261" t="s">
        <v>866</v>
      </c>
      <c r="D2261" t="s">
        <v>203</v>
      </c>
      <c r="E2261" t="s">
        <v>41</v>
      </c>
      <c r="F2261" t="s">
        <v>42</v>
      </c>
      <c r="G2261" t="s">
        <v>50</v>
      </c>
      <c r="H2261" t="s">
        <v>64</v>
      </c>
      <c r="I2261" t="s">
        <v>108</v>
      </c>
      <c r="J2261" t="s">
        <v>109</v>
      </c>
      <c r="K2261">
        <v>1</v>
      </c>
      <c r="L2261">
        <v>6743.2</v>
      </c>
      <c r="M2261">
        <v>0</v>
      </c>
      <c r="N2261">
        <v>6743.2</v>
      </c>
      <c r="O2261">
        <v>4464.54</v>
      </c>
      <c r="P2261">
        <v>2278.66</v>
      </c>
      <c r="Q2261" t="s">
        <v>31</v>
      </c>
      <c r="R2261">
        <v>0.33791968205006517</v>
      </c>
      <c r="S2261">
        <v>2025</v>
      </c>
      <c r="T2261" t="s">
        <v>1802</v>
      </c>
      <c r="U2261">
        <v>10</v>
      </c>
      <c r="V2261" t="s">
        <v>1803</v>
      </c>
    </row>
    <row r="2262" spans="1:22" x14ac:dyDescent="0.3">
      <c r="A2262" t="s">
        <v>3285</v>
      </c>
      <c r="B2262" s="1">
        <v>45955</v>
      </c>
      <c r="C2262" t="s">
        <v>3130</v>
      </c>
      <c r="D2262" t="s">
        <v>3047</v>
      </c>
      <c r="E2262" t="s">
        <v>41</v>
      </c>
      <c r="F2262" t="s">
        <v>42</v>
      </c>
      <c r="G2262" t="s">
        <v>42</v>
      </c>
      <c r="H2262" t="s">
        <v>43</v>
      </c>
      <c r="I2262" t="s">
        <v>51</v>
      </c>
      <c r="J2262" t="s">
        <v>52</v>
      </c>
      <c r="K2262">
        <v>4</v>
      </c>
      <c r="L2262">
        <v>724.24</v>
      </c>
      <c r="M2262">
        <v>0.1</v>
      </c>
      <c r="N2262">
        <v>2607.2600000000002</v>
      </c>
      <c r="O2262">
        <v>1312.44</v>
      </c>
      <c r="P2262">
        <v>1294.82</v>
      </c>
      <c r="Q2262" t="s">
        <v>113</v>
      </c>
      <c r="R2262">
        <v>0.4966209737425496</v>
      </c>
      <c r="S2262">
        <v>2025</v>
      </c>
      <c r="T2262" t="s">
        <v>1802</v>
      </c>
      <c r="U2262">
        <v>10</v>
      </c>
      <c r="V2262" t="s">
        <v>1803</v>
      </c>
    </row>
    <row r="2263" spans="1:22" x14ac:dyDescent="0.3">
      <c r="A2263" t="s">
        <v>3286</v>
      </c>
      <c r="B2263" s="1">
        <v>45955</v>
      </c>
      <c r="C2263" t="s">
        <v>584</v>
      </c>
      <c r="D2263" t="s">
        <v>241</v>
      </c>
      <c r="E2263" t="s">
        <v>120</v>
      </c>
      <c r="F2263" t="s">
        <v>121</v>
      </c>
      <c r="G2263" t="s">
        <v>130</v>
      </c>
      <c r="H2263" t="s">
        <v>43</v>
      </c>
      <c r="I2263" t="s">
        <v>44</v>
      </c>
      <c r="J2263" t="s">
        <v>248</v>
      </c>
      <c r="K2263">
        <v>1</v>
      </c>
      <c r="L2263">
        <v>288.95</v>
      </c>
      <c r="M2263">
        <v>0.1</v>
      </c>
      <c r="N2263">
        <v>260.06</v>
      </c>
      <c r="O2263">
        <v>121.66</v>
      </c>
      <c r="P2263">
        <v>138.4</v>
      </c>
      <c r="Q2263" t="s">
        <v>31</v>
      </c>
      <c r="R2263">
        <v>0.53218488041221257</v>
      </c>
      <c r="S2263">
        <v>2025</v>
      </c>
      <c r="T2263" t="s">
        <v>1802</v>
      </c>
      <c r="U2263">
        <v>10</v>
      </c>
      <c r="V2263" t="s">
        <v>1803</v>
      </c>
    </row>
    <row r="2264" spans="1:22" x14ac:dyDescent="0.3">
      <c r="A2264" t="s">
        <v>3287</v>
      </c>
      <c r="B2264" s="1">
        <v>45956</v>
      </c>
      <c r="C2264" t="s">
        <v>537</v>
      </c>
      <c r="D2264" t="s">
        <v>981</v>
      </c>
      <c r="E2264" t="s">
        <v>41</v>
      </c>
      <c r="F2264" t="s">
        <v>42</v>
      </c>
      <c r="G2264" t="s">
        <v>50</v>
      </c>
      <c r="H2264" t="s">
        <v>43</v>
      </c>
      <c r="I2264" t="s">
        <v>44</v>
      </c>
      <c r="J2264" t="s">
        <v>248</v>
      </c>
      <c r="K2264">
        <v>2</v>
      </c>
      <c r="L2264">
        <v>316.91000000000003</v>
      </c>
      <c r="M2264">
        <v>0.1</v>
      </c>
      <c r="N2264">
        <v>570.44000000000005</v>
      </c>
      <c r="O2264">
        <v>267.88</v>
      </c>
      <c r="P2264">
        <v>302.56</v>
      </c>
      <c r="Q2264" t="s">
        <v>113</v>
      </c>
      <c r="R2264">
        <v>0.53039758782694058</v>
      </c>
      <c r="S2264">
        <v>2025</v>
      </c>
      <c r="T2264" t="s">
        <v>1802</v>
      </c>
      <c r="U2264">
        <v>10</v>
      </c>
      <c r="V2264" t="s">
        <v>1803</v>
      </c>
    </row>
    <row r="2265" spans="1:22" x14ac:dyDescent="0.3">
      <c r="A2265" t="s">
        <v>3288</v>
      </c>
      <c r="B2265" s="1">
        <v>45956</v>
      </c>
      <c r="C2265" t="s">
        <v>309</v>
      </c>
      <c r="D2265" t="s">
        <v>901</v>
      </c>
      <c r="E2265" t="s">
        <v>120</v>
      </c>
      <c r="F2265" t="s">
        <v>121</v>
      </c>
      <c r="G2265" t="s">
        <v>224</v>
      </c>
      <c r="H2265" t="s">
        <v>84</v>
      </c>
      <c r="I2265" t="s">
        <v>85</v>
      </c>
      <c r="J2265" t="s">
        <v>145</v>
      </c>
      <c r="K2265">
        <v>3</v>
      </c>
      <c r="L2265">
        <v>3371.16</v>
      </c>
      <c r="M2265">
        <v>0.05</v>
      </c>
      <c r="N2265">
        <v>9607.81</v>
      </c>
      <c r="O2265">
        <v>5875.43</v>
      </c>
      <c r="P2265">
        <v>3732.38</v>
      </c>
      <c r="Q2265" t="s">
        <v>31</v>
      </c>
      <c r="R2265">
        <v>0.38847354391895761</v>
      </c>
      <c r="S2265">
        <v>2025</v>
      </c>
      <c r="T2265" t="s">
        <v>1802</v>
      </c>
      <c r="U2265">
        <v>10</v>
      </c>
      <c r="V2265" t="s">
        <v>1803</v>
      </c>
    </row>
    <row r="2266" spans="1:22" x14ac:dyDescent="0.3">
      <c r="A2266" t="s">
        <v>3289</v>
      </c>
      <c r="B2266" s="1">
        <v>45956</v>
      </c>
      <c r="C2266" t="s">
        <v>1362</v>
      </c>
      <c r="D2266" t="s">
        <v>1503</v>
      </c>
      <c r="E2266" t="s">
        <v>61</v>
      </c>
      <c r="F2266" t="s">
        <v>71</v>
      </c>
      <c r="G2266" t="s">
        <v>201</v>
      </c>
      <c r="H2266" t="s">
        <v>43</v>
      </c>
      <c r="I2266" t="s">
        <v>51</v>
      </c>
      <c r="J2266" t="s">
        <v>52</v>
      </c>
      <c r="K2266">
        <v>3</v>
      </c>
      <c r="L2266">
        <v>694.73</v>
      </c>
      <c r="M2266">
        <v>0.05</v>
      </c>
      <c r="N2266">
        <v>1979.98</v>
      </c>
      <c r="O2266">
        <v>1003.95</v>
      </c>
      <c r="P2266">
        <v>976.03</v>
      </c>
      <c r="Q2266" t="s">
        <v>31</v>
      </c>
      <c r="R2266">
        <v>0.49294942373155282</v>
      </c>
      <c r="S2266">
        <v>2025</v>
      </c>
      <c r="T2266" t="s">
        <v>1802</v>
      </c>
      <c r="U2266">
        <v>10</v>
      </c>
      <c r="V2266" t="s">
        <v>1803</v>
      </c>
    </row>
    <row r="2267" spans="1:22" x14ac:dyDescent="0.3">
      <c r="A2267" t="s">
        <v>3290</v>
      </c>
      <c r="B2267" s="1">
        <v>45956</v>
      </c>
      <c r="C2267" t="s">
        <v>1279</v>
      </c>
      <c r="D2267" t="s">
        <v>726</v>
      </c>
      <c r="E2267" t="s">
        <v>61</v>
      </c>
      <c r="F2267" t="s">
        <v>78</v>
      </c>
      <c r="G2267" t="s">
        <v>104</v>
      </c>
      <c r="H2267" t="s">
        <v>28</v>
      </c>
      <c r="I2267" t="s">
        <v>91</v>
      </c>
      <c r="J2267" t="s">
        <v>126</v>
      </c>
      <c r="K2267">
        <v>1</v>
      </c>
      <c r="L2267">
        <v>1957.88</v>
      </c>
      <c r="M2267">
        <v>0.15</v>
      </c>
      <c r="N2267">
        <v>1664.2</v>
      </c>
      <c r="O2267">
        <v>1096.28</v>
      </c>
      <c r="P2267">
        <v>567.91999999999996</v>
      </c>
      <c r="Q2267" t="s">
        <v>46</v>
      </c>
      <c r="R2267">
        <v>0.34125706044946519</v>
      </c>
      <c r="S2267">
        <v>2025</v>
      </c>
      <c r="T2267" t="s">
        <v>1802</v>
      </c>
      <c r="U2267">
        <v>10</v>
      </c>
      <c r="V2267" t="s">
        <v>1803</v>
      </c>
    </row>
    <row r="2268" spans="1:22" x14ac:dyDescent="0.3">
      <c r="A2268" t="s">
        <v>3291</v>
      </c>
      <c r="B2268" s="1">
        <v>45956</v>
      </c>
      <c r="C2268" t="s">
        <v>1542</v>
      </c>
      <c r="D2268" t="s">
        <v>1066</v>
      </c>
      <c r="E2268" t="s">
        <v>41</v>
      </c>
      <c r="F2268" t="s">
        <v>42</v>
      </c>
      <c r="G2268" t="s">
        <v>42</v>
      </c>
      <c r="H2268" t="s">
        <v>43</v>
      </c>
      <c r="I2268" t="s">
        <v>44</v>
      </c>
      <c r="J2268" t="s">
        <v>248</v>
      </c>
      <c r="K2268">
        <v>2</v>
      </c>
      <c r="L2268">
        <v>314.5</v>
      </c>
      <c r="M2268">
        <v>0.05</v>
      </c>
      <c r="N2268">
        <v>597.54999999999995</v>
      </c>
      <c r="O2268">
        <v>268.02</v>
      </c>
      <c r="P2268">
        <v>329.53</v>
      </c>
      <c r="Q2268" t="s">
        <v>53</v>
      </c>
      <c r="R2268">
        <v>0.55146849636013717</v>
      </c>
      <c r="S2268">
        <v>2025</v>
      </c>
      <c r="T2268" t="s">
        <v>1802</v>
      </c>
      <c r="U2268">
        <v>10</v>
      </c>
      <c r="V2268" t="s">
        <v>1803</v>
      </c>
    </row>
    <row r="2269" spans="1:22" x14ac:dyDescent="0.3">
      <c r="A2269" t="s">
        <v>3292</v>
      </c>
      <c r="B2269" s="1">
        <v>45956</v>
      </c>
      <c r="C2269" t="s">
        <v>356</v>
      </c>
      <c r="D2269" t="s">
        <v>1118</v>
      </c>
      <c r="E2269" t="s">
        <v>41</v>
      </c>
      <c r="F2269" t="s">
        <v>42</v>
      </c>
      <c r="G2269" t="s">
        <v>42</v>
      </c>
      <c r="H2269" t="s">
        <v>28</v>
      </c>
      <c r="I2269" t="s">
        <v>91</v>
      </c>
      <c r="J2269" t="s">
        <v>92</v>
      </c>
      <c r="K2269">
        <v>2</v>
      </c>
      <c r="L2269">
        <v>3072.95</v>
      </c>
      <c r="M2269">
        <v>0.1</v>
      </c>
      <c r="N2269">
        <v>5531.31</v>
      </c>
      <c r="O2269">
        <v>3107.01</v>
      </c>
      <c r="P2269">
        <v>2424.3000000000002</v>
      </c>
      <c r="Q2269" t="s">
        <v>53</v>
      </c>
      <c r="R2269">
        <v>0.43828677112655051</v>
      </c>
      <c r="S2269">
        <v>2025</v>
      </c>
      <c r="T2269" t="s">
        <v>1802</v>
      </c>
      <c r="U2269">
        <v>10</v>
      </c>
      <c r="V2269" t="s">
        <v>1803</v>
      </c>
    </row>
    <row r="2270" spans="1:22" x14ac:dyDescent="0.3">
      <c r="A2270" t="s">
        <v>3293</v>
      </c>
      <c r="B2270" s="1">
        <v>45956</v>
      </c>
      <c r="C2270" t="s">
        <v>3219</v>
      </c>
      <c r="D2270" t="s">
        <v>1235</v>
      </c>
      <c r="E2270" t="s">
        <v>61</v>
      </c>
      <c r="F2270" t="s">
        <v>71</v>
      </c>
      <c r="G2270" t="s">
        <v>72</v>
      </c>
      <c r="H2270" t="s">
        <v>84</v>
      </c>
      <c r="I2270" t="s">
        <v>138</v>
      </c>
      <c r="J2270" t="s">
        <v>139</v>
      </c>
      <c r="K2270">
        <v>3</v>
      </c>
      <c r="L2270">
        <v>13385.35</v>
      </c>
      <c r="M2270">
        <v>0.1</v>
      </c>
      <c r="N2270">
        <v>36140.449999999997</v>
      </c>
      <c r="O2270">
        <v>29843.4</v>
      </c>
      <c r="P2270">
        <v>6297.05</v>
      </c>
      <c r="Q2270" t="s">
        <v>31</v>
      </c>
      <c r="R2270">
        <v>0.17423828424936599</v>
      </c>
      <c r="S2270">
        <v>2025</v>
      </c>
      <c r="T2270" t="s">
        <v>1802</v>
      </c>
      <c r="U2270">
        <v>10</v>
      </c>
      <c r="V2270" t="s">
        <v>1803</v>
      </c>
    </row>
    <row r="2271" spans="1:22" x14ac:dyDescent="0.3">
      <c r="A2271" t="s">
        <v>3294</v>
      </c>
      <c r="B2271" s="1">
        <v>45957</v>
      </c>
      <c r="C2271" t="s">
        <v>1892</v>
      </c>
      <c r="D2271" t="s">
        <v>1033</v>
      </c>
      <c r="E2271" t="s">
        <v>41</v>
      </c>
      <c r="F2271" t="s">
        <v>42</v>
      </c>
      <c r="G2271" t="s">
        <v>50</v>
      </c>
      <c r="H2271" t="s">
        <v>64</v>
      </c>
      <c r="I2271" t="s">
        <v>108</v>
      </c>
      <c r="J2271" t="s">
        <v>109</v>
      </c>
      <c r="K2271">
        <v>1</v>
      </c>
      <c r="L2271">
        <v>6828.78</v>
      </c>
      <c r="M2271">
        <v>0.15</v>
      </c>
      <c r="N2271">
        <v>5804.46</v>
      </c>
      <c r="O2271">
        <v>4269.09</v>
      </c>
      <c r="P2271">
        <v>1535.37</v>
      </c>
      <c r="Q2271" t="s">
        <v>31</v>
      </c>
      <c r="R2271">
        <v>0.26451556217115801</v>
      </c>
      <c r="S2271">
        <v>2025</v>
      </c>
      <c r="T2271" t="s">
        <v>1802</v>
      </c>
      <c r="U2271">
        <v>10</v>
      </c>
      <c r="V2271" t="s">
        <v>1803</v>
      </c>
    </row>
    <row r="2272" spans="1:22" x14ac:dyDescent="0.3">
      <c r="A2272" t="s">
        <v>3295</v>
      </c>
      <c r="B2272" s="1">
        <v>45957</v>
      </c>
      <c r="C2272" t="s">
        <v>2348</v>
      </c>
      <c r="D2272" t="s">
        <v>494</v>
      </c>
      <c r="E2272" t="s">
        <v>61</v>
      </c>
      <c r="F2272" t="s">
        <v>78</v>
      </c>
      <c r="G2272" t="s">
        <v>104</v>
      </c>
      <c r="H2272" t="s">
        <v>43</v>
      </c>
      <c r="I2272" t="s">
        <v>51</v>
      </c>
      <c r="J2272" t="s">
        <v>52</v>
      </c>
      <c r="K2272">
        <v>2</v>
      </c>
      <c r="L2272">
        <v>682.77</v>
      </c>
      <c r="M2272">
        <v>0.1</v>
      </c>
      <c r="N2272">
        <v>1228.99</v>
      </c>
      <c r="O2272">
        <v>661.74</v>
      </c>
      <c r="P2272">
        <v>567.25</v>
      </c>
      <c r="Q2272" t="s">
        <v>67</v>
      </c>
      <c r="R2272">
        <v>0.46155786458799503</v>
      </c>
      <c r="S2272">
        <v>2025</v>
      </c>
      <c r="T2272" t="s">
        <v>1802</v>
      </c>
      <c r="U2272">
        <v>10</v>
      </c>
      <c r="V2272" t="s">
        <v>1803</v>
      </c>
    </row>
    <row r="2273" spans="1:22" x14ac:dyDescent="0.3">
      <c r="A2273" t="s">
        <v>3296</v>
      </c>
      <c r="B2273" s="1">
        <v>45957</v>
      </c>
      <c r="C2273" t="s">
        <v>1725</v>
      </c>
      <c r="D2273" t="s">
        <v>770</v>
      </c>
      <c r="E2273" t="s">
        <v>61</v>
      </c>
      <c r="F2273" t="s">
        <v>78</v>
      </c>
      <c r="G2273" t="s">
        <v>79</v>
      </c>
      <c r="H2273" t="s">
        <v>84</v>
      </c>
      <c r="I2273" t="s">
        <v>138</v>
      </c>
      <c r="J2273" t="s">
        <v>220</v>
      </c>
      <c r="K2273">
        <v>4</v>
      </c>
      <c r="L2273">
        <v>7284.06</v>
      </c>
      <c r="M2273">
        <v>0.15</v>
      </c>
      <c r="N2273">
        <v>24765.8</v>
      </c>
      <c r="O2273">
        <v>18728.98</v>
      </c>
      <c r="P2273">
        <v>6036.82</v>
      </c>
      <c r="Q2273" t="s">
        <v>46</v>
      </c>
      <c r="R2273">
        <v>0.24375630910368329</v>
      </c>
      <c r="S2273">
        <v>2025</v>
      </c>
      <c r="T2273" t="s">
        <v>1802</v>
      </c>
      <c r="U2273">
        <v>10</v>
      </c>
      <c r="V2273" t="s">
        <v>1803</v>
      </c>
    </row>
    <row r="2274" spans="1:22" x14ac:dyDescent="0.3">
      <c r="A2274" t="s">
        <v>3297</v>
      </c>
      <c r="B2274" s="1">
        <v>45958</v>
      </c>
      <c r="C2274" t="s">
        <v>1030</v>
      </c>
      <c r="D2274" t="s">
        <v>667</v>
      </c>
      <c r="E2274" t="s">
        <v>120</v>
      </c>
      <c r="F2274" t="s">
        <v>121</v>
      </c>
      <c r="G2274" t="s">
        <v>130</v>
      </c>
      <c r="H2274" t="s">
        <v>64</v>
      </c>
      <c r="I2274" t="s">
        <v>108</v>
      </c>
      <c r="J2274" t="s">
        <v>155</v>
      </c>
      <c r="K2274">
        <v>3</v>
      </c>
      <c r="L2274">
        <v>8560.41</v>
      </c>
      <c r="M2274">
        <v>0.05</v>
      </c>
      <c r="N2274">
        <v>24397.17</v>
      </c>
      <c r="O2274">
        <v>17119.599999999999</v>
      </c>
      <c r="P2274">
        <v>7277.57</v>
      </c>
      <c r="Q2274" t="s">
        <v>67</v>
      </c>
      <c r="R2274">
        <v>0.29829566298058341</v>
      </c>
      <c r="S2274">
        <v>2025</v>
      </c>
      <c r="T2274" t="s">
        <v>1802</v>
      </c>
      <c r="U2274">
        <v>10</v>
      </c>
      <c r="V2274" t="s">
        <v>1803</v>
      </c>
    </row>
    <row r="2275" spans="1:22" x14ac:dyDescent="0.3">
      <c r="A2275" t="s">
        <v>3298</v>
      </c>
      <c r="B2275" s="1">
        <v>45958</v>
      </c>
      <c r="C2275" t="s">
        <v>881</v>
      </c>
      <c r="D2275" t="s">
        <v>529</v>
      </c>
      <c r="E2275" t="s">
        <v>61</v>
      </c>
      <c r="F2275" t="s">
        <v>71</v>
      </c>
      <c r="G2275" t="s">
        <v>100</v>
      </c>
      <c r="H2275" t="s">
        <v>64</v>
      </c>
      <c r="I2275" t="s">
        <v>65</v>
      </c>
      <c r="J2275" t="s">
        <v>66</v>
      </c>
      <c r="K2275">
        <v>2</v>
      </c>
      <c r="L2275">
        <v>4954.53</v>
      </c>
      <c r="M2275">
        <v>0.05</v>
      </c>
      <c r="N2275">
        <v>9413.61</v>
      </c>
      <c r="O2275">
        <v>6021.95</v>
      </c>
      <c r="P2275">
        <v>3391.66</v>
      </c>
      <c r="Q2275" t="s">
        <v>67</v>
      </c>
      <c r="R2275">
        <v>0.36029323500761129</v>
      </c>
      <c r="S2275">
        <v>2025</v>
      </c>
      <c r="T2275" t="s">
        <v>1802</v>
      </c>
      <c r="U2275">
        <v>10</v>
      </c>
      <c r="V2275" t="s">
        <v>1803</v>
      </c>
    </row>
    <row r="2276" spans="1:22" x14ac:dyDescent="0.3">
      <c r="A2276" t="s">
        <v>3299</v>
      </c>
      <c r="B2276" s="1">
        <v>45958</v>
      </c>
      <c r="C2276" t="s">
        <v>739</v>
      </c>
      <c r="D2276" t="s">
        <v>374</v>
      </c>
      <c r="E2276" t="s">
        <v>41</v>
      </c>
      <c r="F2276" t="s">
        <v>42</v>
      </c>
      <c r="G2276" t="s">
        <v>42</v>
      </c>
      <c r="H2276" t="s">
        <v>28</v>
      </c>
      <c r="I2276" t="s">
        <v>73</v>
      </c>
      <c r="J2276" t="s">
        <v>80</v>
      </c>
      <c r="K2276">
        <v>1</v>
      </c>
      <c r="L2276">
        <v>822.85</v>
      </c>
      <c r="M2276">
        <v>0.1</v>
      </c>
      <c r="N2276">
        <v>740.57</v>
      </c>
      <c r="O2276">
        <v>498.61</v>
      </c>
      <c r="P2276">
        <v>241.96</v>
      </c>
      <c r="Q2276" t="s">
        <v>53</v>
      </c>
      <c r="R2276">
        <v>0.32672130926178478</v>
      </c>
      <c r="S2276">
        <v>2025</v>
      </c>
      <c r="T2276" t="s">
        <v>1802</v>
      </c>
      <c r="U2276">
        <v>10</v>
      </c>
      <c r="V2276" t="s">
        <v>1803</v>
      </c>
    </row>
    <row r="2277" spans="1:22" x14ac:dyDescent="0.3">
      <c r="A2277" t="s">
        <v>3300</v>
      </c>
      <c r="B2277" s="1">
        <v>45959</v>
      </c>
      <c r="C2277" t="s">
        <v>1711</v>
      </c>
      <c r="D2277" t="s">
        <v>1172</v>
      </c>
      <c r="E2277" t="s">
        <v>61</v>
      </c>
      <c r="F2277" t="s">
        <v>78</v>
      </c>
      <c r="G2277" t="s">
        <v>79</v>
      </c>
      <c r="H2277" t="s">
        <v>64</v>
      </c>
      <c r="I2277" t="s">
        <v>108</v>
      </c>
      <c r="J2277" t="s">
        <v>155</v>
      </c>
      <c r="K2277">
        <v>2</v>
      </c>
      <c r="L2277">
        <v>8194.94</v>
      </c>
      <c r="M2277">
        <v>0.1</v>
      </c>
      <c r="N2277">
        <v>14750.89</v>
      </c>
      <c r="O2277">
        <v>11413.12</v>
      </c>
      <c r="P2277">
        <v>3337.77</v>
      </c>
      <c r="Q2277" t="s">
        <v>67</v>
      </c>
      <c r="R2277">
        <v>0.22627583827145339</v>
      </c>
      <c r="S2277">
        <v>2025</v>
      </c>
      <c r="T2277" t="s">
        <v>1802</v>
      </c>
      <c r="U2277">
        <v>10</v>
      </c>
      <c r="V2277" t="s">
        <v>1803</v>
      </c>
    </row>
    <row r="2278" spans="1:22" x14ac:dyDescent="0.3">
      <c r="A2278" t="s">
        <v>3301</v>
      </c>
      <c r="B2278" s="1">
        <v>45959</v>
      </c>
      <c r="C2278" t="s">
        <v>3302</v>
      </c>
      <c r="D2278" t="s">
        <v>752</v>
      </c>
      <c r="E2278" t="s">
        <v>61</v>
      </c>
      <c r="F2278" t="s">
        <v>78</v>
      </c>
      <c r="G2278" t="s">
        <v>79</v>
      </c>
      <c r="H2278" t="s">
        <v>28</v>
      </c>
      <c r="I2278" t="s">
        <v>91</v>
      </c>
      <c r="J2278" t="s">
        <v>126</v>
      </c>
      <c r="K2278">
        <v>2</v>
      </c>
      <c r="L2278">
        <v>2085.81</v>
      </c>
      <c r="M2278">
        <v>0.1</v>
      </c>
      <c r="N2278">
        <v>3754.46</v>
      </c>
      <c r="O2278">
        <v>2410.35</v>
      </c>
      <c r="P2278">
        <v>1344.11</v>
      </c>
      <c r="Q2278" t="s">
        <v>53</v>
      </c>
      <c r="R2278">
        <v>0.35800354778050641</v>
      </c>
      <c r="S2278">
        <v>2025</v>
      </c>
      <c r="T2278" t="s">
        <v>1802</v>
      </c>
      <c r="U2278">
        <v>10</v>
      </c>
      <c r="V2278" t="s">
        <v>1803</v>
      </c>
    </row>
    <row r="2279" spans="1:22" x14ac:dyDescent="0.3">
      <c r="A2279" t="s">
        <v>3303</v>
      </c>
      <c r="B2279" s="1">
        <v>45959</v>
      </c>
      <c r="C2279" t="s">
        <v>1128</v>
      </c>
      <c r="D2279" t="s">
        <v>148</v>
      </c>
      <c r="E2279" t="s">
        <v>25</v>
      </c>
      <c r="F2279" t="s">
        <v>26</v>
      </c>
      <c r="G2279" t="s">
        <v>260</v>
      </c>
      <c r="H2279" t="s">
        <v>64</v>
      </c>
      <c r="I2279" t="s">
        <v>65</v>
      </c>
      <c r="J2279" t="s">
        <v>66</v>
      </c>
      <c r="K2279">
        <v>1</v>
      </c>
      <c r="L2279">
        <v>5201.93</v>
      </c>
      <c r="M2279">
        <v>0</v>
      </c>
      <c r="N2279">
        <v>5201.93</v>
      </c>
      <c r="O2279">
        <v>3253.09</v>
      </c>
      <c r="P2279">
        <v>1948.84</v>
      </c>
      <c r="Q2279" t="s">
        <v>46</v>
      </c>
      <c r="R2279">
        <v>0.3746378747887803</v>
      </c>
      <c r="S2279">
        <v>2025</v>
      </c>
      <c r="T2279" t="s">
        <v>1802</v>
      </c>
      <c r="U2279">
        <v>10</v>
      </c>
      <c r="V2279" t="s">
        <v>1803</v>
      </c>
    </row>
    <row r="2280" spans="1:22" x14ac:dyDescent="0.3">
      <c r="A2280" t="s">
        <v>3304</v>
      </c>
      <c r="B2280" s="1">
        <v>45960</v>
      </c>
      <c r="C2280" t="s">
        <v>1300</v>
      </c>
      <c r="D2280" t="s">
        <v>1367</v>
      </c>
      <c r="E2280" t="s">
        <v>61</v>
      </c>
      <c r="F2280" t="s">
        <v>71</v>
      </c>
      <c r="G2280" t="s">
        <v>72</v>
      </c>
      <c r="H2280" t="s">
        <v>43</v>
      </c>
      <c r="I2280" t="s">
        <v>44</v>
      </c>
      <c r="J2280" t="s">
        <v>248</v>
      </c>
      <c r="K2280">
        <v>2</v>
      </c>
      <c r="L2280">
        <v>294.92</v>
      </c>
      <c r="M2280">
        <v>0.05</v>
      </c>
      <c r="N2280">
        <v>560.35</v>
      </c>
      <c r="O2280">
        <v>244.6</v>
      </c>
      <c r="P2280">
        <v>315.75</v>
      </c>
      <c r="Q2280" t="s">
        <v>113</v>
      </c>
      <c r="R2280">
        <v>0.56348710627286513</v>
      </c>
      <c r="S2280">
        <v>2025</v>
      </c>
      <c r="T2280" t="s">
        <v>1802</v>
      </c>
      <c r="U2280">
        <v>10</v>
      </c>
      <c r="V2280" t="s">
        <v>1803</v>
      </c>
    </row>
    <row r="2281" spans="1:22" x14ac:dyDescent="0.3">
      <c r="A2281" t="s">
        <v>3305</v>
      </c>
      <c r="B2281" s="1">
        <v>45960</v>
      </c>
      <c r="C2281" t="s">
        <v>1420</v>
      </c>
      <c r="D2281" t="s">
        <v>1235</v>
      </c>
      <c r="E2281" t="s">
        <v>61</v>
      </c>
      <c r="F2281" t="s">
        <v>62</v>
      </c>
      <c r="G2281" t="s">
        <v>90</v>
      </c>
      <c r="H2281" t="s">
        <v>43</v>
      </c>
      <c r="I2281" t="s">
        <v>51</v>
      </c>
      <c r="J2281" t="s">
        <v>96</v>
      </c>
      <c r="K2281">
        <v>4</v>
      </c>
      <c r="L2281">
        <v>475.09</v>
      </c>
      <c r="M2281">
        <v>0.2</v>
      </c>
      <c r="N2281">
        <v>1520.29</v>
      </c>
      <c r="O2281">
        <v>861.47</v>
      </c>
      <c r="P2281">
        <v>658.82</v>
      </c>
      <c r="Q2281" t="s">
        <v>31</v>
      </c>
      <c r="R2281">
        <v>0.43335153161567858</v>
      </c>
      <c r="S2281">
        <v>2025</v>
      </c>
      <c r="T2281" t="s">
        <v>1802</v>
      </c>
      <c r="U2281">
        <v>10</v>
      </c>
      <c r="V2281" t="s">
        <v>1803</v>
      </c>
    </row>
    <row r="2282" spans="1:22" x14ac:dyDescent="0.3">
      <c r="A2282" t="s">
        <v>3306</v>
      </c>
      <c r="B2282" s="1">
        <v>45960</v>
      </c>
      <c r="C2282" t="s">
        <v>574</v>
      </c>
      <c r="D2282" t="s">
        <v>688</v>
      </c>
      <c r="E2282" t="s">
        <v>61</v>
      </c>
      <c r="F2282" t="s">
        <v>62</v>
      </c>
      <c r="G2282" t="s">
        <v>63</v>
      </c>
      <c r="H2282" t="s">
        <v>84</v>
      </c>
      <c r="I2282" t="s">
        <v>85</v>
      </c>
      <c r="J2282" t="s">
        <v>86</v>
      </c>
      <c r="K2282">
        <v>3</v>
      </c>
      <c r="L2282">
        <v>1760.48</v>
      </c>
      <c r="M2282">
        <v>0.1</v>
      </c>
      <c r="N2282">
        <v>4753.3</v>
      </c>
      <c r="O2282">
        <v>2757.49</v>
      </c>
      <c r="P2282">
        <v>1995.81</v>
      </c>
      <c r="Q2282" t="s">
        <v>67</v>
      </c>
      <c r="R2282">
        <v>0.41987882102960039</v>
      </c>
      <c r="S2282">
        <v>2025</v>
      </c>
      <c r="T2282" t="s">
        <v>1802</v>
      </c>
      <c r="U2282">
        <v>10</v>
      </c>
      <c r="V2282" t="s">
        <v>1803</v>
      </c>
    </row>
    <row r="2283" spans="1:22" x14ac:dyDescent="0.3">
      <c r="A2283" t="s">
        <v>3307</v>
      </c>
      <c r="B2283" s="1">
        <v>45960</v>
      </c>
      <c r="C2283" t="s">
        <v>240</v>
      </c>
      <c r="D2283" t="s">
        <v>688</v>
      </c>
      <c r="E2283" t="s">
        <v>41</v>
      </c>
      <c r="F2283" t="s">
        <v>42</v>
      </c>
      <c r="G2283" t="s">
        <v>50</v>
      </c>
      <c r="H2283" t="s">
        <v>28</v>
      </c>
      <c r="I2283" t="s">
        <v>29</v>
      </c>
      <c r="J2283" t="s">
        <v>30</v>
      </c>
      <c r="K2283">
        <v>2</v>
      </c>
      <c r="L2283">
        <v>61051.03</v>
      </c>
      <c r="M2283">
        <v>0</v>
      </c>
      <c r="N2283">
        <v>122102.06</v>
      </c>
      <c r="O2283">
        <v>110092.03</v>
      </c>
      <c r="P2283">
        <v>12010.03</v>
      </c>
      <c r="Q2283" t="s">
        <v>53</v>
      </c>
      <c r="R2283">
        <v>9.8360584579817903E-2</v>
      </c>
      <c r="S2283">
        <v>2025</v>
      </c>
      <c r="T2283" t="s">
        <v>1802</v>
      </c>
      <c r="U2283">
        <v>10</v>
      </c>
      <c r="V2283" t="s">
        <v>1803</v>
      </c>
    </row>
    <row r="2284" spans="1:22" x14ac:dyDescent="0.3">
      <c r="A2284" t="s">
        <v>3308</v>
      </c>
      <c r="B2284" s="1">
        <v>45961</v>
      </c>
      <c r="C2284" t="s">
        <v>711</v>
      </c>
      <c r="D2284" t="s">
        <v>380</v>
      </c>
      <c r="E2284" t="s">
        <v>25</v>
      </c>
      <c r="F2284" t="s">
        <v>26</v>
      </c>
      <c r="G2284" t="s">
        <v>171</v>
      </c>
      <c r="H2284" t="s">
        <v>43</v>
      </c>
      <c r="I2284" t="s">
        <v>44</v>
      </c>
      <c r="J2284" t="s">
        <v>45</v>
      </c>
      <c r="K2284">
        <v>1</v>
      </c>
      <c r="L2284">
        <v>263.39</v>
      </c>
      <c r="M2284">
        <v>0.1</v>
      </c>
      <c r="N2284">
        <v>237.05</v>
      </c>
      <c r="O2284">
        <v>103.54</v>
      </c>
      <c r="P2284">
        <v>133.51</v>
      </c>
      <c r="Q2284" t="s">
        <v>53</v>
      </c>
      <c r="R2284">
        <v>0.56321451170639103</v>
      </c>
      <c r="S2284">
        <v>2025</v>
      </c>
      <c r="T2284" t="s">
        <v>1802</v>
      </c>
      <c r="U2284">
        <v>10</v>
      </c>
      <c r="V2284" t="s">
        <v>1803</v>
      </c>
    </row>
    <row r="2285" spans="1:22" x14ac:dyDescent="0.3">
      <c r="A2285" t="s">
        <v>3309</v>
      </c>
      <c r="B2285" s="1">
        <v>45961</v>
      </c>
      <c r="C2285" t="s">
        <v>2672</v>
      </c>
      <c r="D2285" t="s">
        <v>129</v>
      </c>
      <c r="E2285" t="s">
        <v>25</v>
      </c>
      <c r="F2285" t="s">
        <v>26</v>
      </c>
      <c r="G2285" t="s">
        <v>260</v>
      </c>
      <c r="H2285" t="s">
        <v>28</v>
      </c>
      <c r="I2285" t="s">
        <v>29</v>
      </c>
      <c r="J2285" t="s">
        <v>30</v>
      </c>
      <c r="K2285">
        <v>2</v>
      </c>
      <c r="L2285">
        <v>57537.65</v>
      </c>
      <c r="M2285">
        <v>0.15</v>
      </c>
      <c r="N2285">
        <v>97814.01</v>
      </c>
      <c r="O2285">
        <v>103618.99</v>
      </c>
      <c r="P2285">
        <v>-5804.98</v>
      </c>
      <c r="Q2285" t="s">
        <v>31</v>
      </c>
      <c r="R2285">
        <v>-5.9347122155609403E-2</v>
      </c>
      <c r="S2285">
        <v>2025</v>
      </c>
      <c r="T2285" t="s">
        <v>1802</v>
      </c>
      <c r="U2285">
        <v>10</v>
      </c>
      <c r="V2285" t="s">
        <v>1803</v>
      </c>
    </row>
    <row r="2286" spans="1:22" x14ac:dyDescent="0.3">
      <c r="A2286" t="s">
        <v>3310</v>
      </c>
      <c r="B2286" s="1">
        <v>45961</v>
      </c>
      <c r="C2286" t="s">
        <v>1772</v>
      </c>
      <c r="D2286" t="s">
        <v>704</v>
      </c>
      <c r="E2286" t="s">
        <v>61</v>
      </c>
      <c r="F2286" t="s">
        <v>62</v>
      </c>
      <c r="G2286" t="s">
        <v>63</v>
      </c>
      <c r="H2286" t="s">
        <v>28</v>
      </c>
      <c r="I2286" t="s">
        <v>91</v>
      </c>
      <c r="J2286" t="s">
        <v>92</v>
      </c>
      <c r="K2286">
        <v>3</v>
      </c>
      <c r="L2286">
        <v>2925.1</v>
      </c>
      <c r="M2286">
        <v>0.15</v>
      </c>
      <c r="N2286">
        <v>7459</v>
      </c>
      <c r="O2286">
        <v>4564.95</v>
      </c>
      <c r="P2286">
        <v>2894.05</v>
      </c>
      <c r="Q2286" t="s">
        <v>67</v>
      </c>
      <c r="R2286">
        <v>0.38799436921839392</v>
      </c>
      <c r="S2286">
        <v>2025</v>
      </c>
      <c r="T2286" t="s">
        <v>1802</v>
      </c>
      <c r="U2286">
        <v>10</v>
      </c>
      <c r="V2286" t="s">
        <v>1803</v>
      </c>
    </row>
    <row r="2287" spans="1:22" x14ac:dyDescent="0.3">
      <c r="A2287" t="s">
        <v>3311</v>
      </c>
      <c r="B2287" s="1">
        <v>45961</v>
      </c>
      <c r="C2287" t="s">
        <v>1241</v>
      </c>
      <c r="D2287" t="s">
        <v>752</v>
      </c>
      <c r="E2287" t="s">
        <v>61</v>
      </c>
      <c r="F2287" t="s">
        <v>62</v>
      </c>
      <c r="G2287" t="s">
        <v>63</v>
      </c>
      <c r="H2287" t="s">
        <v>43</v>
      </c>
      <c r="I2287" t="s">
        <v>51</v>
      </c>
      <c r="J2287" t="s">
        <v>96</v>
      </c>
      <c r="K2287">
        <v>6</v>
      </c>
      <c r="L2287">
        <v>524.08000000000004</v>
      </c>
      <c r="M2287">
        <v>0.2</v>
      </c>
      <c r="N2287">
        <v>2515.58</v>
      </c>
      <c r="O2287">
        <v>1443.92</v>
      </c>
      <c r="P2287">
        <v>1071.6600000000001</v>
      </c>
      <c r="Q2287" t="s">
        <v>53</v>
      </c>
      <c r="R2287">
        <v>0.42600911121888402</v>
      </c>
      <c r="S2287">
        <v>2025</v>
      </c>
      <c r="T2287" t="s">
        <v>1802</v>
      </c>
      <c r="U2287">
        <v>10</v>
      </c>
      <c r="V2287" t="s">
        <v>1803</v>
      </c>
    </row>
    <row r="2288" spans="1:22" x14ac:dyDescent="0.3">
      <c r="A2288" t="s">
        <v>3312</v>
      </c>
      <c r="B2288" s="1">
        <v>45961</v>
      </c>
      <c r="C2288" t="s">
        <v>1420</v>
      </c>
      <c r="D2288" t="s">
        <v>932</v>
      </c>
      <c r="E2288" t="s">
        <v>25</v>
      </c>
      <c r="F2288" t="s">
        <v>26</v>
      </c>
      <c r="G2288" t="s">
        <v>37</v>
      </c>
      <c r="H2288" t="s">
        <v>84</v>
      </c>
      <c r="I2288" t="s">
        <v>85</v>
      </c>
      <c r="J2288" t="s">
        <v>86</v>
      </c>
      <c r="K2288">
        <v>4</v>
      </c>
      <c r="L2288">
        <v>1867.77</v>
      </c>
      <c r="M2288">
        <v>0.15</v>
      </c>
      <c r="N2288">
        <v>6350.42</v>
      </c>
      <c r="O2288">
        <v>4156.91</v>
      </c>
      <c r="P2288">
        <v>2193.5100000000002</v>
      </c>
      <c r="Q2288" t="s">
        <v>67</v>
      </c>
      <c r="R2288">
        <v>0.345411799534519</v>
      </c>
      <c r="S2288">
        <v>2025</v>
      </c>
      <c r="T2288" t="s">
        <v>1802</v>
      </c>
      <c r="U2288">
        <v>10</v>
      </c>
      <c r="V2288" t="s">
        <v>1803</v>
      </c>
    </row>
    <row r="2289" spans="1:22" x14ac:dyDescent="0.3">
      <c r="A2289" t="s">
        <v>3313</v>
      </c>
      <c r="B2289" s="1">
        <v>45962</v>
      </c>
      <c r="C2289" t="s">
        <v>1104</v>
      </c>
      <c r="D2289" t="s">
        <v>601</v>
      </c>
      <c r="E2289" t="s">
        <v>61</v>
      </c>
      <c r="F2289" t="s">
        <v>62</v>
      </c>
      <c r="G2289" t="s">
        <v>90</v>
      </c>
      <c r="H2289" t="s">
        <v>84</v>
      </c>
      <c r="I2289" t="s">
        <v>138</v>
      </c>
      <c r="J2289" t="s">
        <v>220</v>
      </c>
      <c r="K2289">
        <v>2</v>
      </c>
      <c r="L2289">
        <v>7939.25</v>
      </c>
      <c r="M2289">
        <v>0.1</v>
      </c>
      <c r="N2289">
        <v>14290.65</v>
      </c>
      <c r="O2289">
        <v>10460.94</v>
      </c>
      <c r="P2289">
        <v>3829.71</v>
      </c>
      <c r="Q2289" t="s">
        <v>31</v>
      </c>
      <c r="R2289">
        <v>0.2679871104533384</v>
      </c>
      <c r="S2289">
        <v>2025</v>
      </c>
      <c r="T2289" t="s">
        <v>1911</v>
      </c>
      <c r="U2289">
        <v>11</v>
      </c>
      <c r="V2289" t="s">
        <v>1803</v>
      </c>
    </row>
    <row r="2290" spans="1:22" x14ac:dyDescent="0.3">
      <c r="A2290" t="s">
        <v>3314</v>
      </c>
      <c r="B2290" s="1">
        <v>45963</v>
      </c>
      <c r="C2290" t="s">
        <v>1655</v>
      </c>
      <c r="D2290" t="s">
        <v>987</v>
      </c>
      <c r="E2290" t="s">
        <v>61</v>
      </c>
      <c r="F2290" t="s">
        <v>78</v>
      </c>
      <c r="G2290" t="s">
        <v>104</v>
      </c>
      <c r="H2290" t="s">
        <v>84</v>
      </c>
      <c r="I2290" t="s">
        <v>138</v>
      </c>
      <c r="J2290" t="s">
        <v>139</v>
      </c>
      <c r="K2290">
        <v>2</v>
      </c>
      <c r="L2290">
        <v>13382.63</v>
      </c>
      <c r="M2290">
        <v>0.1</v>
      </c>
      <c r="N2290">
        <v>24088.73</v>
      </c>
      <c r="O2290">
        <v>19349.740000000002</v>
      </c>
      <c r="P2290">
        <v>4738.99</v>
      </c>
      <c r="Q2290" t="s">
        <v>53</v>
      </c>
      <c r="R2290">
        <v>0.19673058729123541</v>
      </c>
      <c r="S2290">
        <v>2025</v>
      </c>
      <c r="T2290" t="s">
        <v>1911</v>
      </c>
      <c r="U2290">
        <v>11</v>
      </c>
      <c r="V2290" t="s">
        <v>1803</v>
      </c>
    </row>
    <row r="2291" spans="1:22" x14ac:dyDescent="0.3">
      <c r="A2291" t="s">
        <v>3315</v>
      </c>
      <c r="B2291" s="1">
        <v>45963</v>
      </c>
      <c r="C2291" t="s">
        <v>2439</v>
      </c>
      <c r="D2291" t="s">
        <v>2509</v>
      </c>
      <c r="E2291" t="s">
        <v>120</v>
      </c>
      <c r="F2291" t="s">
        <v>121</v>
      </c>
      <c r="G2291" t="s">
        <v>122</v>
      </c>
      <c r="H2291" t="s">
        <v>43</v>
      </c>
      <c r="I2291" t="s">
        <v>44</v>
      </c>
      <c r="J2291" t="s">
        <v>248</v>
      </c>
      <c r="K2291">
        <v>5</v>
      </c>
      <c r="L2291">
        <v>298.25</v>
      </c>
      <c r="M2291">
        <v>0.15</v>
      </c>
      <c r="N2291">
        <v>1267.56</v>
      </c>
      <c r="O2291">
        <v>609.83000000000004</v>
      </c>
      <c r="P2291">
        <v>657.73</v>
      </c>
      <c r="Q2291" t="s">
        <v>31</v>
      </c>
      <c r="R2291">
        <v>0.51889456909337628</v>
      </c>
      <c r="S2291">
        <v>2025</v>
      </c>
      <c r="T2291" t="s">
        <v>1911</v>
      </c>
      <c r="U2291">
        <v>11</v>
      </c>
      <c r="V2291" t="s">
        <v>1803</v>
      </c>
    </row>
    <row r="2292" spans="1:22" x14ac:dyDescent="0.3">
      <c r="A2292" t="s">
        <v>3316</v>
      </c>
      <c r="B2292" s="1">
        <v>45963</v>
      </c>
      <c r="C2292" t="s">
        <v>3317</v>
      </c>
      <c r="D2292" t="s">
        <v>1795</v>
      </c>
      <c r="E2292" t="s">
        <v>61</v>
      </c>
      <c r="F2292" t="s">
        <v>62</v>
      </c>
      <c r="G2292" t="s">
        <v>228</v>
      </c>
      <c r="H2292" t="s">
        <v>43</v>
      </c>
      <c r="I2292" t="s">
        <v>44</v>
      </c>
      <c r="J2292" t="s">
        <v>248</v>
      </c>
      <c r="K2292">
        <v>2</v>
      </c>
      <c r="L2292">
        <v>313.22000000000003</v>
      </c>
      <c r="M2292">
        <v>0.1</v>
      </c>
      <c r="N2292">
        <v>563.79999999999995</v>
      </c>
      <c r="O2292">
        <v>258.42</v>
      </c>
      <c r="P2292">
        <v>305.38</v>
      </c>
      <c r="Q2292" t="s">
        <v>53</v>
      </c>
      <c r="R2292">
        <v>0.54164597374955659</v>
      </c>
      <c r="S2292">
        <v>2025</v>
      </c>
      <c r="T2292" t="s">
        <v>1911</v>
      </c>
      <c r="U2292">
        <v>11</v>
      </c>
      <c r="V2292" t="s">
        <v>1803</v>
      </c>
    </row>
    <row r="2293" spans="1:22" x14ac:dyDescent="0.3">
      <c r="A2293" t="s">
        <v>3318</v>
      </c>
      <c r="B2293" s="1">
        <v>45963</v>
      </c>
      <c r="C2293" t="s">
        <v>1563</v>
      </c>
      <c r="D2293" t="s">
        <v>119</v>
      </c>
      <c r="E2293" t="s">
        <v>25</v>
      </c>
      <c r="F2293" t="s">
        <v>26</v>
      </c>
      <c r="G2293" t="s">
        <v>37</v>
      </c>
      <c r="H2293" t="s">
        <v>64</v>
      </c>
      <c r="I2293" t="s">
        <v>108</v>
      </c>
      <c r="J2293" t="s">
        <v>155</v>
      </c>
      <c r="K2293">
        <v>1</v>
      </c>
      <c r="L2293">
        <v>8175.69</v>
      </c>
      <c r="M2293">
        <v>0</v>
      </c>
      <c r="N2293">
        <v>8175.69</v>
      </c>
      <c r="O2293">
        <v>5697.73</v>
      </c>
      <c r="P2293">
        <v>2477.96</v>
      </c>
      <c r="Q2293" t="s">
        <v>31</v>
      </c>
      <c r="R2293">
        <v>0.30308879128244842</v>
      </c>
      <c r="S2293">
        <v>2025</v>
      </c>
      <c r="T2293" t="s">
        <v>1911</v>
      </c>
      <c r="U2293">
        <v>11</v>
      </c>
      <c r="V2293" t="s">
        <v>1803</v>
      </c>
    </row>
    <row r="2294" spans="1:22" x14ac:dyDescent="0.3">
      <c r="A2294" t="s">
        <v>3319</v>
      </c>
      <c r="B2294" s="1">
        <v>45963</v>
      </c>
      <c r="C2294" t="s">
        <v>965</v>
      </c>
      <c r="D2294" t="s">
        <v>1530</v>
      </c>
      <c r="E2294" t="s">
        <v>61</v>
      </c>
      <c r="F2294" t="s">
        <v>78</v>
      </c>
      <c r="G2294" t="s">
        <v>216</v>
      </c>
      <c r="H2294" t="s">
        <v>28</v>
      </c>
      <c r="I2294" t="s">
        <v>91</v>
      </c>
      <c r="J2294" t="s">
        <v>92</v>
      </c>
      <c r="K2294">
        <v>3</v>
      </c>
      <c r="L2294">
        <v>3010.69</v>
      </c>
      <c r="M2294">
        <v>0.1</v>
      </c>
      <c r="N2294">
        <v>8128.86</v>
      </c>
      <c r="O2294">
        <v>4722.8100000000004</v>
      </c>
      <c r="P2294">
        <v>3406.05</v>
      </c>
      <c r="Q2294" t="s">
        <v>53</v>
      </c>
      <c r="R2294">
        <v>0.41900709324554741</v>
      </c>
      <c r="S2294">
        <v>2025</v>
      </c>
      <c r="T2294" t="s">
        <v>1911</v>
      </c>
      <c r="U2294">
        <v>11</v>
      </c>
      <c r="V2294" t="s">
        <v>1803</v>
      </c>
    </row>
    <row r="2295" spans="1:22" x14ac:dyDescent="0.3">
      <c r="A2295" t="s">
        <v>3320</v>
      </c>
      <c r="B2295" s="1">
        <v>45963</v>
      </c>
      <c r="C2295" t="s">
        <v>392</v>
      </c>
      <c r="D2295" t="s">
        <v>565</v>
      </c>
      <c r="E2295" t="s">
        <v>61</v>
      </c>
      <c r="F2295" t="s">
        <v>78</v>
      </c>
      <c r="G2295" t="s">
        <v>79</v>
      </c>
      <c r="H2295" t="s">
        <v>64</v>
      </c>
      <c r="I2295" t="s">
        <v>108</v>
      </c>
      <c r="J2295" t="s">
        <v>155</v>
      </c>
      <c r="K2295">
        <v>3</v>
      </c>
      <c r="L2295">
        <v>8152.3</v>
      </c>
      <c r="M2295">
        <v>0.15</v>
      </c>
      <c r="N2295">
        <v>20788.37</v>
      </c>
      <c r="O2295">
        <v>17168.439999999999</v>
      </c>
      <c r="P2295">
        <v>3619.93</v>
      </c>
      <c r="Q2295" t="s">
        <v>67</v>
      </c>
      <c r="R2295">
        <v>0.17413245963969279</v>
      </c>
      <c r="S2295">
        <v>2025</v>
      </c>
      <c r="T2295" t="s">
        <v>1911</v>
      </c>
      <c r="U2295">
        <v>11</v>
      </c>
      <c r="V2295" t="s">
        <v>1803</v>
      </c>
    </row>
    <row r="2296" spans="1:22" x14ac:dyDescent="0.3">
      <c r="A2296" t="s">
        <v>3321</v>
      </c>
      <c r="B2296" s="1">
        <v>45963</v>
      </c>
      <c r="C2296" t="s">
        <v>2386</v>
      </c>
      <c r="D2296" t="s">
        <v>582</v>
      </c>
      <c r="E2296" t="s">
        <v>61</v>
      </c>
      <c r="F2296" t="s">
        <v>71</v>
      </c>
      <c r="G2296" t="s">
        <v>72</v>
      </c>
      <c r="H2296" t="s">
        <v>64</v>
      </c>
      <c r="I2296" t="s">
        <v>108</v>
      </c>
      <c r="J2296" t="s">
        <v>155</v>
      </c>
      <c r="K2296">
        <v>4</v>
      </c>
      <c r="L2296">
        <v>8382.35</v>
      </c>
      <c r="M2296">
        <v>0.1</v>
      </c>
      <c r="N2296">
        <v>30176.46</v>
      </c>
      <c r="O2296">
        <v>23172.15</v>
      </c>
      <c r="P2296">
        <v>7004.31</v>
      </c>
      <c r="Q2296" t="s">
        <v>53</v>
      </c>
      <c r="R2296">
        <v>0.23211171886960899</v>
      </c>
      <c r="S2296">
        <v>2025</v>
      </c>
      <c r="T2296" t="s">
        <v>1911</v>
      </c>
      <c r="U2296">
        <v>11</v>
      </c>
      <c r="V2296" t="s">
        <v>1803</v>
      </c>
    </row>
    <row r="2297" spans="1:22" x14ac:dyDescent="0.3">
      <c r="A2297" t="s">
        <v>3322</v>
      </c>
      <c r="B2297" s="1">
        <v>45963</v>
      </c>
      <c r="C2297" t="s">
        <v>423</v>
      </c>
      <c r="D2297" t="s">
        <v>1455</v>
      </c>
      <c r="E2297" t="s">
        <v>41</v>
      </c>
      <c r="F2297" t="s">
        <v>42</v>
      </c>
      <c r="G2297" t="s">
        <v>50</v>
      </c>
      <c r="H2297" t="s">
        <v>64</v>
      </c>
      <c r="I2297" t="s">
        <v>108</v>
      </c>
      <c r="J2297" t="s">
        <v>155</v>
      </c>
      <c r="K2297">
        <v>1</v>
      </c>
      <c r="L2297">
        <v>8185.92</v>
      </c>
      <c r="M2297">
        <v>0</v>
      </c>
      <c r="N2297">
        <v>8185.92</v>
      </c>
      <c r="O2297">
        <v>5510.04</v>
      </c>
      <c r="P2297">
        <v>2675.88</v>
      </c>
      <c r="Q2297" t="s">
        <v>31</v>
      </c>
      <c r="R2297">
        <v>0.32688812008912871</v>
      </c>
      <c r="S2297">
        <v>2025</v>
      </c>
      <c r="T2297" t="s">
        <v>1911</v>
      </c>
      <c r="U2297">
        <v>11</v>
      </c>
      <c r="V2297" t="s">
        <v>1803</v>
      </c>
    </row>
    <row r="2298" spans="1:22" x14ac:dyDescent="0.3">
      <c r="A2298" t="s">
        <v>3323</v>
      </c>
      <c r="B2298" s="1">
        <v>45964</v>
      </c>
      <c r="C2298" t="s">
        <v>1619</v>
      </c>
      <c r="D2298" t="s">
        <v>794</v>
      </c>
      <c r="E2298" t="s">
        <v>61</v>
      </c>
      <c r="F2298" t="s">
        <v>78</v>
      </c>
      <c r="G2298" t="s">
        <v>104</v>
      </c>
      <c r="H2298" t="s">
        <v>64</v>
      </c>
      <c r="I2298" t="s">
        <v>108</v>
      </c>
      <c r="J2298" t="s">
        <v>155</v>
      </c>
      <c r="K2298">
        <v>1</v>
      </c>
      <c r="L2298">
        <v>8645.08</v>
      </c>
      <c r="M2298">
        <v>0</v>
      </c>
      <c r="N2298">
        <v>8645.08</v>
      </c>
      <c r="O2298">
        <v>5871.48</v>
      </c>
      <c r="P2298">
        <v>2773.6</v>
      </c>
      <c r="Q2298" t="s">
        <v>31</v>
      </c>
      <c r="R2298">
        <v>0.32082988243023769</v>
      </c>
      <c r="S2298">
        <v>2025</v>
      </c>
      <c r="T2298" t="s">
        <v>1911</v>
      </c>
      <c r="U2298">
        <v>11</v>
      </c>
      <c r="V2298" t="s">
        <v>1803</v>
      </c>
    </row>
    <row r="2299" spans="1:22" x14ac:dyDescent="0.3">
      <c r="A2299" t="s">
        <v>3324</v>
      </c>
      <c r="B2299" s="1">
        <v>45964</v>
      </c>
      <c r="C2299" t="s">
        <v>1169</v>
      </c>
      <c r="D2299" t="s">
        <v>966</v>
      </c>
      <c r="E2299" t="s">
        <v>61</v>
      </c>
      <c r="F2299" t="s">
        <v>62</v>
      </c>
      <c r="G2299" t="s">
        <v>63</v>
      </c>
      <c r="H2299" t="s">
        <v>43</v>
      </c>
      <c r="I2299" t="s">
        <v>44</v>
      </c>
      <c r="J2299" t="s">
        <v>45</v>
      </c>
      <c r="K2299">
        <v>5</v>
      </c>
      <c r="L2299">
        <v>259.39999999999998</v>
      </c>
      <c r="M2299">
        <v>0.05</v>
      </c>
      <c r="N2299">
        <v>1232.1500000000001</v>
      </c>
      <c r="O2299">
        <v>500.11</v>
      </c>
      <c r="P2299">
        <v>732.04</v>
      </c>
      <c r="Q2299" t="s">
        <v>46</v>
      </c>
      <c r="R2299">
        <v>0.5941159761392687</v>
      </c>
      <c r="S2299">
        <v>2025</v>
      </c>
      <c r="T2299" t="s">
        <v>1911</v>
      </c>
      <c r="U2299">
        <v>11</v>
      </c>
      <c r="V2299" t="s">
        <v>1803</v>
      </c>
    </row>
    <row r="2300" spans="1:22" x14ac:dyDescent="0.3">
      <c r="A2300" t="s">
        <v>3325</v>
      </c>
      <c r="B2300" s="1">
        <v>45965</v>
      </c>
      <c r="C2300" t="s">
        <v>379</v>
      </c>
      <c r="D2300" t="s">
        <v>1413</v>
      </c>
      <c r="E2300" t="s">
        <v>25</v>
      </c>
      <c r="F2300" t="s">
        <v>26</v>
      </c>
      <c r="G2300" t="s">
        <v>27</v>
      </c>
      <c r="H2300" t="s">
        <v>28</v>
      </c>
      <c r="I2300" t="s">
        <v>73</v>
      </c>
      <c r="J2300" t="s">
        <v>80</v>
      </c>
      <c r="K2300">
        <v>2</v>
      </c>
      <c r="L2300">
        <v>757.87</v>
      </c>
      <c r="M2300">
        <v>0</v>
      </c>
      <c r="N2300">
        <v>1515.74</v>
      </c>
      <c r="O2300">
        <v>946.93</v>
      </c>
      <c r="P2300">
        <v>568.80999999999995</v>
      </c>
      <c r="Q2300" t="s">
        <v>46</v>
      </c>
      <c r="R2300">
        <v>0.37526884558037649</v>
      </c>
      <c r="S2300">
        <v>2025</v>
      </c>
      <c r="T2300" t="s">
        <v>1911</v>
      </c>
      <c r="U2300">
        <v>11</v>
      </c>
      <c r="V2300" t="s">
        <v>1803</v>
      </c>
    </row>
    <row r="2301" spans="1:22" x14ac:dyDescent="0.3">
      <c r="A2301" t="s">
        <v>3326</v>
      </c>
      <c r="B2301" s="1">
        <v>45965</v>
      </c>
      <c r="C2301" t="s">
        <v>872</v>
      </c>
      <c r="D2301" t="s">
        <v>398</v>
      </c>
      <c r="E2301" t="s">
        <v>61</v>
      </c>
      <c r="F2301" t="s">
        <v>62</v>
      </c>
      <c r="G2301" t="s">
        <v>228</v>
      </c>
      <c r="H2301" t="s">
        <v>84</v>
      </c>
      <c r="I2301" t="s">
        <v>85</v>
      </c>
      <c r="J2301" t="s">
        <v>145</v>
      </c>
      <c r="K2301">
        <v>1</v>
      </c>
      <c r="L2301">
        <v>3180.91</v>
      </c>
      <c r="M2301">
        <v>0.15</v>
      </c>
      <c r="N2301">
        <v>2703.77</v>
      </c>
      <c r="O2301">
        <v>1769.18</v>
      </c>
      <c r="P2301">
        <v>934.59</v>
      </c>
      <c r="Q2301" t="s">
        <v>53</v>
      </c>
      <c r="R2301">
        <v>0.34566179815590831</v>
      </c>
      <c r="S2301">
        <v>2025</v>
      </c>
      <c r="T2301" t="s">
        <v>1911</v>
      </c>
      <c r="U2301">
        <v>11</v>
      </c>
      <c r="V2301" t="s">
        <v>1803</v>
      </c>
    </row>
    <row r="2302" spans="1:22" x14ac:dyDescent="0.3">
      <c r="A2302" t="s">
        <v>3327</v>
      </c>
      <c r="B2302" s="1">
        <v>45966</v>
      </c>
      <c r="C2302" t="s">
        <v>2043</v>
      </c>
      <c r="D2302" t="s">
        <v>116</v>
      </c>
      <c r="E2302" t="s">
        <v>61</v>
      </c>
      <c r="F2302" t="s">
        <v>78</v>
      </c>
      <c r="G2302" t="s">
        <v>79</v>
      </c>
      <c r="H2302" t="s">
        <v>28</v>
      </c>
      <c r="I2302" t="s">
        <v>29</v>
      </c>
      <c r="J2302" t="s">
        <v>30</v>
      </c>
      <c r="K2302">
        <v>2</v>
      </c>
      <c r="L2302">
        <v>60882.87</v>
      </c>
      <c r="M2302">
        <v>0</v>
      </c>
      <c r="N2302">
        <v>121765.74</v>
      </c>
      <c r="O2302">
        <v>102957.53</v>
      </c>
      <c r="P2302">
        <v>18808.21</v>
      </c>
      <c r="Q2302" t="s">
        <v>31</v>
      </c>
      <c r="R2302">
        <v>0.15446224857665219</v>
      </c>
      <c r="S2302">
        <v>2025</v>
      </c>
      <c r="T2302" t="s">
        <v>1911</v>
      </c>
      <c r="U2302">
        <v>11</v>
      </c>
      <c r="V2302" t="s">
        <v>1803</v>
      </c>
    </row>
    <row r="2303" spans="1:22" x14ac:dyDescent="0.3">
      <c r="A2303" t="s">
        <v>3328</v>
      </c>
      <c r="B2303" s="1">
        <v>45966</v>
      </c>
      <c r="C2303" t="s">
        <v>2260</v>
      </c>
      <c r="D2303" t="s">
        <v>524</v>
      </c>
      <c r="E2303" t="s">
        <v>61</v>
      </c>
      <c r="F2303" t="s">
        <v>71</v>
      </c>
      <c r="G2303" t="s">
        <v>72</v>
      </c>
      <c r="H2303" t="s">
        <v>43</v>
      </c>
      <c r="I2303" t="s">
        <v>44</v>
      </c>
      <c r="J2303" t="s">
        <v>248</v>
      </c>
      <c r="K2303">
        <v>3</v>
      </c>
      <c r="L2303">
        <v>307.95999999999998</v>
      </c>
      <c r="M2303">
        <v>0.1</v>
      </c>
      <c r="N2303">
        <v>831.49</v>
      </c>
      <c r="O2303">
        <v>400</v>
      </c>
      <c r="P2303">
        <v>431.49</v>
      </c>
      <c r="Q2303" t="s">
        <v>31</v>
      </c>
      <c r="R2303">
        <v>0.51893588618023068</v>
      </c>
      <c r="S2303">
        <v>2025</v>
      </c>
      <c r="T2303" t="s">
        <v>1911</v>
      </c>
      <c r="U2303">
        <v>11</v>
      </c>
      <c r="V2303" t="s">
        <v>1803</v>
      </c>
    </row>
    <row r="2304" spans="1:22" x14ac:dyDescent="0.3">
      <c r="A2304" t="s">
        <v>3329</v>
      </c>
      <c r="B2304" s="1">
        <v>45966</v>
      </c>
      <c r="C2304" t="s">
        <v>714</v>
      </c>
      <c r="D2304" t="s">
        <v>698</v>
      </c>
      <c r="E2304" t="s">
        <v>25</v>
      </c>
      <c r="F2304" t="s">
        <v>26</v>
      </c>
      <c r="G2304" t="s">
        <v>37</v>
      </c>
      <c r="H2304" t="s">
        <v>64</v>
      </c>
      <c r="I2304" t="s">
        <v>108</v>
      </c>
      <c r="J2304" t="s">
        <v>109</v>
      </c>
      <c r="K2304">
        <v>3</v>
      </c>
      <c r="L2304">
        <v>6704.36</v>
      </c>
      <c r="M2304">
        <v>0.1</v>
      </c>
      <c r="N2304">
        <v>18101.77</v>
      </c>
      <c r="O2304">
        <v>12906.75</v>
      </c>
      <c r="P2304">
        <v>5195.0200000000004</v>
      </c>
      <c r="Q2304" t="s">
        <v>31</v>
      </c>
      <c r="R2304">
        <v>0.28698961482772128</v>
      </c>
      <c r="S2304">
        <v>2025</v>
      </c>
      <c r="T2304" t="s">
        <v>1911</v>
      </c>
      <c r="U2304">
        <v>11</v>
      </c>
      <c r="V2304" t="s">
        <v>1803</v>
      </c>
    </row>
    <row r="2305" spans="1:22" x14ac:dyDescent="0.3">
      <c r="A2305" t="s">
        <v>3330</v>
      </c>
      <c r="B2305" s="1">
        <v>45966</v>
      </c>
      <c r="C2305" t="s">
        <v>840</v>
      </c>
      <c r="D2305" t="s">
        <v>497</v>
      </c>
      <c r="E2305" t="s">
        <v>61</v>
      </c>
      <c r="F2305" t="s">
        <v>62</v>
      </c>
      <c r="G2305" t="s">
        <v>228</v>
      </c>
      <c r="H2305" t="s">
        <v>84</v>
      </c>
      <c r="I2305" t="s">
        <v>138</v>
      </c>
      <c r="J2305" t="s">
        <v>220</v>
      </c>
      <c r="K2305">
        <v>2</v>
      </c>
      <c r="L2305">
        <v>7866.79</v>
      </c>
      <c r="M2305">
        <v>0.05</v>
      </c>
      <c r="N2305">
        <v>14946.9</v>
      </c>
      <c r="O2305">
        <v>10135.709999999999</v>
      </c>
      <c r="P2305">
        <v>4811.1899999999996</v>
      </c>
      <c r="Q2305" t="s">
        <v>46</v>
      </c>
      <c r="R2305">
        <v>0.32188547458001321</v>
      </c>
      <c r="S2305">
        <v>2025</v>
      </c>
      <c r="T2305" t="s">
        <v>1911</v>
      </c>
      <c r="U2305">
        <v>11</v>
      </c>
      <c r="V2305" t="s">
        <v>1803</v>
      </c>
    </row>
    <row r="2306" spans="1:22" x14ac:dyDescent="0.3">
      <c r="A2306" t="s">
        <v>3331</v>
      </c>
      <c r="B2306" s="1">
        <v>45966</v>
      </c>
      <c r="C2306" t="s">
        <v>1499</v>
      </c>
      <c r="D2306" t="s">
        <v>194</v>
      </c>
      <c r="E2306" t="s">
        <v>120</v>
      </c>
      <c r="F2306" t="s">
        <v>121</v>
      </c>
      <c r="G2306" t="s">
        <v>130</v>
      </c>
      <c r="H2306" t="s">
        <v>64</v>
      </c>
      <c r="I2306" t="s">
        <v>65</v>
      </c>
      <c r="J2306" t="s">
        <v>66</v>
      </c>
      <c r="K2306">
        <v>1</v>
      </c>
      <c r="L2306">
        <v>5194.13</v>
      </c>
      <c r="M2306">
        <v>0</v>
      </c>
      <c r="N2306">
        <v>5194.13</v>
      </c>
      <c r="O2306">
        <v>3158.35</v>
      </c>
      <c r="P2306">
        <v>2035.78</v>
      </c>
      <c r="Q2306" t="s">
        <v>46</v>
      </c>
      <c r="R2306">
        <v>0.39193859221852362</v>
      </c>
      <c r="S2306">
        <v>2025</v>
      </c>
      <c r="T2306" t="s">
        <v>1911</v>
      </c>
      <c r="U2306">
        <v>11</v>
      </c>
      <c r="V2306" t="s">
        <v>1803</v>
      </c>
    </row>
    <row r="2307" spans="1:22" x14ac:dyDescent="0.3">
      <c r="A2307" t="s">
        <v>3332</v>
      </c>
      <c r="B2307" s="1">
        <v>45966</v>
      </c>
      <c r="C2307" t="s">
        <v>552</v>
      </c>
      <c r="D2307" t="s">
        <v>2294</v>
      </c>
      <c r="E2307" t="s">
        <v>41</v>
      </c>
      <c r="F2307" t="s">
        <v>42</v>
      </c>
      <c r="G2307" t="s">
        <v>50</v>
      </c>
      <c r="H2307" t="s">
        <v>84</v>
      </c>
      <c r="I2307" t="s">
        <v>138</v>
      </c>
      <c r="J2307" t="s">
        <v>139</v>
      </c>
      <c r="K2307">
        <v>2</v>
      </c>
      <c r="L2307">
        <v>13125.7</v>
      </c>
      <c r="M2307">
        <v>0.05</v>
      </c>
      <c r="N2307">
        <v>24938.83</v>
      </c>
      <c r="O2307">
        <v>18794.28</v>
      </c>
      <c r="P2307">
        <v>6144.55</v>
      </c>
      <c r="Q2307" t="s">
        <v>31</v>
      </c>
      <c r="R2307">
        <v>0.2463848544618974</v>
      </c>
      <c r="S2307">
        <v>2025</v>
      </c>
      <c r="T2307" t="s">
        <v>1911</v>
      </c>
      <c r="U2307">
        <v>11</v>
      </c>
      <c r="V2307" t="s">
        <v>1803</v>
      </c>
    </row>
    <row r="2308" spans="1:22" x14ac:dyDescent="0.3">
      <c r="A2308" t="s">
        <v>3333</v>
      </c>
      <c r="B2308" s="1">
        <v>45967</v>
      </c>
      <c r="C2308" t="s">
        <v>1176</v>
      </c>
      <c r="D2308" t="s">
        <v>535</v>
      </c>
      <c r="E2308" t="s">
        <v>25</v>
      </c>
      <c r="F2308" t="s">
        <v>26</v>
      </c>
      <c r="G2308" t="s">
        <v>171</v>
      </c>
      <c r="H2308" t="s">
        <v>28</v>
      </c>
      <c r="I2308" t="s">
        <v>29</v>
      </c>
      <c r="J2308" t="s">
        <v>30</v>
      </c>
      <c r="K2308">
        <v>4</v>
      </c>
      <c r="L2308">
        <v>58097.75</v>
      </c>
      <c r="M2308">
        <v>0</v>
      </c>
      <c r="N2308">
        <v>232391</v>
      </c>
      <c r="O2308">
        <v>197120.64000000001</v>
      </c>
      <c r="P2308">
        <v>35270.36</v>
      </c>
      <c r="Q2308" t="s">
        <v>46</v>
      </c>
      <c r="R2308">
        <v>0.15177162626779869</v>
      </c>
      <c r="S2308">
        <v>2025</v>
      </c>
      <c r="T2308" t="s">
        <v>1911</v>
      </c>
      <c r="U2308">
        <v>11</v>
      </c>
      <c r="V2308" t="s">
        <v>1803</v>
      </c>
    </row>
    <row r="2309" spans="1:22" x14ac:dyDescent="0.3">
      <c r="A2309" t="s">
        <v>3334</v>
      </c>
      <c r="B2309" s="1">
        <v>45967</v>
      </c>
      <c r="C2309" t="s">
        <v>1871</v>
      </c>
      <c r="D2309" t="s">
        <v>430</v>
      </c>
      <c r="E2309" t="s">
        <v>25</v>
      </c>
      <c r="F2309" t="s">
        <v>26</v>
      </c>
      <c r="G2309" t="s">
        <v>37</v>
      </c>
      <c r="H2309" t="s">
        <v>64</v>
      </c>
      <c r="I2309" t="s">
        <v>108</v>
      </c>
      <c r="J2309" t="s">
        <v>109</v>
      </c>
      <c r="K2309">
        <v>4</v>
      </c>
      <c r="L2309">
        <v>6890.07</v>
      </c>
      <c r="M2309">
        <v>0.2</v>
      </c>
      <c r="N2309">
        <v>22048.22</v>
      </c>
      <c r="O2309">
        <v>16961.439999999999</v>
      </c>
      <c r="P2309">
        <v>5086.78</v>
      </c>
      <c r="Q2309" t="s">
        <v>113</v>
      </c>
      <c r="R2309">
        <v>0.23071159485890469</v>
      </c>
      <c r="S2309">
        <v>2025</v>
      </c>
      <c r="T2309" t="s">
        <v>1911</v>
      </c>
      <c r="U2309">
        <v>11</v>
      </c>
      <c r="V2309" t="s">
        <v>1803</v>
      </c>
    </row>
    <row r="2310" spans="1:22" x14ac:dyDescent="0.3">
      <c r="A2310" t="s">
        <v>3335</v>
      </c>
      <c r="B2310" s="1">
        <v>45967</v>
      </c>
      <c r="C2310" t="s">
        <v>2059</v>
      </c>
      <c r="D2310" t="s">
        <v>675</v>
      </c>
      <c r="E2310" t="s">
        <v>61</v>
      </c>
      <c r="F2310" t="s">
        <v>62</v>
      </c>
      <c r="G2310" t="s">
        <v>63</v>
      </c>
      <c r="H2310" t="s">
        <v>43</v>
      </c>
      <c r="I2310" t="s">
        <v>44</v>
      </c>
      <c r="J2310" t="s">
        <v>45</v>
      </c>
      <c r="K2310">
        <v>2</v>
      </c>
      <c r="L2310">
        <v>240.65</v>
      </c>
      <c r="M2310">
        <v>0.2</v>
      </c>
      <c r="N2310">
        <v>385.04</v>
      </c>
      <c r="O2310">
        <v>177.12</v>
      </c>
      <c r="P2310">
        <v>207.92</v>
      </c>
      <c r="Q2310" t="s">
        <v>31</v>
      </c>
      <c r="R2310">
        <v>0.53999584458757521</v>
      </c>
      <c r="S2310">
        <v>2025</v>
      </c>
      <c r="T2310" t="s">
        <v>1911</v>
      </c>
      <c r="U2310">
        <v>11</v>
      </c>
      <c r="V2310" t="s">
        <v>1803</v>
      </c>
    </row>
    <row r="2311" spans="1:22" x14ac:dyDescent="0.3">
      <c r="A2311" t="s">
        <v>3336</v>
      </c>
      <c r="B2311" s="1">
        <v>45967</v>
      </c>
      <c r="C2311" t="s">
        <v>1418</v>
      </c>
      <c r="D2311" t="s">
        <v>1121</v>
      </c>
      <c r="E2311" t="s">
        <v>41</v>
      </c>
      <c r="F2311" t="s">
        <v>42</v>
      </c>
      <c r="G2311" t="s">
        <v>42</v>
      </c>
      <c r="H2311" t="s">
        <v>84</v>
      </c>
      <c r="I2311" t="s">
        <v>85</v>
      </c>
      <c r="J2311" t="s">
        <v>86</v>
      </c>
      <c r="K2311">
        <v>3</v>
      </c>
      <c r="L2311">
        <v>1777.43</v>
      </c>
      <c r="M2311">
        <v>0.05</v>
      </c>
      <c r="N2311">
        <v>5065.68</v>
      </c>
      <c r="O2311">
        <v>2795.01</v>
      </c>
      <c r="P2311">
        <v>2270.67</v>
      </c>
      <c r="Q2311" t="s">
        <v>113</v>
      </c>
      <c r="R2311">
        <v>0.44824584261145589</v>
      </c>
      <c r="S2311">
        <v>2025</v>
      </c>
      <c r="T2311" t="s">
        <v>1911</v>
      </c>
      <c r="U2311">
        <v>11</v>
      </c>
      <c r="V2311" t="s">
        <v>1803</v>
      </c>
    </row>
    <row r="2312" spans="1:22" x14ac:dyDescent="0.3">
      <c r="A2312" t="s">
        <v>3337</v>
      </c>
      <c r="B2312" s="1">
        <v>45967</v>
      </c>
      <c r="C2312" t="s">
        <v>362</v>
      </c>
      <c r="D2312" t="s">
        <v>418</v>
      </c>
      <c r="E2312" t="s">
        <v>120</v>
      </c>
      <c r="F2312" t="s">
        <v>121</v>
      </c>
      <c r="G2312" t="s">
        <v>130</v>
      </c>
      <c r="H2312" t="s">
        <v>28</v>
      </c>
      <c r="I2312" t="s">
        <v>91</v>
      </c>
      <c r="J2312" t="s">
        <v>126</v>
      </c>
      <c r="K2312">
        <v>1</v>
      </c>
      <c r="L2312">
        <v>2106.6999999999998</v>
      </c>
      <c r="M2312">
        <v>0.05</v>
      </c>
      <c r="N2312">
        <v>2001.36</v>
      </c>
      <c r="O2312">
        <v>1182.5899999999999</v>
      </c>
      <c r="P2312">
        <v>818.77</v>
      </c>
      <c r="Q2312" t="s">
        <v>31</v>
      </c>
      <c r="R2312">
        <v>0.40910680737098781</v>
      </c>
      <c r="S2312">
        <v>2025</v>
      </c>
      <c r="T2312" t="s">
        <v>1911</v>
      </c>
      <c r="U2312">
        <v>11</v>
      </c>
      <c r="V2312" t="s">
        <v>1803</v>
      </c>
    </row>
    <row r="2313" spans="1:22" x14ac:dyDescent="0.3">
      <c r="A2313" t="s">
        <v>3338</v>
      </c>
      <c r="B2313" s="1">
        <v>45967</v>
      </c>
      <c r="C2313" t="s">
        <v>1626</v>
      </c>
      <c r="D2313" t="s">
        <v>775</v>
      </c>
      <c r="E2313" t="s">
        <v>61</v>
      </c>
      <c r="F2313" t="s">
        <v>62</v>
      </c>
      <c r="G2313" t="s">
        <v>228</v>
      </c>
      <c r="H2313" t="s">
        <v>64</v>
      </c>
      <c r="I2313" t="s">
        <v>108</v>
      </c>
      <c r="J2313" t="s">
        <v>155</v>
      </c>
      <c r="K2313">
        <v>2</v>
      </c>
      <c r="L2313">
        <v>8374.99</v>
      </c>
      <c r="M2313">
        <v>0.1</v>
      </c>
      <c r="N2313">
        <v>15074.98</v>
      </c>
      <c r="O2313">
        <v>11791.9</v>
      </c>
      <c r="P2313">
        <v>3283.08</v>
      </c>
      <c r="Q2313" t="s">
        <v>113</v>
      </c>
      <c r="R2313">
        <v>0.21778337351027999</v>
      </c>
      <c r="S2313">
        <v>2025</v>
      </c>
      <c r="T2313" t="s">
        <v>1911</v>
      </c>
      <c r="U2313">
        <v>11</v>
      </c>
      <c r="V2313" t="s">
        <v>1803</v>
      </c>
    </row>
    <row r="2314" spans="1:22" x14ac:dyDescent="0.3">
      <c r="A2314" t="s">
        <v>3339</v>
      </c>
      <c r="B2314" s="1">
        <v>45967</v>
      </c>
      <c r="C2314" t="s">
        <v>461</v>
      </c>
      <c r="D2314" t="s">
        <v>2294</v>
      </c>
      <c r="E2314" t="s">
        <v>61</v>
      </c>
      <c r="F2314" t="s">
        <v>62</v>
      </c>
      <c r="G2314" t="s">
        <v>228</v>
      </c>
      <c r="H2314" t="s">
        <v>64</v>
      </c>
      <c r="I2314" t="s">
        <v>108</v>
      </c>
      <c r="J2314" t="s">
        <v>109</v>
      </c>
      <c r="K2314">
        <v>4</v>
      </c>
      <c r="L2314">
        <v>7013.26</v>
      </c>
      <c r="M2314">
        <v>0.1</v>
      </c>
      <c r="N2314">
        <v>25247.74</v>
      </c>
      <c r="O2314">
        <v>17243.28</v>
      </c>
      <c r="P2314">
        <v>8004.46</v>
      </c>
      <c r="Q2314" t="s">
        <v>53</v>
      </c>
      <c r="R2314">
        <v>0.31703669318521183</v>
      </c>
      <c r="S2314">
        <v>2025</v>
      </c>
      <c r="T2314" t="s">
        <v>1911</v>
      </c>
      <c r="U2314">
        <v>11</v>
      </c>
      <c r="V2314" t="s">
        <v>1803</v>
      </c>
    </row>
    <row r="2315" spans="1:22" x14ac:dyDescent="0.3">
      <c r="A2315" t="s">
        <v>3340</v>
      </c>
      <c r="B2315" s="1">
        <v>45969</v>
      </c>
      <c r="C2315" t="s">
        <v>2006</v>
      </c>
      <c r="D2315" t="s">
        <v>752</v>
      </c>
      <c r="E2315" t="s">
        <v>61</v>
      </c>
      <c r="F2315" t="s">
        <v>71</v>
      </c>
      <c r="G2315" t="s">
        <v>317</v>
      </c>
      <c r="H2315" t="s">
        <v>64</v>
      </c>
      <c r="I2315" t="s">
        <v>108</v>
      </c>
      <c r="J2315" t="s">
        <v>155</v>
      </c>
      <c r="K2315">
        <v>3</v>
      </c>
      <c r="L2315">
        <v>8084.13</v>
      </c>
      <c r="M2315">
        <v>0.1</v>
      </c>
      <c r="N2315">
        <v>21827.15</v>
      </c>
      <c r="O2315">
        <v>15928.33</v>
      </c>
      <c r="P2315">
        <v>5898.82</v>
      </c>
      <c r="Q2315" t="s">
        <v>53</v>
      </c>
      <c r="R2315">
        <v>0.27025149870688558</v>
      </c>
      <c r="S2315">
        <v>2025</v>
      </c>
      <c r="T2315" t="s">
        <v>1911</v>
      </c>
      <c r="U2315">
        <v>11</v>
      </c>
      <c r="V2315" t="s">
        <v>1803</v>
      </c>
    </row>
    <row r="2316" spans="1:22" x14ac:dyDescent="0.3">
      <c r="A2316" t="s">
        <v>3341</v>
      </c>
      <c r="B2316" s="1">
        <v>45969</v>
      </c>
      <c r="C2316" t="s">
        <v>2815</v>
      </c>
      <c r="D2316" t="s">
        <v>2187</v>
      </c>
      <c r="E2316" t="s">
        <v>120</v>
      </c>
      <c r="F2316" t="s">
        <v>121</v>
      </c>
      <c r="G2316" t="s">
        <v>224</v>
      </c>
      <c r="H2316" t="s">
        <v>28</v>
      </c>
      <c r="I2316" t="s">
        <v>73</v>
      </c>
      <c r="J2316" t="s">
        <v>74</v>
      </c>
      <c r="K2316">
        <v>2</v>
      </c>
      <c r="L2316">
        <v>2541.48</v>
      </c>
      <c r="M2316">
        <v>0.05</v>
      </c>
      <c r="N2316">
        <v>4828.8100000000004</v>
      </c>
      <c r="O2316">
        <v>2821.25</v>
      </c>
      <c r="P2316">
        <v>2007.56</v>
      </c>
      <c r="Q2316" t="s">
        <v>46</v>
      </c>
      <c r="R2316">
        <v>0.41574632259293692</v>
      </c>
      <c r="S2316">
        <v>2025</v>
      </c>
      <c r="T2316" t="s">
        <v>1911</v>
      </c>
      <c r="U2316">
        <v>11</v>
      </c>
      <c r="V2316" t="s">
        <v>1803</v>
      </c>
    </row>
    <row r="2317" spans="1:22" x14ac:dyDescent="0.3">
      <c r="A2317" t="s">
        <v>3342</v>
      </c>
      <c r="B2317" s="1">
        <v>45969</v>
      </c>
      <c r="C2317" t="s">
        <v>3343</v>
      </c>
      <c r="D2317" t="s">
        <v>164</v>
      </c>
      <c r="E2317" t="s">
        <v>61</v>
      </c>
      <c r="F2317" t="s">
        <v>62</v>
      </c>
      <c r="G2317" t="s">
        <v>134</v>
      </c>
      <c r="H2317" t="s">
        <v>28</v>
      </c>
      <c r="I2317" t="s">
        <v>91</v>
      </c>
      <c r="J2317" t="s">
        <v>92</v>
      </c>
      <c r="K2317">
        <v>3</v>
      </c>
      <c r="L2317">
        <v>2849.76</v>
      </c>
      <c r="M2317">
        <v>0</v>
      </c>
      <c r="N2317">
        <v>8549.2800000000007</v>
      </c>
      <c r="O2317">
        <v>4350.32</v>
      </c>
      <c r="P2317">
        <v>4198.96</v>
      </c>
      <c r="Q2317" t="s">
        <v>53</v>
      </c>
      <c r="R2317">
        <v>0.49114779256264851</v>
      </c>
      <c r="S2317">
        <v>2025</v>
      </c>
      <c r="T2317" t="s">
        <v>1911</v>
      </c>
      <c r="U2317">
        <v>11</v>
      </c>
      <c r="V2317" t="s">
        <v>1803</v>
      </c>
    </row>
    <row r="2318" spans="1:22" x14ac:dyDescent="0.3">
      <c r="A2318" t="s">
        <v>3344</v>
      </c>
      <c r="B2318" s="1">
        <v>45969</v>
      </c>
      <c r="C2318" t="s">
        <v>1259</v>
      </c>
      <c r="D2318" t="s">
        <v>24</v>
      </c>
      <c r="E2318" t="s">
        <v>120</v>
      </c>
      <c r="F2318" t="s">
        <v>121</v>
      </c>
      <c r="G2318" t="s">
        <v>130</v>
      </c>
      <c r="H2318" t="s">
        <v>28</v>
      </c>
      <c r="I2318" t="s">
        <v>29</v>
      </c>
      <c r="J2318" t="s">
        <v>30</v>
      </c>
      <c r="K2318">
        <v>2</v>
      </c>
      <c r="L2318">
        <v>62257.34</v>
      </c>
      <c r="M2318">
        <v>0.15</v>
      </c>
      <c r="N2318">
        <v>105837.48</v>
      </c>
      <c r="O2318">
        <v>106311</v>
      </c>
      <c r="P2318">
        <v>-473.52</v>
      </c>
      <c r="Q2318" t="s">
        <v>31</v>
      </c>
      <c r="R2318">
        <v>-4.4740294270044978E-3</v>
      </c>
      <c r="S2318">
        <v>2025</v>
      </c>
      <c r="T2318" t="s">
        <v>1911</v>
      </c>
      <c r="U2318">
        <v>11</v>
      </c>
      <c r="V2318" t="s">
        <v>1803</v>
      </c>
    </row>
    <row r="2319" spans="1:22" x14ac:dyDescent="0.3">
      <c r="A2319" t="s">
        <v>3345</v>
      </c>
      <c r="B2319" s="1">
        <v>45969</v>
      </c>
      <c r="C2319" t="s">
        <v>761</v>
      </c>
      <c r="D2319" t="s">
        <v>403</v>
      </c>
      <c r="E2319" t="s">
        <v>120</v>
      </c>
      <c r="F2319" t="s">
        <v>121</v>
      </c>
      <c r="G2319" t="s">
        <v>122</v>
      </c>
      <c r="H2319" t="s">
        <v>43</v>
      </c>
      <c r="I2319" t="s">
        <v>44</v>
      </c>
      <c r="J2319" t="s">
        <v>45</v>
      </c>
      <c r="K2319">
        <v>1</v>
      </c>
      <c r="L2319">
        <v>249.68</v>
      </c>
      <c r="M2319">
        <v>0.05</v>
      </c>
      <c r="N2319">
        <v>237.2</v>
      </c>
      <c r="O2319">
        <v>96.72</v>
      </c>
      <c r="P2319">
        <v>140.47999999999999</v>
      </c>
      <c r="Q2319" t="s">
        <v>53</v>
      </c>
      <c r="R2319">
        <v>0.59224283305227654</v>
      </c>
      <c r="S2319">
        <v>2025</v>
      </c>
      <c r="T2319" t="s">
        <v>1911</v>
      </c>
      <c r="U2319">
        <v>11</v>
      </c>
      <c r="V2319" t="s">
        <v>1803</v>
      </c>
    </row>
    <row r="2320" spans="1:22" x14ac:dyDescent="0.3">
      <c r="A2320" t="s">
        <v>3346</v>
      </c>
      <c r="B2320" s="1">
        <v>45969</v>
      </c>
      <c r="C2320" t="s">
        <v>1161</v>
      </c>
      <c r="D2320" t="s">
        <v>678</v>
      </c>
      <c r="E2320" t="s">
        <v>41</v>
      </c>
      <c r="F2320" t="s">
        <v>42</v>
      </c>
      <c r="G2320" t="s">
        <v>50</v>
      </c>
      <c r="H2320" t="s">
        <v>64</v>
      </c>
      <c r="I2320" t="s">
        <v>65</v>
      </c>
      <c r="J2320" t="s">
        <v>66</v>
      </c>
      <c r="K2320">
        <v>1</v>
      </c>
      <c r="L2320">
        <v>4768.7700000000004</v>
      </c>
      <c r="M2320">
        <v>0.1</v>
      </c>
      <c r="N2320">
        <v>4291.8900000000003</v>
      </c>
      <c r="O2320">
        <v>2838.58</v>
      </c>
      <c r="P2320">
        <v>1453.31</v>
      </c>
      <c r="Q2320" t="s">
        <v>46</v>
      </c>
      <c r="R2320">
        <v>0.33861771853425882</v>
      </c>
      <c r="S2320">
        <v>2025</v>
      </c>
      <c r="T2320" t="s">
        <v>1911</v>
      </c>
      <c r="U2320">
        <v>11</v>
      </c>
      <c r="V2320" t="s">
        <v>1803</v>
      </c>
    </row>
    <row r="2321" spans="1:22" x14ac:dyDescent="0.3">
      <c r="A2321" t="s">
        <v>3347</v>
      </c>
      <c r="B2321" s="1">
        <v>45970</v>
      </c>
      <c r="C2321" t="s">
        <v>1438</v>
      </c>
      <c r="D2321" t="s">
        <v>1863</v>
      </c>
      <c r="E2321" t="s">
        <v>41</v>
      </c>
      <c r="F2321" t="s">
        <v>42</v>
      </c>
      <c r="G2321" t="s">
        <v>50</v>
      </c>
      <c r="H2321" t="s">
        <v>84</v>
      </c>
      <c r="I2321" t="s">
        <v>138</v>
      </c>
      <c r="J2321" t="s">
        <v>220</v>
      </c>
      <c r="K2321">
        <v>5</v>
      </c>
      <c r="L2321">
        <v>7121</v>
      </c>
      <c r="M2321">
        <v>0</v>
      </c>
      <c r="N2321">
        <v>35605</v>
      </c>
      <c r="O2321">
        <v>22795.75</v>
      </c>
      <c r="P2321">
        <v>12809.25</v>
      </c>
      <c r="Q2321" t="s">
        <v>31</v>
      </c>
      <c r="R2321">
        <v>0.35975986518747372</v>
      </c>
      <c r="S2321">
        <v>2025</v>
      </c>
      <c r="T2321" t="s">
        <v>1911</v>
      </c>
      <c r="U2321">
        <v>11</v>
      </c>
      <c r="V2321" t="s">
        <v>1803</v>
      </c>
    </row>
    <row r="2322" spans="1:22" x14ac:dyDescent="0.3">
      <c r="A2322" t="s">
        <v>3348</v>
      </c>
      <c r="B2322" s="1">
        <v>45970</v>
      </c>
      <c r="C2322" t="s">
        <v>870</v>
      </c>
      <c r="D2322" t="s">
        <v>516</v>
      </c>
      <c r="E2322" t="s">
        <v>61</v>
      </c>
      <c r="F2322" t="s">
        <v>78</v>
      </c>
      <c r="G2322" t="s">
        <v>79</v>
      </c>
      <c r="H2322" t="s">
        <v>43</v>
      </c>
      <c r="I2322" t="s">
        <v>51</v>
      </c>
      <c r="J2322" t="s">
        <v>96</v>
      </c>
      <c r="K2322">
        <v>2</v>
      </c>
      <c r="L2322">
        <v>505.11</v>
      </c>
      <c r="M2322">
        <v>0.1</v>
      </c>
      <c r="N2322">
        <v>909.2</v>
      </c>
      <c r="O2322">
        <v>463.24</v>
      </c>
      <c r="P2322">
        <v>445.96</v>
      </c>
      <c r="Q2322" t="s">
        <v>53</v>
      </c>
      <c r="R2322">
        <v>0.49049714034315878</v>
      </c>
      <c r="S2322">
        <v>2025</v>
      </c>
      <c r="T2322" t="s">
        <v>1911</v>
      </c>
      <c r="U2322">
        <v>11</v>
      </c>
      <c r="V2322" t="s">
        <v>1803</v>
      </c>
    </row>
    <row r="2323" spans="1:22" x14ac:dyDescent="0.3">
      <c r="A2323" t="s">
        <v>3349</v>
      </c>
      <c r="B2323" s="1">
        <v>45970</v>
      </c>
      <c r="C2323" t="s">
        <v>1131</v>
      </c>
      <c r="D2323" t="s">
        <v>599</v>
      </c>
      <c r="E2323" t="s">
        <v>41</v>
      </c>
      <c r="F2323" t="s">
        <v>42</v>
      </c>
      <c r="G2323" t="s">
        <v>42</v>
      </c>
      <c r="H2323" t="s">
        <v>64</v>
      </c>
      <c r="I2323" t="s">
        <v>65</v>
      </c>
      <c r="J2323" t="s">
        <v>232</v>
      </c>
      <c r="K2323">
        <v>3</v>
      </c>
      <c r="L2323">
        <v>3986.47</v>
      </c>
      <c r="M2323">
        <v>0.05</v>
      </c>
      <c r="N2323">
        <v>11361.44</v>
      </c>
      <c r="O2323">
        <v>7417.15</v>
      </c>
      <c r="P2323">
        <v>3944.29</v>
      </c>
      <c r="Q2323" t="s">
        <v>46</v>
      </c>
      <c r="R2323">
        <v>0.34716461997774928</v>
      </c>
      <c r="S2323">
        <v>2025</v>
      </c>
      <c r="T2323" t="s">
        <v>1911</v>
      </c>
      <c r="U2323">
        <v>11</v>
      </c>
      <c r="V2323" t="s">
        <v>1803</v>
      </c>
    </row>
    <row r="2324" spans="1:22" x14ac:dyDescent="0.3">
      <c r="A2324" t="s">
        <v>3350</v>
      </c>
      <c r="B2324" s="1">
        <v>45970</v>
      </c>
      <c r="C2324" t="s">
        <v>252</v>
      </c>
      <c r="D2324" t="s">
        <v>231</v>
      </c>
      <c r="E2324" t="s">
        <v>41</v>
      </c>
      <c r="F2324" t="s">
        <v>42</v>
      </c>
      <c r="G2324" t="s">
        <v>42</v>
      </c>
      <c r="H2324" t="s">
        <v>43</v>
      </c>
      <c r="I2324" t="s">
        <v>51</v>
      </c>
      <c r="J2324" t="s">
        <v>52</v>
      </c>
      <c r="K2324">
        <v>1</v>
      </c>
      <c r="L2324">
        <v>674.18</v>
      </c>
      <c r="M2324">
        <v>0.1</v>
      </c>
      <c r="N2324">
        <v>606.76</v>
      </c>
      <c r="O2324">
        <v>316.33</v>
      </c>
      <c r="P2324">
        <v>290.43</v>
      </c>
      <c r="Q2324" t="s">
        <v>31</v>
      </c>
      <c r="R2324">
        <v>0.47865712967235807</v>
      </c>
      <c r="S2324">
        <v>2025</v>
      </c>
      <c r="T2324" t="s">
        <v>1911</v>
      </c>
      <c r="U2324">
        <v>11</v>
      </c>
      <c r="V2324" t="s">
        <v>1803</v>
      </c>
    </row>
    <row r="2325" spans="1:22" x14ac:dyDescent="0.3">
      <c r="A2325" t="s">
        <v>3351</v>
      </c>
      <c r="B2325" s="1">
        <v>45970</v>
      </c>
      <c r="C2325" t="s">
        <v>297</v>
      </c>
      <c r="D2325" t="s">
        <v>490</v>
      </c>
      <c r="E2325" t="s">
        <v>25</v>
      </c>
      <c r="F2325" t="s">
        <v>26</v>
      </c>
      <c r="G2325" t="s">
        <v>260</v>
      </c>
      <c r="H2325" t="s">
        <v>84</v>
      </c>
      <c r="I2325" t="s">
        <v>138</v>
      </c>
      <c r="J2325" t="s">
        <v>220</v>
      </c>
      <c r="K2325">
        <v>5</v>
      </c>
      <c r="L2325">
        <v>7167.55</v>
      </c>
      <c r="M2325">
        <v>0.2</v>
      </c>
      <c r="N2325">
        <v>28670.2</v>
      </c>
      <c r="O2325">
        <v>23846.18</v>
      </c>
      <c r="P2325">
        <v>4824.0200000000004</v>
      </c>
      <c r="Q2325" t="s">
        <v>31</v>
      </c>
      <c r="R2325">
        <v>0.16825902853834299</v>
      </c>
      <c r="S2325">
        <v>2025</v>
      </c>
      <c r="T2325" t="s">
        <v>1911</v>
      </c>
      <c r="U2325">
        <v>11</v>
      </c>
      <c r="V2325" t="s">
        <v>1803</v>
      </c>
    </row>
    <row r="2326" spans="1:22" x14ac:dyDescent="0.3">
      <c r="A2326" t="s">
        <v>3352</v>
      </c>
      <c r="B2326" s="1">
        <v>45970</v>
      </c>
      <c r="C2326" t="s">
        <v>2675</v>
      </c>
      <c r="D2326" t="s">
        <v>1525</v>
      </c>
      <c r="E2326" t="s">
        <v>61</v>
      </c>
      <c r="F2326" t="s">
        <v>62</v>
      </c>
      <c r="G2326" t="s">
        <v>228</v>
      </c>
      <c r="H2326" t="s">
        <v>28</v>
      </c>
      <c r="I2326" t="s">
        <v>73</v>
      </c>
      <c r="J2326" t="s">
        <v>80</v>
      </c>
      <c r="K2326">
        <v>1</v>
      </c>
      <c r="L2326">
        <v>782.41</v>
      </c>
      <c r="M2326">
        <v>0.2</v>
      </c>
      <c r="N2326">
        <v>625.92999999999995</v>
      </c>
      <c r="O2326">
        <v>469.12</v>
      </c>
      <c r="P2326">
        <v>156.81</v>
      </c>
      <c r="Q2326" t="s">
        <v>46</v>
      </c>
      <c r="R2326">
        <v>0.25052322144648759</v>
      </c>
      <c r="S2326">
        <v>2025</v>
      </c>
      <c r="T2326" t="s">
        <v>1911</v>
      </c>
      <c r="U2326">
        <v>11</v>
      </c>
      <c r="V2326" t="s">
        <v>1803</v>
      </c>
    </row>
    <row r="2327" spans="1:22" x14ac:dyDescent="0.3">
      <c r="A2327" t="s">
        <v>3353</v>
      </c>
      <c r="B2327" s="1">
        <v>45970</v>
      </c>
      <c r="C2327" t="s">
        <v>1645</v>
      </c>
      <c r="D2327" t="s">
        <v>444</v>
      </c>
      <c r="E2327" t="s">
        <v>61</v>
      </c>
      <c r="F2327" t="s">
        <v>71</v>
      </c>
      <c r="G2327" t="s">
        <v>100</v>
      </c>
      <c r="H2327" t="s">
        <v>28</v>
      </c>
      <c r="I2327" t="s">
        <v>29</v>
      </c>
      <c r="J2327" t="s">
        <v>57</v>
      </c>
      <c r="K2327">
        <v>6</v>
      </c>
      <c r="L2327">
        <v>15582.65</v>
      </c>
      <c r="M2327">
        <v>0.15</v>
      </c>
      <c r="N2327">
        <v>79471.509999999995</v>
      </c>
      <c r="O2327">
        <v>71899.929999999993</v>
      </c>
      <c r="P2327">
        <v>7571.58</v>
      </c>
      <c r="Q2327" t="s">
        <v>53</v>
      </c>
      <c r="R2327">
        <v>9.5274142897247088E-2</v>
      </c>
      <c r="S2327">
        <v>2025</v>
      </c>
      <c r="T2327" t="s">
        <v>1911</v>
      </c>
      <c r="U2327">
        <v>11</v>
      </c>
      <c r="V2327" t="s">
        <v>1803</v>
      </c>
    </row>
    <row r="2328" spans="1:22" x14ac:dyDescent="0.3">
      <c r="A2328" t="s">
        <v>3354</v>
      </c>
      <c r="B2328" s="1">
        <v>45970</v>
      </c>
      <c r="C2328" t="s">
        <v>384</v>
      </c>
      <c r="D2328" t="s">
        <v>929</v>
      </c>
      <c r="E2328" t="s">
        <v>61</v>
      </c>
      <c r="F2328" t="s">
        <v>71</v>
      </c>
      <c r="G2328" t="s">
        <v>317</v>
      </c>
      <c r="H2328" t="s">
        <v>84</v>
      </c>
      <c r="I2328" t="s">
        <v>85</v>
      </c>
      <c r="J2328" t="s">
        <v>86</v>
      </c>
      <c r="K2328">
        <v>2</v>
      </c>
      <c r="L2328">
        <v>1755.81</v>
      </c>
      <c r="M2328">
        <v>0.05</v>
      </c>
      <c r="N2328">
        <v>3336.04</v>
      </c>
      <c r="O2328">
        <v>1920.05</v>
      </c>
      <c r="P2328">
        <v>1415.99</v>
      </c>
      <c r="Q2328" t="s">
        <v>31</v>
      </c>
      <c r="R2328">
        <v>0.42445234469610682</v>
      </c>
      <c r="S2328">
        <v>2025</v>
      </c>
      <c r="T2328" t="s">
        <v>1911</v>
      </c>
      <c r="U2328">
        <v>11</v>
      </c>
      <c r="V2328" t="s">
        <v>1803</v>
      </c>
    </row>
    <row r="2329" spans="1:22" x14ac:dyDescent="0.3">
      <c r="A2329" t="s">
        <v>3355</v>
      </c>
      <c r="B2329" s="1">
        <v>45971</v>
      </c>
      <c r="C2329" t="s">
        <v>1721</v>
      </c>
      <c r="D2329" t="s">
        <v>276</v>
      </c>
      <c r="E2329" t="s">
        <v>25</v>
      </c>
      <c r="F2329" t="s">
        <v>26</v>
      </c>
      <c r="G2329" t="s">
        <v>260</v>
      </c>
      <c r="H2329" t="s">
        <v>64</v>
      </c>
      <c r="I2329" t="s">
        <v>108</v>
      </c>
      <c r="J2329" t="s">
        <v>109</v>
      </c>
      <c r="K2329">
        <v>1</v>
      </c>
      <c r="L2329">
        <v>7399.27</v>
      </c>
      <c r="M2329">
        <v>0.15</v>
      </c>
      <c r="N2329">
        <v>6289.38</v>
      </c>
      <c r="O2329">
        <v>4659.63</v>
      </c>
      <c r="P2329">
        <v>1629.75</v>
      </c>
      <c r="Q2329" t="s">
        <v>53</v>
      </c>
      <c r="R2329">
        <v>0.25912729076633939</v>
      </c>
      <c r="S2329">
        <v>2025</v>
      </c>
      <c r="T2329" t="s">
        <v>1911</v>
      </c>
      <c r="U2329">
        <v>11</v>
      </c>
      <c r="V2329" t="s">
        <v>1803</v>
      </c>
    </row>
    <row r="2330" spans="1:22" x14ac:dyDescent="0.3">
      <c r="A2330" t="s">
        <v>3356</v>
      </c>
      <c r="B2330" s="1">
        <v>45971</v>
      </c>
      <c r="C2330" t="s">
        <v>434</v>
      </c>
      <c r="D2330" t="s">
        <v>527</v>
      </c>
      <c r="E2330" t="s">
        <v>25</v>
      </c>
      <c r="F2330" t="s">
        <v>26</v>
      </c>
      <c r="G2330" t="s">
        <v>260</v>
      </c>
      <c r="H2330" t="s">
        <v>43</v>
      </c>
      <c r="I2330" t="s">
        <v>51</v>
      </c>
      <c r="J2330" t="s">
        <v>96</v>
      </c>
      <c r="K2330">
        <v>2</v>
      </c>
      <c r="L2330">
        <v>515.29</v>
      </c>
      <c r="M2330">
        <v>0.1</v>
      </c>
      <c r="N2330">
        <v>927.52</v>
      </c>
      <c r="O2330">
        <v>481.41</v>
      </c>
      <c r="P2330">
        <v>446.11</v>
      </c>
      <c r="Q2330" t="s">
        <v>53</v>
      </c>
      <c r="R2330">
        <v>0.48097076073831302</v>
      </c>
      <c r="S2330">
        <v>2025</v>
      </c>
      <c r="T2330" t="s">
        <v>1911</v>
      </c>
      <c r="U2330">
        <v>11</v>
      </c>
      <c r="V2330" t="s">
        <v>1803</v>
      </c>
    </row>
    <row r="2331" spans="1:22" x14ac:dyDescent="0.3">
      <c r="A2331" t="s">
        <v>3357</v>
      </c>
      <c r="B2331" s="1">
        <v>45971</v>
      </c>
      <c r="C2331" t="s">
        <v>2690</v>
      </c>
      <c r="D2331" t="s">
        <v>148</v>
      </c>
      <c r="E2331" t="s">
        <v>120</v>
      </c>
      <c r="F2331" t="s">
        <v>121</v>
      </c>
      <c r="G2331" t="s">
        <v>130</v>
      </c>
      <c r="H2331" t="s">
        <v>43</v>
      </c>
      <c r="I2331" t="s">
        <v>51</v>
      </c>
      <c r="J2331" t="s">
        <v>52</v>
      </c>
      <c r="K2331">
        <v>2</v>
      </c>
      <c r="L2331">
        <v>736.08</v>
      </c>
      <c r="M2331">
        <v>0.15</v>
      </c>
      <c r="N2331">
        <v>1251.3399999999999</v>
      </c>
      <c r="O2331">
        <v>704.19</v>
      </c>
      <c r="P2331">
        <v>547.15</v>
      </c>
      <c r="Q2331" t="s">
        <v>31</v>
      </c>
      <c r="R2331">
        <v>0.43725126664215958</v>
      </c>
      <c r="S2331">
        <v>2025</v>
      </c>
      <c r="T2331" t="s">
        <v>1911</v>
      </c>
      <c r="U2331">
        <v>11</v>
      </c>
      <c r="V2331" t="s">
        <v>1803</v>
      </c>
    </row>
    <row r="2332" spans="1:22" x14ac:dyDescent="0.3">
      <c r="A2332" t="s">
        <v>3358</v>
      </c>
      <c r="B2332" s="1">
        <v>45971</v>
      </c>
      <c r="C2332" t="s">
        <v>856</v>
      </c>
      <c r="D2332" t="s">
        <v>342</v>
      </c>
      <c r="E2332" t="s">
        <v>61</v>
      </c>
      <c r="F2332" t="s">
        <v>62</v>
      </c>
      <c r="G2332" t="s">
        <v>90</v>
      </c>
      <c r="H2332" t="s">
        <v>28</v>
      </c>
      <c r="I2332" t="s">
        <v>29</v>
      </c>
      <c r="J2332" t="s">
        <v>30</v>
      </c>
      <c r="K2332">
        <v>2</v>
      </c>
      <c r="L2332">
        <v>56695.8</v>
      </c>
      <c r="M2332">
        <v>0</v>
      </c>
      <c r="N2332">
        <v>113391.6</v>
      </c>
      <c r="O2332">
        <v>103239.12</v>
      </c>
      <c r="P2332">
        <v>10152.48</v>
      </c>
      <c r="Q2332" t="s">
        <v>31</v>
      </c>
      <c r="R2332">
        <v>8.9534674526155364E-2</v>
      </c>
      <c r="S2332">
        <v>2025</v>
      </c>
      <c r="T2332" t="s">
        <v>1911</v>
      </c>
      <c r="U2332">
        <v>11</v>
      </c>
      <c r="V2332" t="s">
        <v>1803</v>
      </c>
    </row>
    <row r="2333" spans="1:22" x14ac:dyDescent="0.3">
      <c r="A2333" t="s">
        <v>3359</v>
      </c>
      <c r="B2333" s="1">
        <v>45971</v>
      </c>
      <c r="C2333" t="s">
        <v>1868</v>
      </c>
      <c r="D2333" t="s">
        <v>712</v>
      </c>
      <c r="E2333" t="s">
        <v>61</v>
      </c>
      <c r="F2333" t="s">
        <v>71</v>
      </c>
      <c r="G2333" t="s">
        <v>317</v>
      </c>
      <c r="H2333" t="s">
        <v>43</v>
      </c>
      <c r="I2333" t="s">
        <v>51</v>
      </c>
      <c r="J2333" t="s">
        <v>52</v>
      </c>
      <c r="K2333">
        <v>2</v>
      </c>
      <c r="L2333">
        <v>680.53</v>
      </c>
      <c r="M2333">
        <v>0.15</v>
      </c>
      <c r="N2333">
        <v>1156.9000000000001</v>
      </c>
      <c r="O2333">
        <v>640.67999999999995</v>
      </c>
      <c r="P2333">
        <v>516.22</v>
      </c>
      <c r="Q2333" t="s">
        <v>31</v>
      </c>
      <c r="R2333">
        <v>0.44620969833174862</v>
      </c>
      <c r="S2333">
        <v>2025</v>
      </c>
      <c r="T2333" t="s">
        <v>1911</v>
      </c>
      <c r="U2333">
        <v>11</v>
      </c>
      <c r="V2333" t="s">
        <v>1803</v>
      </c>
    </row>
    <row r="2334" spans="1:22" x14ac:dyDescent="0.3">
      <c r="A2334" t="s">
        <v>3360</v>
      </c>
      <c r="B2334" s="1">
        <v>45973</v>
      </c>
      <c r="C2334" t="s">
        <v>222</v>
      </c>
      <c r="D2334" t="s">
        <v>1367</v>
      </c>
      <c r="E2334" t="s">
        <v>61</v>
      </c>
      <c r="F2334" t="s">
        <v>78</v>
      </c>
      <c r="G2334" t="s">
        <v>216</v>
      </c>
      <c r="H2334" t="s">
        <v>84</v>
      </c>
      <c r="I2334" t="s">
        <v>138</v>
      </c>
      <c r="J2334" t="s">
        <v>220</v>
      </c>
      <c r="K2334">
        <v>3</v>
      </c>
      <c r="L2334">
        <v>7784.61</v>
      </c>
      <c r="M2334">
        <v>0.2</v>
      </c>
      <c r="N2334">
        <v>18683.060000000001</v>
      </c>
      <c r="O2334">
        <v>15699.56</v>
      </c>
      <c r="P2334">
        <v>2983.5</v>
      </c>
      <c r="Q2334" t="s">
        <v>53</v>
      </c>
      <c r="R2334">
        <v>0.15969011500257449</v>
      </c>
      <c r="S2334">
        <v>2025</v>
      </c>
      <c r="T2334" t="s">
        <v>1911</v>
      </c>
      <c r="U2334">
        <v>11</v>
      </c>
      <c r="V2334" t="s">
        <v>1803</v>
      </c>
    </row>
    <row r="2335" spans="1:22" x14ac:dyDescent="0.3">
      <c r="A2335" t="s">
        <v>3361</v>
      </c>
      <c r="B2335" s="1">
        <v>45974</v>
      </c>
      <c r="C2335" t="s">
        <v>682</v>
      </c>
      <c r="D2335" t="s">
        <v>219</v>
      </c>
      <c r="E2335" t="s">
        <v>41</v>
      </c>
      <c r="F2335" t="s">
        <v>42</v>
      </c>
      <c r="G2335" t="s">
        <v>42</v>
      </c>
      <c r="H2335" t="s">
        <v>28</v>
      </c>
      <c r="I2335" t="s">
        <v>91</v>
      </c>
      <c r="J2335" t="s">
        <v>92</v>
      </c>
      <c r="K2335">
        <v>4</v>
      </c>
      <c r="L2335">
        <v>3033.27</v>
      </c>
      <c r="M2335">
        <v>0</v>
      </c>
      <c r="N2335">
        <v>12133.08</v>
      </c>
      <c r="O2335">
        <v>6553.4</v>
      </c>
      <c r="P2335">
        <v>5579.68</v>
      </c>
      <c r="Q2335" t="s">
        <v>53</v>
      </c>
      <c r="R2335">
        <v>0.45987333801474978</v>
      </c>
      <c r="S2335">
        <v>2025</v>
      </c>
      <c r="T2335" t="s">
        <v>1911</v>
      </c>
      <c r="U2335">
        <v>11</v>
      </c>
      <c r="V2335" t="s">
        <v>1803</v>
      </c>
    </row>
    <row r="2336" spans="1:22" x14ac:dyDescent="0.3">
      <c r="A2336" t="s">
        <v>3362</v>
      </c>
      <c r="B2336" s="1">
        <v>45974</v>
      </c>
      <c r="C2336" t="s">
        <v>1704</v>
      </c>
      <c r="D2336" t="s">
        <v>179</v>
      </c>
      <c r="E2336" t="s">
        <v>61</v>
      </c>
      <c r="F2336" t="s">
        <v>78</v>
      </c>
      <c r="G2336" t="s">
        <v>79</v>
      </c>
      <c r="H2336" t="s">
        <v>84</v>
      </c>
      <c r="I2336" t="s">
        <v>85</v>
      </c>
      <c r="J2336" t="s">
        <v>86</v>
      </c>
      <c r="K2336">
        <v>2</v>
      </c>
      <c r="L2336">
        <v>1740.19</v>
      </c>
      <c r="M2336">
        <v>0.1</v>
      </c>
      <c r="N2336">
        <v>3132.34</v>
      </c>
      <c r="O2336">
        <v>1885.56</v>
      </c>
      <c r="P2336">
        <v>1246.78</v>
      </c>
      <c r="Q2336" t="s">
        <v>53</v>
      </c>
      <c r="R2336">
        <v>0.39803469610578668</v>
      </c>
      <c r="S2336">
        <v>2025</v>
      </c>
      <c r="T2336" t="s">
        <v>1911</v>
      </c>
      <c r="U2336">
        <v>11</v>
      </c>
      <c r="V2336" t="s">
        <v>1803</v>
      </c>
    </row>
    <row r="2337" spans="1:22" x14ac:dyDescent="0.3">
      <c r="A2337" t="s">
        <v>3363</v>
      </c>
      <c r="B2337" s="1">
        <v>45974</v>
      </c>
      <c r="C2337" t="s">
        <v>2401</v>
      </c>
      <c r="D2337" t="s">
        <v>129</v>
      </c>
      <c r="E2337" t="s">
        <v>61</v>
      </c>
      <c r="F2337" t="s">
        <v>71</v>
      </c>
      <c r="G2337" t="s">
        <v>72</v>
      </c>
      <c r="H2337" t="s">
        <v>84</v>
      </c>
      <c r="I2337" t="s">
        <v>85</v>
      </c>
      <c r="J2337" t="s">
        <v>86</v>
      </c>
      <c r="K2337">
        <v>2</v>
      </c>
      <c r="L2337">
        <v>1780.93</v>
      </c>
      <c r="M2337">
        <v>0.15</v>
      </c>
      <c r="N2337">
        <v>3027.58</v>
      </c>
      <c r="O2337">
        <v>1990.7</v>
      </c>
      <c r="P2337">
        <v>1036.8800000000001</v>
      </c>
      <c r="Q2337" t="s">
        <v>46</v>
      </c>
      <c r="R2337">
        <v>0.34247815086636862</v>
      </c>
      <c r="S2337">
        <v>2025</v>
      </c>
      <c r="T2337" t="s">
        <v>1911</v>
      </c>
      <c r="U2337">
        <v>11</v>
      </c>
      <c r="V2337" t="s">
        <v>1803</v>
      </c>
    </row>
    <row r="2338" spans="1:22" x14ac:dyDescent="0.3">
      <c r="A2338" t="s">
        <v>3364</v>
      </c>
      <c r="B2338" s="1">
        <v>45974</v>
      </c>
      <c r="C2338" t="s">
        <v>1194</v>
      </c>
      <c r="D2338" t="s">
        <v>652</v>
      </c>
      <c r="E2338" t="s">
        <v>25</v>
      </c>
      <c r="F2338" t="s">
        <v>26</v>
      </c>
      <c r="G2338" t="s">
        <v>37</v>
      </c>
      <c r="H2338" t="s">
        <v>64</v>
      </c>
      <c r="I2338" t="s">
        <v>108</v>
      </c>
      <c r="J2338" t="s">
        <v>109</v>
      </c>
      <c r="K2338">
        <v>2</v>
      </c>
      <c r="L2338">
        <v>7416.03</v>
      </c>
      <c r="M2338">
        <v>0.1</v>
      </c>
      <c r="N2338">
        <v>13348.85</v>
      </c>
      <c r="O2338">
        <v>9543.1299999999992</v>
      </c>
      <c r="P2338">
        <v>3805.72</v>
      </c>
      <c r="Q2338" t="s">
        <v>31</v>
      </c>
      <c r="R2338">
        <v>0.28509721811242172</v>
      </c>
      <c r="S2338">
        <v>2025</v>
      </c>
      <c r="T2338" t="s">
        <v>1911</v>
      </c>
      <c r="U2338">
        <v>11</v>
      </c>
      <c r="V2338" t="s">
        <v>1803</v>
      </c>
    </row>
    <row r="2339" spans="1:22" x14ac:dyDescent="0.3">
      <c r="A2339" t="s">
        <v>3365</v>
      </c>
      <c r="B2339" s="1">
        <v>45975</v>
      </c>
      <c r="C2339" t="s">
        <v>250</v>
      </c>
      <c r="D2339" t="s">
        <v>685</v>
      </c>
      <c r="E2339" t="s">
        <v>61</v>
      </c>
      <c r="F2339" t="s">
        <v>78</v>
      </c>
      <c r="G2339" t="s">
        <v>216</v>
      </c>
      <c r="H2339" t="s">
        <v>64</v>
      </c>
      <c r="I2339" t="s">
        <v>108</v>
      </c>
      <c r="J2339" t="s">
        <v>155</v>
      </c>
      <c r="K2339">
        <v>1</v>
      </c>
      <c r="L2339">
        <v>8797.14</v>
      </c>
      <c r="M2339">
        <v>0.1</v>
      </c>
      <c r="N2339">
        <v>7917.43</v>
      </c>
      <c r="O2339">
        <v>5869.8</v>
      </c>
      <c r="P2339">
        <v>2047.63</v>
      </c>
      <c r="Q2339" t="s">
        <v>31</v>
      </c>
      <c r="R2339">
        <v>0.25862306329200258</v>
      </c>
      <c r="S2339">
        <v>2025</v>
      </c>
      <c r="T2339" t="s">
        <v>1911</v>
      </c>
      <c r="U2339">
        <v>11</v>
      </c>
      <c r="V2339" t="s">
        <v>1803</v>
      </c>
    </row>
    <row r="2340" spans="1:22" x14ac:dyDescent="0.3">
      <c r="A2340" t="s">
        <v>3366</v>
      </c>
      <c r="B2340" s="1">
        <v>45975</v>
      </c>
      <c r="C2340" t="s">
        <v>1420</v>
      </c>
      <c r="D2340" t="s">
        <v>334</v>
      </c>
      <c r="E2340" t="s">
        <v>61</v>
      </c>
      <c r="F2340" t="s">
        <v>71</v>
      </c>
      <c r="G2340" t="s">
        <v>72</v>
      </c>
      <c r="H2340" t="s">
        <v>64</v>
      </c>
      <c r="I2340" t="s">
        <v>65</v>
      </c>
      <c r="J2340" t="s">
        <v>232</v>
      </c>
      <c r="K2340">
        <v>1</v>
      </c>
      <c r="L2340">
        <v>3785.54</v>
      </c>
      <c r="M2340">
        <v>0.1</v>
      </c>
      <c r="N2340">
        <v>3406.99</v>
      </c>
      <c r="O2340">
        <v>2447.2399999999998</v>
      </c>
      <c r="P2340">
        <v>959.75</v>
      </c>
      <c r="Q2340" t="s">
        <v>53</v>
      </c>
      <c r="R2340">
        <v>0.28170026915253638</v>
      </c>
      <c r="S2340">
        <v>2025</v>
      </c>
      <c r="T2340" t="s">
        <v>1911</v>
      </c>
      <c r="U2340">
        <v>11</v>
      </c>
      <c r="V2340" t="s">
        <v>1803</v>
      </c>
    </row>
    <row r="2341" spans="1:22" x14ac:dyDescent="0.3">
      <c r="A2341" t="s">
        <v>3367</v>
      </c>
      <c r="B2341" s="1">
        <v>45976</v>
      </c>
      <c r="C2341" t="s">
        <v>2037</v>
      </c>
      <c r="D2341" t="s">
        <v>1396</v>
      </c>
      <c r="E2341" t="s">
        <v>61</v>
      </c>
      <c r="F2341" t="s">
        <v>62</v>
      </c>
      <c r="G2341" t="s">
        <v>134</v>
      </c>
      <c r="H2341" t="s">
        <v>28</v>
      </c>
      <c r="I2341" t="s">
        <v>91</v>
      </c>
      <c r="J2341" t="s">
        <v>92</v>
      </c>
      <c r="K2341">
        <v>1</v>
      </c>
      <c r="L2341">
        <v>3006.04</v>
      </c>
      <c r="M2341">
        <v>0.1</v>
      </c>
      <c r="N2341">
        <v>2705.44</v>
      </c>
      <c r="O2341">
        <v>1564.17</v>
      </c>
      <c r="P2341">
        <v>1141.27</v>
      </c>
      <c r="Q2341" t="s">
        <v>53</v>
      </c>
      <c r="R2341">
        <v>0.42184265775622448</v>
      </c>
      <c r="S2341">
        <v>2025</v>
      </c>
      <c r="T2341" t="s">
        <v>1911</v>
      </c>
      <c r="U2341">
        <v>11</v>
      </c>
      <c r="V2341" t="s">
        <v>1803</v>
      </c>
    </row>
    <row r="2342" spans="1:22" x14ac:dyDescent="0.3">
      <c r="A2342" t="s">
        <v>3368</v>
      </c>
      <c r="B2342" s="1">
        <v>45976</v>
      </c>
      <c r="C2342" t="s">
        <v>356</v>
      </c>
      <c r="D2342" t="s">
        <v>524</v>
      </c>
      <c r="E2342" t="s">
        <v>41</v>
      </c>
      <c r="F2342" t="s">
        <v>42</v>
      </c>
      <c r="G2342" t="s">
        <v>50</v>
      </c>
      <c r="H2342" t="s">
        <v>84</v>
      </c>
      <c r="I2342" t="s">
        <v>138</v>
      </c>
      <c r="J2342" t="s">
        <v>139</v>
      </c>
      <c r="K2342">
        <v>3</v>
      </c>
      <c r="L2342">
        <v>13264.25</v>
      </c>
      <c r="M2342">
        <v>0</v>
      </c>
      <c r="N2342">
        <v>39792.75</v>
      </c>
      <c r="O2342">
        <v>27641.58</v>
      </c>
      <c r="P2342">
        <v>12151.17</v>
      </c>
      <c r="Q2342" t="s">
        <v>31</v>
      </c>
      <c r="R2342">
        <v>0.3053614037733004</v>
      </c>
      <c r="S2342">
        <v>2025</v>
      </c>
      <c r="T2342" t="s">
        <v>1911</v>
      </c>
      <c r="U2342">
        <v>11</v>
      </c>
      <c r="V2342" t="s">
        <v>1803</v>
      </c>
    </row>
    <row r="2343" spans="1:22" x14ac:dyDescent="0.3">
      <c r="A2343" t="s">
        <v>3369</v>
      </c>
      <c r="B2343" s="1">
        <v>45976</v>
      </c>
      <c r="C2343" t="s">
        <v>2778</v>
      </c>
      <c r="D2343" t="s">
        <v>174</v>
      </c>
      <c r="E2343" t="s">
        <v>120</v>
      </c>
      <c r="F2343" t="s">
        <v>121</v>
      </c>
      <c r="G2343" t="s">
        <v>224</v>
      </c>
      <c r="H2343" t="s">
        <v>28</v>
      </c>
      <c r="I2343" t="s">
        <v>91</v>
      </c>
      <c r="J2343" t="s">
        <v>126</v>
      </c>
      <c r="K2343">
        <v>2</v>
      </c>
      <c r="L2343">
        <v>1900.35</v>
      </c>
      <c r="M2343">
        <v>0.15</v>
      </c>
      <c r="N2343">
        <v>3230.59</v>
      </c>
      <c r="O2343">
        <v>2187.98</v>
      </c>
      <c r="P2343">
        <v>1042.6099999999999</v>
      </c>
      <c r="Q2343" t="s">
        <v>53</v>
      </c>
      <c r="R2343">
        <v>0.32273052290758031</v>
      </c>
      <c r="S2343">
        <v>2025</v>
      </c>
      <c r="T2343" t="s">
        <v>1911</v>
      </c>
      <c r="U2343">
        <v>11</v>
      </c>
      <c r="V2343" t="s">
        <v>1803</v>
      </c>
    </row>
    <row r="2344" spans="1:22" x14ac:dyDescent="0.3">
      <c r="A2344" t="s">
        <v>3370</v>
      </c>
      <c r="B2344" s="1">
        <v>45976</v>
      </c>
      <c r="C2344" t="s">
        <v>1078</v>
      </c>
      <c r="D2344" t="s">
        <v>1345</v>
      </c>
      <c r="E2344" t="s">
        <v>120</v>
      </c>
      <c r="F2344" t="s">
        <v>121</v>
      </c>
      <c r="G2344" t="s">
        <v>224</v>
      </c>
      <c r="H2344" t="s">
        <v>28</v>
      </c>
      <c r="I2344" t="s">
        <v>73</v>
      </c>
      <c r="J2344" t="s">
        <v>74</v>
      </c>
      <c r="K2344">
        <v>3</v>
      </c>
      <c r="L2344">
        <v>2552.84</v>
      </c>
      <c r="M2344">
        <v>0</v>
      </c>
      <c r="N2344">
        <v>7658.52</v>
      </c>
      <c r="O2344">
        <v>4159.3100000000004</v>
      </c>
      <c r="P2344">
        <v>3499.21</v>
      </c>
      <c r="Q2344" t="s">
        <v>67</v>
      </c>
      <c r="R2344">
        <v>0.45690420603458631</v>
      </c>
      <c r="S2344">
        <v>2025</v>
      </c>
      <c r="T2344" t="s">
        <v>1911</v>
      </c>
      <c r="U2344">
        <v>11</v>
      </c>
      <c r="V2344" t="s">
        <v>1803</v>
      </c>
    </row>
    <row r="2345" spans="1:22" x14ac:dyDescent="0.3">
      <c r="A2345" t="s">
        <v>3371</v>
      </c>
      <c r="B2345" s="1">
        <v>45976</v>
      </c>
      <c r="C2345" t="s">
        <v>646</v>
      </c>
      <c r="D2345" t="s">
        <v>112</v>
      </c>
      <c r="E2345" t="s">
        <v>120</v>
      </c>
      <c r="F2345" t="s">
        <v>121</v>
      </c>
      <c r="G2345" t="s">
        <v>130</v>
      </c>
      <c r="H2345" t="s">
        <v>84</v>
      </c>
      <c r="I2345" t="s">
        <v>85</v>
      </c>
      <c r="J2345" t="s">
        <v>86</v>
      </c>
      <c r="K2345">
        <v>1</v>
      </c>
      <c r="L2345">
        <v>1877.23</v>
      </c>
      <c r="M2345">
        <v>0.05</v>
      </c>
      <c r="N2345">
        <v>1783.37</v>
      </c>
      <c r="O2345">
        <v>1027.18</v>
      </c>
      <c r="P2345">
        <v>756.19</v>
      </c>
      <c r="Q2345" t="s">
        <v>53</v>
      </c>
      <c r="R2345">
        <v>0.42402305746984648</v>
      </c>
      <c r="S2345">
        <v>2025</v>
      </c>
      <c r="T2345" t="s">
        <v>1911</v>
      </c>
      <c r="U2345">
        <v>11</v>
      </c>
      <c r="V2345" t="s">
        <v>1803</v>
      </c>
    </row>
    <row r="2346" spans="1:22" x14ac:dyDescent="0.3">
      <c r="A2346" t="s">
        <v>3372</v>
      </c>
      <c r="B2346" s="1">
        <v>45976</v>
      </c>
      <c r="C2346" t="s">
        <v>400</v>
      </c>
      <c r="D2346" t="s">
        <v>1108</v>
      </c>
      <c r="E2346" t="s">
        <v>61</v>
      </c>
      <c r="F2346" t="s">
        <v>78</v>
      </c>
      <c r="G2346" t="s">
        <v>79</v>
      </c>
      <c r="H2346" t="s">
        <v>43</v>
      </c>
      <c r="I2346" t="s">
        <v>44</v>
      </c>
      <c r="J2346" t="s">
        <v>45</v>
      </c>
      <c r="K2346">
        <v>1</v>
      </c>
      <c r="L2346">
        <v>239.25</v>
      </c>
      <c r="M2346">
        <v>0.1</v>
      </c>
      <c r="N2346">
        <v>215.33</v>
      </c>
      <c r="O2346">
        <v>87.7</v>
      </c>
      <c r="P2346">
        <v>127.63</v>
      </c>
      <c r="Q2346" t="s">
        <v>113</v>
      </c>
      <c r="R2346">
        <v>0.59271815353178836</v>
      </c>
      <c r="S2346">
        <v>2025</v>
      </c>
      <c r="T2346" t="s">
        <v>1911</v>
      </c>
      <c r="U2346">
        <v>11</v>
      </c>
      <c r="V2346" t="s">
        <v>1803</v>
      </c>
    </row>
    <row r="2347" spans="1:22" x14ac:dyDescent="0.3">
      <c r="A2347" t="s">
        <v>3373</v>
      </c>
      <c r="B2347" s="1">
        <v>45976</v>
      </c>
      <c r="C2347" t="s">
        <v>2119</v>
      </c>
      <c r="D2347" t="s">
        <v>247</v>
      </c>
      <c r="E2347" t="s">
        <v>41</v>
      </c>
      <c r="F2347" t="s">
        <v>42</v>
      </c>
      <c r="G2347" t="s">
        <v>42</v>
      </c>
      <c r="H2347" t="s">
        <v>28</v>
      </c>
      <c r="I2347" t="s">
        <v>91</v>
      </c>
      <c r="J2347" t="s">
        <v>92</v>
      </c>
      <c r="K2347">
        <v>3</v>
      </c>
      <c r="L2347">
        <v>3126.67</v>
      </c>
      <c r="M2347">
        <v>0.15</v>
      </c>
      <c r="N2347">
        <v>7973.01</v>
      </c>
      <c r="O2347">
        <v>4806.84</v>
      </c>
      <c r="P2347">
        <v>3166.17</v>
      </c>
      <c r="Q2347" t="s">
        <v>31</v>
      </c>
      <c r="R2347">
        <v>0.39711100324720527</v>
      </c>
      <c r="S2347">
        <v>2025</v>
      </c>
      <c r="T2347" t="s">
        <v>1911</v>
      </c>
      <c r="U2347">
        <v>11</v>
      </c>
      <c r="V2347" t="s">
        <v>1803</v>
      </c>
    </row>
    <row r="2348" spans="1:22" x14ac:dyDescent="0.3">
      <c r="A2348" t="s">
        <v>3374</v>
      </c>
      <c r="B2348" s="1">
        <v>45977</v>
      </c>
      <c r="C2348" t="s">
        <v>663</v>
      </c>
      <c r="D2348" t="s">
        <v>820</v>
      </c>
      <c r="E2348" t="s">
        <v>41</v>
      </c>
      <c r="F2348" t="s">
        <v>42</v>
      </c>
      <c r="G2348" t="s">
        <v>50</v>
      </c>
      <c r="H2348" t="s">
        <v>84</v>
      </c>
      <c r="I2348" t="s">
        <v>138</v>
      </c>
      <c r="J2348" t="s">
        <v>139</v>
      </c>
      <c r="K2348">
        <v>4</v>
      </c>
      <c r="L2348">
        <v>12476.8</v>
      </c>
      <c r="M2348">
        <v>0.1</v>
      </c>
      <c r="N2348">
        <v>44916.480000000003</v>
      </c>
      <c r="O2348">
        <v>34992.25</v>
      </c>
      <c r="P2348">
        <v>9924.23</v>
      </c>
      <c r="Q2348" t="s">
        <v>46</v>
      </c>
      <c r="R2348">
        <v>0.22094852490667119</v>
      </c>
      <c r="S2348">
        <v>2025</v>
      </c>
      <c r="T2348" t="s">
        <v>1911</v>
      </c>
      <c r="U2348">
        <v>11</v>
      </c>
      <c r="V2348" t="s">
        <v>1803</v>
      </c>
    </row>
    <row r="2349" spans="1:22" x14ac:dyDescent="0.3">
      <c r="A2349" t="s">
        <v>3375</v>
      </c>
      <c r="B2349" s="1">
        <v>45978</v>
      </c>
      <c r="C2349" t="s">
        <v>291</v>
      </c>
      <c r="D2349" t="s">
        <v>219</v>
      </c>
      <c r="E2349" t="s">
        <v>61</v>
      </c>
      <c r="F2349" t="s">
        <v>78</v>
      </c>
      <c r="G2349" t="s">
        <v>79</v>
      </c>
      <c r="H2349" t="s">
        <v>28</v>
      </c>
      <c r="I2349" t="s">
        <v>91</v>
      </c>
      <c r="J2349" t="s">
        <v>126</v>
      </c>
      <c r="K2349">
        <v>4</v>
      </c>
      <c r="L2349">
        <v>1948.54</v>
      </c>
      <c r="M2349">
        <v>0.15</v>
      </c>
      <c r="N2349">
        <v>6625.04</v>
      </c>
      <c r="O2349">
        <v>4359.3500000000004</v>
      </c>
      <c r="P2349">
        <v>2265.69</v>
      </c>
      <c r="Q2349" t="s">
        <v>46</v>
      </c>
      <c r="R2349">
        <v>0.34198887855771443</v>
      </c>
      <c r="S2349">
        <v>2025</v>
      </c>
      <c r="T2349" t="s">
        <v>1911</v>
      </c>
      <c r="U2349">
        <v>11</v>
      </c>
      <c r="V2349" t="s">
        <v>1803</v>
      </c>
    </row>
    <row r="2350" spans="1:22" x14ac:dyDescent="0.3">
      <c r="A2350" t="s">
        <v>3376</v>
      </c>
      <c r="B2350" s="1">
        <v>45978</v>
      </c>
      <c r="C2350" t="s">
        <v>2918</v>
      </c>
      <c r="D2350" t="s">
        <v>1096</v>
      </c>
      <c r="E2350" t="s">
        <v>61</v>
      </c>
      <c r="F2350" t="s">
        <v>71</v>
      </c>
      <c r="G2350" t="s">
        <v>201</v>
      </c>
      <c r="H2350" t="s">
        <v>43</v>
      </c>
      <c r="I2350" t="s">
        <v>51</v>
      </c>
      <c r="J2350" t="s">
        <v>52</v>
      </c>
      <c r="K2350">
        <v>1</v>
      </c>
      <c r="L2350">
        <v>722.09</v>
      </c>
      <c r="M2350">
        <v>0.05</v>
      </c>
      <c r="N2350">
        <v>685.99</v>
      </c>
      <c r="O2350">
        <v>340.32</v>
      </c>
      <c r="P2350">
        <v>345.67</v>
      </c>
      <c r="Q2350" t="s">
        <v>53</v>
      </c>
      <c r="R2350">
        <v>0.50389947375326172</v>
      </c>
      <c r="S2350">
        <v>2025</v>
      </c>
      <c r="T2350" t="s">
        <v>1911</v>
      </c>
      <c r="U2350">
        <v>11</v>
      </c>
      <c r="V2350" t="s">
        <v>1803</v>
      </c>
    </row>
    <row r="2351" spans="1:22" x14ac:dyDescent="0.3">
      <c r="A2351" t="s">
        <v>3377</v>
      </c>
      <c r="B2351" s="1">
        <v>45978</v>
      </c>
      <c r="C2351" t="s">
        <v>287</v>
      </c>
      <c r="D2351" t="s">
        <v>966</v>
      </c>
      <c r="E2351" t="s">
        <v>61</v>
      </c>
      <c r="F2351" t="s">
        <v>62</v>
      </c>
      <c r="G2351" t="s">
        <v>63</v>
      </c>
      <c r="H2351" t="s">
        <v>64</v>
      </c>
      <c r="I2351" t="s">
        <v>108</v>
      </c>
      <c r="J2351" t="s">
        <v>155</v>
      </c>
      <c r="K2351">
        <v>3</v>
      </c>
      <c r="L2351">
        <v>7990.4</v>
      </c>
      <c r="M2351">
        <v>0.05</v>
      </c>
      <c r="N2351">
        <v>22772.639999999999</v>
      </c>
      <c r="O2351">
        <v>15770.9</v>
      </c>
      <c r="P2351">
        <v>7001.74</v>
      </c>
      <c r="Q2351" t="s">
        <v>53</v>
      </c>
      <c r="R2351">
        <v>0.30746281502715539</v>
      </c>
      <c r="S2351">
        <v>2025</v>
      </c>
      <c r="T2351" t="s">
        <v>1911</v>
      </c>
      <c r="U2351">
        <v>11</v>
      </c>
      <c r="V2351" t="s">
        <v>1803</v>
      </c>
    </row>
    <row r="2352" spans="1:22" x14ac:dyDescent="0.3">
      <c r="A2352" t="s">
        <v>3378</v>
      </c>
      <c r="B2352" s="1">
        <v>45978</v>
      </c>
      <c r="C2352" t="s">
        <v>714</v>
      </c>
      <c r="D2352" t="s">
        <v>1717</v>
      </c>
      <c r="E2352" t="s">
        <v>25</v>
      </c>
      <c r="F2352" t="s">
        <v>26</v>
      </c>
      <c r="G2352" t="s">
        <v>37</v>
      </c>
      <c r="H2352" t="s">
        <v>28</v>
      </c>
      <c r="I2352" t="s">
        <v>73</v>
      </c>
      <c r="J2352" t="s">
        <v>80</v>
      </c>
      <c r="K2352">
        <v>2</v>
      </c>
      <c r="L2352">
        <v>828.24</v>
      </c>
      <c r="M2352">
        <v>0.15</v>
      </c>
      <c r="N2352">
        <v>1408.01</v>
      </c>
      <c r="O2352">
        <v>1062.1400000000001</v>
      </c>
      <c r="P2352">
        <v>345.87</v>
      </c>
      <c r="Q2352" t="s">
        <v>53</v>
      </c>
      <c r="R2352">
        <v>0.24564456218350719</v>
      </c>
      <c r="S2352">
        <v>2025</v>
      </c>
      <c r="T2352" t="s">
        <v>1911</v>
      </c>
      <c r="U2352">
        <v>11</v>
      </c>
      <c r="V2352" t="s">
        <v>1803</v>
      </c>
    </row>
    <row r="2353" spans="1:22" x14ac:dyDescent="0.3">
      <c r="A2353" t="s">
        <v>3379</v>
      </c>
      <c r="B2353" s="1">
        <v>45978</v>
      </c>
      <c r="C2353" t="s">
        <v>166</v>
      </c>
      <c r="D2353" t="s">
        <v>770</v>
      </c>
      <c r="E2353" t="s">
        <v>41</v>
      </c>
      <c r="F2353" t="s">
        <v>42</v>
      </c>
      <c r="G2353" t="s">
        <v>42</v>
      </c>
      <c r="H2353" t="s">
        <v>64</v>
      </c>
      <c r="I2353" t="s">
        <v>108</v>
      </c>
      <c r="J2353" t="s">
        <v>109</v>
      </c>
      <c r="K2353">
        <v>3</v>
      </c>
      <c r="L2353">
        <v>7363.6</v>
      </c>
      <c r="M2353">
        <v>0.2</v>
      </c>
      <c r="N2353">
        <v>17672.64</v>
      </c>
      <c r="O2353">
        <v>13792.7</v>
      </c>
      <c r="P2353">
        <v>3879.94</v>
      </c>
      <c r="Q2353" t="s">
        <v>53</v>
      </c>
      <c r="R2353">
        <v>0.219545014214062</v>
      </c>
      <c r="S2353">
        <v>2025</v>
      </c>
      <c r="T2353" t="s">
        <v>1911</v>
      </c>
      <c r="U2353">
        <v>11</v>
      </c>
      <c r="V2353" t="s">
        <v>1803</v>
      </c>
    </row>
    <row r="2354" spans="1:22" x14ac:dyDescent="0.3">
      <c r="A2354" t="s">
        <v>3380</v>
      </c>
      <c r="B2354" s="1">
        <v>45979</v>
      </c>
      <c r="C2354" t="s">
        <v>666</v>
      </c>
      <c r="D2354" t="s">
        <v>418</v>
      </c>
      <c r="E2354" t="s">
        <v>41</v>
      </c>
      <c r="F2354" t="s">
        <v>42</v>
      </c>
      <c r="G2354" t="s">
        <v>42</v>
      </c>
      <c r="H2354" t="s">
        <v>43</v>
      </c>
      <c r="I2354" t="s">
        <v>51</v>
      </c>
      <c r="J2354" t="s">
        <v>52</v>
      </c>
      <c r="K2354">
        <v>1</v>
      </c>
      <c r="L2354">
        <v>736.08</v>
      </c>
      <c r="M2354">
        <v>0.05</v>
      </c>
      <c r="N2354">
        <v>699.28</v>
      </c>
      <c r="O2354">
        <v>347.45</v>
      </c>
      <c r="P2354">
        <v>351.83</v>
      </c>
      <c r="Q2354" t="s">
        <v>67</v>
      </c>
      <c r="R2354">
        <v>0.5031317927010639</v>
      </c>
      <c r="S2354">
        <v>2025</v>
      </c>
      <c r="T2354" t="s">
        <v>1911</v>
      </c>
      <c r="U2354">
        <v>11</v>
      </c>
      <c r="V2354" t="s">
        <v>1803</v>
      </c>
    </row>
    <row r="2355" spans="1:22" x14ac:dyDescent="0.3">
      <c r="A2355" t="s">
        <v>3381</v>
      </c>
      <c r="B2355" s="1">
        <v>45979</v>
      </c>
      <c r="C2355" t="s">
        <v>908</v>
      </c>
      <c r="D2355" t="s">
        <v>354</v>
      </c>
      <c r="E2355" t="s">
        <v>61</v>
      </c>
      <c r="F2355" t="s">
        <v>78</v>
      </c>
      <c r="G2355" t="s">
        <v>79</v>
      </c>
      <c r="H2355" t="s">
        <v>28</v>
      </c>
      <c r="I2355" t="s">
        <v>91</v>
      </c>
      <c r="J2355" t="s">
        <v>92</v>
      </c>
      <c r="K2355">
        <v>4</v>
      </c>
      <c r="L2355">
        <v>2913.87</v>
      </c>
      <c r="M2355">
        <v>0.1</v>
      </c>
      <c r="N2355">
        <v>10489.93</v>
      </c>
      <c r="O2355">
        <v>6269.15</v>
      </c>
      <c r="P2355">
        <v>4220.78</v>
      </c>
      <c r="Q2355" t="s">
        <v>46</v>
      </c>
      <c r="R2355">
        <v>0.40236493475170948</v>
      </c>
      <c r="S2355">
        <v>2025</v>
      </c>
      <c r="T2355" t="s">
        <v>1911</v>
      </c>
      <c r="U2355">
        <v>11</v>
      </c>
      <c r="V2355" t="s">
        <v>1803</v>
      </c>
    </row>
    <row r="2356" spans="1:22" x14ac:dyDescent="0.3">
      <c r="A2356" t="s">
        <v>3382</v>
      </c>
      <c r="B2356" s="1">
        <v>45979</v>
      </c>
      <c r="C2356" t="s">
        <v>1306</v>
      </c>
      <c r="D2356" t="s">
        <v>430</v>
      </c>
      <c r="E2356" t="s">
        <v>120</v>
      </c>
      <c r="F2356" t="s">
        <v>121</v>
      </c>
      <c r="G2356" t="s">
        <v>130</v>
      </c>
      <c r="H2356" t="s">
        <v>43</v>
      </c>
      <c r="I2356" t="s">
        <v>44</v>
      </c>
      <c r="J2356" t="s">
        <v>45</v>
      </c>
      <c r="K2356">
        <v>1</v>
      </c>
      <c r="L2356">
        <v>236.06</v>
      </c>
      <c r="M2356">
        <v>0</v>
      </c>
      <c r="N2356">
        <v>236.06</v>
      </c>
      <c r="O2356">
        <v>92</v>
      </c>
      <c r="P2356">
        <v>144.06</v>
      </c>
      <c r="Q2356" t="s">
        <v>53</v>
      </c>
      <c r="R2356">
        <v>0.61026857578581717</v>
      </c>
      <c r="S2356">
        <v>2025</v>
      </c>
      <c r="T2356" t="s">
        <v>1911</v>
      </c>
      <c r="U2356">
        <v>11</v>
      </c>
      <c r="V2356" t="s">
        <v>1803</v>
      </c>
    </row>
    <row r="2357" spans="1:22" x14ac:dyDescent="0.3">
      <c r="A2357" t="s">
        <v>3383</v>
      </c>
      <c r="B2357" s="1">
        <v>45979</v>
      </c>
      <c r="C2357" t="s">
        <v>280</v>
      </c>
      <c r="D2357" t="s">
        <v>1798</v>
      </c>
      <c r="E2357" t="s">
        <v>61</v>
      </c>
      <c r="F2357" t="s">
        <v>78</v>
      </c>
      <c r="G2357" t="s">
        <v>104</v>
      </c>
      <c r="H2357" t="s">
        <v>64</v>
      </c>
      <c r="I2357" t="s">
        <v>65</v>
      </c>
      <c r="J2357" t="s">
        <v>232</v>
      </c>
      <c r="K2357">
        <v>2</v>
      </c>
      <c r="L2357">
        <v>4051.01</v>
      </c>
      <c r="M2357">
        <v>0</v>
      </c>
      <c r="N2357">
        <v>8102.02</v>
      </c>
      <c r="O2357">
        <v>5202.63</v>
      </c>
      <c r="P2357">
        <v>2899.39</v>
      </c>
      <c r="Q2357" t="s">
        <v>53</v>
      </c>
      <c r="R2357">
        <v>0.35786013858272381</v>
      </c>
      <c r="S2357">
        <v>2025</v>
      </c>
      <c r="T2357" t="s">
        <v>1911</v>
      </c>
      <c r="U2357">
        <v>11</v>
      </c>
      <c r="V2357" t="s">
        <v>1803</v>
      </c>
    </row>
    <row r="2358" spans="1:22" x14ac:dyDescent="0.3">
      <c r="A2358" t="s">
        <v>3384</v>
      </c>
      <c r="B2358" s="1">
        <v>45979</v>
      </c>
      <c r="C2358" t="s">
        <v>661</v>
      </c>
      <c r="D2358" t="s">
        <v>1525</v>
      </c>
      <c r="E2358" t="s">
        <v>61</v>
      </c>
      <c r="F2358" t="s">
        <v>71</v>
      </c>
      <c r="G2358" t="s">
        <v>100</v>
      </c>
      <c r="H2358" t="s">
        <v>28</v>
      </c>
      <c r="I2358" t="s">
        <v>29</v>
      </c>
      <c r="J2358" t="s">
        <v>57</v>
      </c>
      <c r="K2358">
        <v>1</v>
      </c>
      <c r="L2358">
        <v>15863.54</v>
      </c>
      <c r="M2358">
        <v>0.15</v>
      </c>
      <c r="N2358">
        <v>13484.01</v>
      </c>
      <c r="O2358">
        <v>11890.12</v>
      </c>
      <c r="P2358">
        <v>1593.89</v>
      </c>
      <c r="Q2358" t="s">
        <v>31</v>
      </c>
      <c r="R2358">
        <v>0.1182059342880938</v>
      </c>
      <c r="S2358">
        <v>2025</v>
      </c>
      <c r="T2358" t="s">
        <v>1911</v>
      </c>
      <c r="U2358">
        <v>11</v>
      </c>
      <c r="V2358" t="s">
        <v>1803</v>
      </c>
    </row>
    <row r="2359" spans="1:22" x14ac:dyDescent="0.3">
      <c r="A2359" t="s">
        <v>3385</v>
      </c>
      <c r="B2359" s="1">
        <v>45980</v>
      </c>
      <c r="C2359" t="s">
        <v>1104</v>
      </c>
      <c r="D2359" t="s">
        <v>415</v>
      </c>
      <c r="E2359" t="s">
        <v>61</v>
      </c>
      <c r="F2359" t="s">
        <v>62</v>
      </c>
      <c r="G2359" t="s">
        <v>134</v>
      </c>
      <c r="H2359" t="s">
        <v>84</v>
      </c>
      <c r="I2359" t="s">
        <v>138</v>
      </c>
      <c r="J2359" t="s">
        <v>139</v>
      </c>
      <c r="K2359">
        <v>1</v>
      </c>
      <c r="L2359">
        <v>13738.53</v>
      </c>
      <c r="M2359">
        <v>0</v>
      </c>
      <c r="N2359">
        <v>13738.53</v>
      </c>
      <c r="O2359">
        <v>9652.64</v>
      </c>
      <c r="P2359">
        <v>4085.89</v>
      </c>
      <c r="Q2359" t="s">
        <v>113</v>
      </c>
      <c r="R2359">
        <v>0.29740372514381092</v>
      </c>
      <c r="S2359">
        <v>2025</v>
      </c>
      <c r="T2359" t="s">
        <v>1911</v>
      </c>
      <c r="U2359">
        <v>11</v>
      </c>
      <c r="V2359" t="s">
        <v>1803</v>
      </c>
    </row>
    <row r="2360" spans="1:22" x14ac:dyDescent="0.3">
      <c r="A2360" t="s">
        <v>3386</v>
      </c>
      <c r="B2360" s="1">
        <v>45980</v>
      </c>
      <c r="C2360" t="s">
        <v>1351</v>
      </c>
      <c r="D2360" t="s">
        <v>1946</v>
      </c>
      <c r="E2360" t="s">
        <v>61</v>
      </c>
      <c r="F2360" t="s">
        <v>78</v>
      </c>
      <c r="G2360" t="s">
        <v>216</v>
      </c>
      <c r="H2360" t="s">
        <v>43</v>
      </c>
      <c r="I2360" t="s">
        <v>44</v>
      </c>
      <c r="J2360" t="s">
        <v>248</v>
      </c>
      <c r="K2360">
        <v>1</v>
      </c>
      <c r="L2360">
        <v>284.66000000000003</v>
      </c>
      <c r="M2360">
        <v>0.15</v>
      </c>
      <c r="N2360">
        <v>241.96</v>
      </c>
      <c r="O2360">
        <v>117.31</v>
      </c>
      <c r="P2360">
        <v>124.65</v>
      </c>
      <c r="Q2360" t="s">
        <v>53</v>
      </c>
      <c r="R2360">
        <v>0.51516779632997189</v>
      </c>
      <c r="S2360">
        <v>2025</v>
      </c>
      <c r="T2360" t="s">
        <v>1911</v>
      </c>
      <c r="U2360">
        <v>11</v>
      </c>
      <c r="V2360" t="s">
        <v>1803</v>
      </c>
    </row>
    <row r="2361" spans="1:22" x14ac:dyDescent="0.3">
      <c r="A2361" t="s">
        <v>3387</v>
      </c>
      <c r="B2361" s="1">
        <v>45981</v>
      </c>
      <c r="C2361" t="s">
        <v>1839</v>
      </c>
      <c r="D2361" t="s">
        <v>477</v>
      </c>
      <c r="E2361" t="s">
        <v>61</v>
      </c>
      <c r="F2361" t="s">
        <v>78</v>
      </c>
      <c r="G2361" t="s">
        <v>83</v>
      </c>
      <c r="H2361" t="s">
        <v>43</v>
      </c>
      <c r="I2361" t="s">
        <v>44</v>
      </c>
      <c r="J2361" t="s">
        <v>45</v>
      </c>
      <c r="K2361">
        <v>2</v>
      </c>
      <c r="L2361">
        <v>243.39</v>
      </c>
      <c r="M2361">
        <v>0.1</v>
      </c>
      <c r="N2361">
        <v>438.1</v>
      </c>
      <c r="O2361">
        <v>178.67</v>
      </c>
      <c r="P2361">
        <v>259.43</v>
      </c>
      <c r="Q2361" t="s">
        <v>31</v>
      </c>
      <c r="R2361">
        <v>0.59217073727459479</v>
      </c>
      <c r="S2361">
        <v>2025</v>
      </c>
      <c r="T2361" t="s">
        <v>1911</v>
      </c>
      <c r="U2361">
        <v>11</v>
      </c>
      <c r="V2361" t="s">
        <v>1803</v>
      </c>
    </row>
    <row r="2362" spans="1:22" x14ac:dyDescent="0.3">
      <c r="A2362" t="s">
        <v>3388</v>
      </c>
      <c r="B2362" s="1">
        <v>45981</v>
      </c>
      <c r="C2362" t="s">
        <v>826</v>
      </c>
      <c r="D2362" t="s">
        <v>49</v>
      </c>
      <c r="E2362" t="s">
        <v>61</v>
      </c>
      <c r="F2362" t="s">
        <v>62</v>
      </c>
      <c r="G2362" t="s">
        <v>134</v>
      </c>
      <c r="H2362" t="s">
        <v>43</v>
      </c>
      <c r="I2362" t="s">
        <v>44</v>
      </c>
      <c r="J2362" t="s">
        <v>45</v>
      </c>
      <c r="K2362">
        <v>4</v>
      </c>
      <c r="L2362">
        <v>236.85</v>
      </c>
      <c r="M2362">
        <v>0.05</v>
      </c>
      <c r="N2362">
        <v>900.03</v>
      </c>
      <c r="O2362">
        <v>353.68</v>
      </c>
      <c r="P2362">
        <v>546.35</v>
      </c>
      <c r="Q2362" t="s">
        <v>67</v>
      </c>
      <c r="R2362">
        <v>0.60703532104485414</v>
      </c>
      <c r="S2362">
        <v>2025</v>
      </c>
      <c r="T2362" t="s">
        <v>1911</v>
      </c>
      <c r="U2362">
        <v>11</v>
      </c>
      <c r="V2362" t="s">
        <v>1803</v>
      </c>
    </row>
    <row r="2363" spans="1:22" x14ac:dyDescent="0.3">
      <c r="A2363" t="s">
        <v>3389</v>
      </c>
      <c r="B2363" s="1">
        <v>45982</v>
      </c>
      <c r="C2363" t="s">
        <v>1209</v>
      </c>
      <c r="D2363" t="s">
        <v>151</v>
      </c>
      <c r="E2363" t="s">
        <v>61</v>
      </c>
      <c r="F2363" t="s">
        <v>71</v>
      </c>
      <c r="G2363" t="s">
        <v>72</v>
      </c>
      <c r="H2363" t="s">
        <v>28</v>
      </c>
      <c r="I2363" t="s">
        <v>73</v>
      </c>
      <c r="J2363" t="s">
        <v>80</v>
      </c>
      <c r="K2363">
        <v>2</v>
      </c>
      <c r="L2363">
        <v>790.64</v>
      </c>
      <c r="M2363">
        <v>0.05</v>
      </c>
      <c r="N2363">
        <v>1502.22</v>
      </c>
      <c r="O2363">
        <v>974.14</v>
      </c>
      <c r="P2363">
        <v>528.08000000000004</v>
      </c>
      <c r="Q2363" t="s">
        <v>53</v>
      </c>
      <c r="R2363">
        <v>0.35153306439802429</v>
      </c>
      <c r="S2363">
        <v>2025</v>
      </c>
      <c r="T2363" t="s">
        <v>1911</v>
      </c>
      <c r="U2363">
        <v>11</v>
      </c>
      <c r="V2363" t="s">
        <v>1803</v>
      </c>
    </row>
    <row r="2364" spans="1:22" x14ac:dyDescent="0.3">
      <c r="A2364" t="s">
        <v>3390</v>
      </c>
      <c r="B2364" s="1">
        <v>45982</v>
      </c>
      <c r="C2364" t="s">
        <v>612</v>
      </c>
      <c r="D2364" t="s">
        <v>444</v>
      </c>
      <c r="E2364" t="s">
        <v>25</v>
      </c>
      <c r="F2364" t="s">
        <v>26</v>
      </c>
      <c r="G2364" t="s">
        <v>260</v>
      </c>
      <c r="H2364" t="s">
        <v>43</v>
      </c>
      <c r="I2364" t="s">
        <v>51</v>
      </c>
      <c r="J2364" t="s">
        <v>52</v>
      </c>
      <c r="K2364">
        <v>2</v>
      </c>
      <c r="L2364">
        <v>665.31</v>
      </c>
      <c r="M2364">
        <v>0.15</v>
      </c>
      <c r="N2364">
        <v>1131.03</v>
      </c>
      <c r="O2364">
        <v>602.52</v>
      </c>
      <c r="P2364">
        <v>528.51</v>
      </c>
      <c r="Q2364" t="s">
        <v>113</v>
      </c>
      <c r="R2364">
        <v>0.46728203495928489</v>
      </c>
      <c r="S2364">
        <v>2025</v>
      </c>
      <c r="T2364" t="s">
        <v>1911</v>
      </c>
      <c r="U2364">
        <v>11</v>
      </c>
      <c r="V2364" t="s">
        <v>1803</v>
      </c>
    </row>
    <row r="2365" spans="1:22" x14ac:dyDescent="0.3">
      <c r="A2365" t="s">
        <v>3391</v>
      </c>
      <c r="B2365" s="1">
        <v>45982</v>
      </c>
      <c r="C2365" t="s">
        <v>1499</v>
      </c>
      <c r="D2365" t="s">
        <v>735</v>
      </c>
      <c r="E2365" t="s">
        <v>61</v>
      </c>
      <c r="F2365" t="s">
        <v>78</v>
      </c>
      <c r="G2365" t="s">
        <v>216</v>
      </c>
      <c r="H2365" t="s">
        <v>64</v>
      </c>
      <c r="I2365" t="s">
        <v>65</v>
      </c>
      <c r="J2365" t="s">
        <v>232</v>
      </c>
      <c r="K2365">
        <v>2</v>
      </c>
      <c r="L2365">
        <v>4035.12</v>
      </c>
      <c r="M2365">
        <v>0.1</v>
      </c>
      <c r="N2365">
        <v>7263.22</v>
      </c>
      <c r="O2365">
        <v>5084.95</v>
      </c>
      <c r="P2365">
        <v>2178.27</v>
      </c>
      <c r="Q2365" t="s">
        <v>46</v>
      </c>
      <c r="R2365">
        <v>0.29990417473241893</v>
      </c>
      <c r="S2365">
        <v>2025</v>
      </c>
      <c r="T2365" t="s">
        <v>1911</v>
      </c>
      <c r="U2365">
        <v>11</v>
      </c>
      <c r="V2365" t="s">
        <v>1803</v>
      </c>
    </row>
    <row r="2366" spans="1:22" x14ac:dyDescent="0.3">
      <c r="A2366" t="s">
        <v>3392</v>
      </c>
      <c r="B2366" s="1">
        <v>45982</v>
      </c>
      <c r="C2366" t="s">
        <v>948</v>
      </c>
      <c r="D2366" t="s">
        <v>1509</v>
      </c>
      <c r="E2366" t="s">
        <v>61</v>
      </c>
      <c r="F2366" t="s">
        <v>62</v>
      </c>
      <c r="G2366" t="s">
        <v>63</v>
      </c>
      <c r="H2366" t="s">
        <v>84</v>
      </c>
      <c r="I2366" t="s">
        <v>85</v>
      </c>
      <c r="J2366" t="s">
        <v>145</v>
      </c>
      <c r="K2366">
        <v>1</v>
      </c>
      <c r="L2366">
        <v>3123.03</v>
      </c>
      <c r="M2366">
        <v>0.15</v>
      </c>
      <c r="N2366">
        <v>2654.58</v>
      </c>
      <c r="O2366">
        <v>1757.21</v>
      </c>
      <c r="P2366">
        <v>897.37</v>
      </c>
      <c r="Q2366" t="s">
        <v>31</v>
      </c>
      <c r="R2366">
        <v>0.33804594323772502</v>
      </c>
      <c r="S2366">
        <v>2025</v>
      </c>
      <c r="T2366" t="s">
        <v>1911</v>
      </c>
      <c r="U2366">
        <v>11</v>
      </c>
      <c r="V2366" t="s">
        <v>1803</v>
      </c>
    </row>
    <row r="2367" spans="1:22" x14ac:dyDescent="0.3">
      <c r="A2367" t="s">
        <v>3393</v>
      </c>
      <c r="B2367" s="1">
        <v>45983</v>
      </c>
      <c r="C2367" t="s">
        <v>1265</v>
      </c>
      <c r="D2367" t="s">
        <v>116</v>
      </c>
      <c r="E2367" t="s">
        <v>120</v>
      </c>
      <c r="F2367" t="s">
        <v>121</v>
      </c>
      <c r="G2367" t="s">
        <v>224</v>
      </c>
      <c r="H2367" t="s">
        <v>28</v>
      </c>
      <c r="I2367" t="s">
        <v>91</v>
      </c>
      <c r="J2367" t="s">
        <v>126</v>
      </c>
      <c r="K2367">
        <v>1</v>
      </c>
      <c r="L2367">
        <v>1897.39</v>
      </c>
      <c r="M2367">
        <v>0.15</v>
      </c>
      <c r="N2367">
        <v>1612.78</v>
      </c>
      <c r="O2367">
        <v>1086.1099999999999</v>
      </c>
      <c r="P2367">
        <v>526.66999999999996</v>
      </c>
      <c r="Q2367" t="s">
        <v>31</v>
      </c>
      <c r="R2367">
        <v>0.32656034921067972</v>
      </c>
      <c r="S2367">
        <v>2025</v>
      </c>
      <c r="T2367" t="s">
        <v>1911</v>
      </c>
      <c r="U2367">
        <v>11</v>
      </c>
      <c r="V2367" t="s">
        <v>1803</v>
      </c>
    </row>
    <row r="2368" spans="1:22" x14ac:dyDescent="0.3">
      <c r="A2368" t="s">
        <v>3394</v>
      </c>
      <c r="B2368" s="1">
        <v>45983</v>
      </c>
      <c r="C2368" t="s">
        <v>255</v>
      </c>
      <c r="D2368" t="s">
        <v>901</v>
      </c>
      <c r="E2368" t="s">
        <v>61</v>
      </c>
      <c r="F2368" t="s">
        <v>78</v>
      </c>
      <c r="G2368" t="s">
        <v>79</v>
      </c>
      <c r="H2368" t="s">
        <v>64</v>
      </c>
      <c r="I2368" t="s">
        <v>65</v>
      </c>
      <c r="J2368" t="s">
        <v>232</v>
      </c>
      <c r="K2368">
        <v>2</v>
      </c>
      <c r="L2368">
        <v>3985.32</v>
      </c>
      <c r="M2368">
        <v>0.2</v>
      </c>
      <c r="N2368">
        <v>6376.51</v>
      </c>
      <c r="O2368">
        <v>4854.21</v>
      </c>
      <c r="P2368">
        <v>1522.3</v>
      </c>
      <c r="Q2368" t="s">
        <v>31</v>
      </c>
      <c r="R2368">
        <v>0.23873560929097579</v>
      </c>
      <c r="S2368">
        <v>2025</v>
      </c>
      <c r="T2368" t="s">
        <v>1911</v>
      </c>
      <c r="U2368">
        <v>11</v>
      </c>
      <c r="V2368" t="s">
        <v>1803</v>
      </c>
    </row>
    <row r="2369" spans="1:22" x14ac:dyDescent="0.3">
      <c r="A2369" t="s">
        <v>3395</v>
      </c>
      <c r="B2369" s="1">
        <v>45984</v>
      </c>
      <c r="C2369" t="s">
        <v>297</v>
      </c>
      <c r="D2369" t="s">
        <v>731</v>
      </c>
      <c r="E2369" t="s">
        <v>61</v>
      </c>
      <c r="F2369" t="s">
        <v>71</v>
      </c>
      <c r="G2369" t="s">
        <v>72</v>
      </c>
      <c r="H2369" t="s">
        <v>84</v>
      </c>
      <c r="I2369" t="s">
        <v>85</v>
      </c>
      <c r="J2369" t="s">
        <v>145</v>
      </c>
      <c r="K2369">
        <v>1</v>
      </c>
      <c r="L2369">
        <v>3323.73</v>
      </c>
      <c r="M2369">
        <v>0.1</v>
      </c>
      <c r="N2369">
        <v>2991.36</v>
      </c>
      <c r="O2369">
        <v>1915.13</v>
      </c>
      <c r="P2369">
        <v>1076.23</v>
      </c>
      <c r="Q2369" t="s">
        <v>113</v>
      </c>
      <c r="R2369">
        <v>0.35977949828840389</v>
      </c>
      <c r="S2369">
        <v>2025</v>
      </c>
      <c r="T2369" t="s">
        <v>1911</v>
      </c>
      <c r="U2369">
        <v>11</v>
      </c>
      <c r="V2369" t="s">
        <v>1803</v>
      </c>
    </row>
    <row r="2370" spans="1:22" x14ac:dyDescent="0.3">
      <c r="A2370" t="s">
        <v>3396</v>
      </c>
      <c r="B2370" s="1">
        <v>45985</v>
      </c>
      <c r="C2370" t="s">
        <v>39</v>
      </c>
      <c r="D2370" t="s">
        <v>580</v>
      </c>
      <c r="E2370" t="s">
        <v>41</v>
      </c>
      <c r="F2370" t="s">
        <v>42</v>
      </c>
      <c r="G2370" t="s">
        <v>42</v>
      </c>
      <c r="H2370" t="s">
        <v>43</v>
      </c>
      <c r="I2370" t="s">
        <v>51</v>
      </c>
      <c r="J2370" t="s">
        <v>52</v>
      </c>
      <c r="K2370">
        <v>6</v>
      </c>
      <c r="L2370">
        <v>739.78</v>
      </c>
      <c r="M2370">
        <v>0.05</v>
      </c>
      <c r="N2370">
        <v>4216.75</v>
      </c>
      <c r="O2370">
        <v>2065.88</v>
      </c>
      <c r="P2370">
        <v>2150.87</v>
      </c>
      <c r="Q2370" t="s">
        <v>46</v>
      </c>
      <c r="R2370">
        <v>0.51007766644927965</v>
      </c>
      <c r="S2370">
        <v>2025</v>
      </c>
      <c r="T2370" t="s">
        <v>1911</v>
      </c>
      <c r="U2370">
        <v>11</v>
      </c>
      <c r="V2370" t="s">
        <v>1803</v>
      </c>
    </row>
    <row r="2371" spans="1:22" x14ac:dyDescent="0.3">
      <c r="A2371" t="s">
        <v>3397</v>
      </c>
      <c r="B2371" s="1">
        <v>45985</v>
      </c>
      <c r="C2371" t="s">
        <v>2307</v>
      </c>
      <c r="D2371" t="s">
        <v>200</v>
      </c>
      <c r="E2371" t="s">
        <v>41</v>
      </c>
      <c r="F2371" t="s">
        <v>42</v>
      </c>
      <c r="G2371" t="s">
        <v>42</v>
      </c>
      <c r="H2371" t="s">
        <v>84</v>
      </c>
      <c r="I2371" t="s">
        <v>138</v>
      </c>
      <c r="J2371" t="s">
        <v>139</v>
      </c>
      <c r="K2371">
        <v>1</v>
      </c>
      <c r="L2371">
        <v>12715.96</v>
      </c>
      <c r="M2371">
        <v>0.1</v>
      </c>
      <c r="N2371">
        <v>11444.36</v>
      </c>
      <c r="O2371">
        <v>9391.65</v>
      </c>
      <c r="P2371">
        <v>2052.71</v>
      </c>
      <c r="Q2371" t="s">
        <v>46</v>
      </c>
      <c r="R2371">
        <v>0.1793643331737205</v>
      </c>
      <c r="S2371">
        <v>2025</v>
      </c>
      <c r="T2371" t="s">
        <v>1911</v>
      </c>
      <c r="U2371">
        <v>11</v>
      </c>
      <c r="V2371" t="s">
        <v>1803</v>
      </c>
    </row>
    <row r="2372" spans="1:22" x14ac:dyDescent="0.3">
      <c r="A2372" t="s">
        <v>3398</v>
      </c>
      <c r="B2372" s="1">
        <v>45985</v>
      </c>
      <c r="C2372" t="s">
        <v>2439</v>
      </c>
      <c r="D2372" t="s">
        <v>326</v>
      </c>
      <c r="E2372" t="s">
        <v>120</v>
      </c>
      <c r="F2372" t="s">
        <v>121</v>
      </c>
      <c r="G2372" t="s">
        <v>130</v>
      </c>
      <c r="H2372" t="s">
        <v>43</v>
      </c>
      <c r="I2372" t="s">
        <v>44</v>
      </c>
      <c r="J2372" t="s">
        <v>248</v>
      </c>
      <c r="K2372">
        <v>1</v>
      </c>
      <c r="L2372">
        <v>283.54000000000002</v>
      </c>
      <c r="M2372">
        <v>0</v>
      </c>
      <c r="N2372">
        <v>283.54000000000002</v>
      </c>
      <c r="O2372">
        <v>121.26</v>
      </c>
      <c r="P2372">
        <v>162.28</v>
      </c>
      <c r="Q2372" t="s">
        <v>31</v>
      </c>
      <c r="R2372">
        <v>0.57233547294914289</v>
      </c>
      <c r="S2372">
        <v>2025</v>
      </c>
      <c r="T2372" t="s">
        <v>1911</v>
      </c>
      <c r="U2372">
        <v>11</v>
      </c>
      <c r="V2372" t="s">
        <v>1803</v>
      </c>
    </row>
    <row r="2373" spans="1:22" x14ac:dyDescent="0.3">
      <c r="A2373" t="s">
        <v>3399</v>
      </c>
      <c r="B2373" s="1">
        <v>45985</v>
      </c>
      <c r="C2373" t="s">
        <v>917</v>
      </c>
      <c r="D2373" t="s">
        <v>1307</v>
      </c>
      <c r="E2373" t="s">
        <v>25</v>
      </c>
      <c r="F2373" t="s">
        <v>26</v>
      </c>
      <c r="G2373" t="s">
        <v>260</v>
      </c>
      <c r="H2373" t="s">
        <v>43</v>
      </c>
      <c r="I2373" t="s">
        <v>51</v>
      </c>
      <c r="J2373" t="s">
        <v>96</v>
      </c>
      <c r="K2373">
        <v>6</v>
      </c>
      <c r="L2373">
        <v>477.02</v>
      </c>
      <c r="M2373">
        <v>0.15</v>
      </c>
      <c r="N2373">
        <v>2432.8000000000002</v>
      </c>
      <c r="O2373">
        <v>1326.94</v>
      </c>
      <c r="P2373">
        <v>1105.8599999999999</v>
      </c>
      <c r="Q2373" t="s">
        <v>31</v>
      </c>
      <c r="R2373">
        <v>0.4545626438671489</v>
      </c>
      <c r="S2373">
        <v>2025</v>
      </c>
      <c r="T2373" t="s">
        <v>1911</v>
      </c>
      <c r="U2373">
        <v>11</v>
      </c>
      <c r="V2373" t="s">
        <v>1803</v>
      </c>
    </row>
    <row r="2374" spans="1:22" x14ac:dyDescent="0.3">
      <c r="A2374" t="s">
        <v>3400</v>
      </c>
      <c r="B2374" s="1">
        <v>45985</v>
      </c>
      <c r="C2374" t="s">
        <v>746</v>
      </c>
      <c r="D2374" t="s">
        <v>1307</v>
      </c>
      <c r="E2374" t="s">
        <v>61</v>
      </c>
      <c r="F2374" t="s">
        <v>71</v>
      </c>
      <c r="G2374" t="s">
        <v>72</v>
      </c>
      <c r="H2374" t="s">
        <v>28</v>
      </c>
      <c r="I2374" t="s">
        <v>91</v>
      </c>
      <c r="J2374" t="s">
        <v>126</v>
      </c>
      <c r="K2374">
        <v>2</v>
      </c>
      <c r="L2374">
        <v>2053.92</v>
      </c>
      <c r="M2374">
        <v>0.15</v>
      </c>
      <c r="N2374">
        <v>3491.66</v>
      </c>
      <c r="O2374">
        <v>2326.34</v>
      </c>
      <c r="P2374">
        <v>1165.32</v>
      </c>
      <c r="Q2374" t="s">
        <v>46</v>
      </c>
      <c r="R2374">
        <v>0.3337438353104254</v>
      </c>
      <c r="S2374">
        <v>2025</v>
      </c>
      <c r="T2374" t="s">
        <v>1911</v>
      </c>
      <c r="U2374">
        <v>11</v>
      </c>
      <c r="V2374" t="s">
        <v>1803</v>
      </c>
    </row>
    <row r="2375" spans="1:22" x14ac:dyDescent="0.3">
      <c r="A2375" t="s">
        <v>3401</v>
      </c>
      <c r="B2375" s="1">
        <v>45986</v>
      </c>
      <c r="C2375" t="s">
        <v>574</v>
      </c>
      <c r="D2375" t="s">
        <v>701</v>
      </c>
      <c r="E2375" t="s">
        <v>41</v>
      </c>
      <c r="F2375" t="s">
        <v>42</v>
      </c>
      <c r="G2375" t="s">
        <v>42</v>
      </c>
      <c r="H2375" t="s">
        <v>43</v>
      </c>
      <c r="I2375" t="s">
        <v>51</v>
      </c>
      <c r="J2375" t="s">
        <v>96</v>
      </c>
      <c r="K2375">
        <v>2</v>
      </c>
      <c r="L2375">
        <v>482.83</v>
      </c>
      <c r="M2375">
        <v>0.1</v>
      </c>
      <c r="N2375">
        <v>869.09</v>
      </c>
      <c r="O2375">
        <v>433.1</v>
      </c>
      <c r="P2375">
        <v>435.99</v>
      </c>
      <c r="Q2375" t="s">
        <v>53</v>
      </c>
      <c r="R2375">
        <v>0.50166265864294834</v>
      </c>
      <c r="S2375">
        <v>2025</v>
      </c>
      <c r="T2375" t="s">
        <v>1911</v>
      </c>
      <c r="U2375">
        <v>11</v>
      </c>
      <c r="V2375" t="s">
        <v>1803</v>
      </c>
    </row>
    <row r="2376" spans="1:22" x14ac:dyDescent="0.3">
      <c r="A2376" t="s">
        <v>3402</v>
      </c>
      <c r="B2376" s="1">
        <v>45986</v>
      </c>
      <c r="C2376" t="s">
        <v>939</v>
      </c>
      <c r="D2376" t="s">
        <v>334</v>
      </c>
      <c r="E2376" t="s">
        <v>25</v>
      </c>
      <c r="F2376" t="s">
        <v>26</v>
      </c>
      <c r="G2376" t="s">
        <v>27</v>
      </c>
      <c r="H2376" t="s">
        <v>28</v>
      </c>
      <c r="I2376" t="s">
        <v>29</v>
      </c>
      <c r="J2376" t="s">
        <v>57</v>
      </c>
      <c r="K2376">
        <v>6</v>
      </c>
      <c r="L2376">
        <v>15717.58</v>
      </c>
      <c r="M2376">
        <v>0</v>
      </c>
      <c r="N2376">
        <v>94305.48</v>
      </c>
      <c r="O2376">
        <v>73192.320000000007</v>
      </c>
      <c r="P2376">
        <v>21113.16</v>
      </c>
      <c r="Q2376" t="s">
        <v>31</v>
      </c>
      <c r="R2376">
        <v>0.22388052104713321</v>
      </c>
      <c r="S2376">
        <v>2025</v>
      </c>
      <c r="T2376" t="s">
        <v>1911</v>
      </c>
      <c r="U2376">
        <v>11</v>
      </c>
      <c r="V2376" t="s">
        <v>1803</v>
      </c>
    </row>
    <row r="2377" spans="1:22" x14ac:dyDescent="0.3">
      <c r="A2377" t="s">
        <v>3403</v>
      </c>
      <c r="B2377" s="1">
        <v>45986</v>
      </c>
      <c r="C2377" t="s">
        <v>132</v>
      </c>
      <c r="D2377" t="s">
        <v>580</v>
      </c>
      <c r="E2377" t="s">
        <v>25</v>
      </c>
      <c r="F2377" t="s">
        <v>26</v>
      </c>
      <c r="G2377" t="s">
        <v>260</v>
      </c>
      <c r="H2377" t="s">
        <v>43</v>
      </c>
      <c r="I2377" t="s">
        <v>51</v>
      </c>
      <c r="J2377" t="s">
        <v>96</v>
      </c>
      <c r="K2377">
        <v>3</v>
      </c>
      <c r="L2377">
        <v>469.32</v>
      </c>
      <c r="M2377">
        <v>0.05</v>
      </c>
      <c r="N2377">
        <v>1337.56</v>
      </c>
      <c r="O2377">
        <v>630.87</v>
      </c>
      <c r="P2377">
        <v>706.69</v>
      </c>
      <c r="Q2377" t="s">
        <v>53</v>
      </c>
      <c r="R2377">
        <v>0.52834265378749368</v>
      </c>
      <c r="S2377">
        <v>2025</v>
      </c>
      <c r="T2377" t="s">
        <v>1911</v>
      </c>
      <c r="U2377">
        <v>11</v>
      </c>
      <c r="V2377" t="s">
        <v>1803</v>
      </c>
    </row>
    <row r="2378" spans="1:22" x14ac:dyDescent="0.3">
      <c r="A2378" t="s">
        <v>3404</v>
      </c>
      <c r="B2378" s="1">
        <v>45988</v>
      </c>
      <c r="C2378" t="s">
        <v>115</v>
      </c>
      <c r="D2378" t="s">
        <v>599</v>
      </c>
      <c r="E2378" t="s">
        <v>25</v>
      </c>
      <c r="F2378" t="s">
        <v>26</v>
      </c>
      <c r="G2378" t="s">
        <v>260</v>
      </c>
      <c r="H2378" t="s">
        <v>84</v>
      </c>
      <c r="I2378" t="s">
        <v>85</v>
      </c>
      <c r="J2378" t="s">
        <v>145</v>
      </c>
      <c r="K2378">
        <v>2</v>
      </c>
      <c r="L2378">
        <v>3364.93</v>
      </c>
      <c r="M2378">
        <v>0</v>
      </c>
      <c r="N2378">
        <v>6729.86</v>
      </c>
      <c r="O2378">
        <v>3685.5</v>
      </c>
      <c r="P2378">
        <v>3044.36</v>
      </c>
      <c r="Q2378" t="s">
        <v>53</v>
      </c>
      <c r="R2378">
        <v>0.45236602247297869</v>
      </c>
      <c r="S2378">
        <v>2025</v>
      </c>
      <c r="T2378" t="s">
        <v>1911</v>
      </c>
      <c r="U2378">
        <v>11</v>
      </c>
      <c r="V2378" t="s">
        <v>1803</v>
      </c>
    </row>
    <row r="2379" spans="1:22" x14ac:dyDescent="0.3">
      <c r="A2379" t="s">
        <v>3405</v>
      </c>
      <c r="B2379" s="1">
        <v>45988</v>
      </c>
      <c r="C2379" t="s">
        <v>2939</v>
      </c>
      <c r="D2379" t="s">
        <v>2550</v>
      </c>
      <c r="E2379" t="s">
        <v>41</v>
      </c>
      <c r="F2379" t="s">
        <v>42</v>
      </c>
      <c r="G2379" t="s">
        <v>42</v>
      </c>
      <c r="H2379" t="s">
        <v>64</v>
      </c>
      <c r="I2379" t="s">
        <v>65</v>
      </c>
      <c r="J2379" t="s">
        <v>66</v>
      </c>
      <c r="K2379">
        <v>2</v>
      </c>
      <c r="L2379">
        <v>5109.28</v>
      </c>
      <c r="M2379">
        <v>0.15</v>
      </c>
      <c r="N2379">
        <v>8685.7800000000007</v>
      </c>
      <c r="O2379">
        <v>6304.71</v>
      </c>
      <c r="P2379">
        <v>2381.0700000000002</v>
      </c>
      <c r="Q2379" t="s">
        <v>31</v>
      </c>
      <c r="R2379">
        <v>0.27413427464200107</v>
      </c>
      <c r="S2379">
        <v>2025</v>
      </c>
      <c r="T2379" t="s">
        <v>1911</v>
      </c>
      <c r="U2379">
        <v>11</v>
      </c>
      <c r="V2379" t="s">
        <v>1803</v>
      </c>
    </row>
    <row r="2380" spans="1:22" x14ac:dyDescent="0.3">
      <c r="A2380" t="s">
        <v>3406</v>
      </c>
      <c r="B2380" s="1">
        <v>45988</v>
      </c>
      <c r="C2380" t="s">
        <v>1332</v>
      </c>
      <c r="D2380" t="s">
        <v>1613</v>
      </c>
      <c r="E2380" t="s">
        <v>61</v>
      </c>
      <c r="F2380" t="s">
        <v>62</v>
      </c>
      <c r="G2380" t="s">
        <v>90</v>
      </c>
      <c r="H2380" t="s">
        <v>28</v>
      </c>
      <c r="I2380" t="s">
        <v>91</v>
      </c>
      <c r="J2380" t="s">
        <v>126</v>
      </c>
      <c r="K2380">
        <v>1</v>
      </c>
      <c r="L2380">
        <v>2051.17</v>
      </c>
      <c r="M2380">
        <v>0.05</v>
      </c>
      <c r="N2380">
        <v>1948.61</v>
      </c>
      <c r="O2380">
        <v>1229.1400000000001</v>
      </c>
      <c r="P2380">
        <v>719.47</v>
      </c>
      <c r="Q2380" t="s">
        <v>67</v>
      </c>
      <c r="R2380">
        <v>0.36922216349089859</v>
      </c>
      <c r="S2380">
        <v>2025</v>
      </c>
      <c r="T2380" t="s">
        <v>1911</v>
      </c>
      <c r="U2380">
        <v>11</v>
      </c>
      <c r="V2380" t="s">
        <v>1803</v>
      </c>
    </row>
    <row r="2381" spans="1:22" x14ac:dyDescent="0.3">
      <c r="A2381" t="s">
        <v>3407</v>
      </c>
      <c r="B2381" s="1">
        <v>45988</v>
      </c>
      <c r="C2381" t="s">
        <v>612</v>
      </c>
      <c r="D2381" t="s">
        <v>270</v>
      </c>
      <c r="E2381" t="s">
        <v>25</v>
      </c>
      <c r="F2381" t="s">
        <v>26</v>
      </c>
      <c r="G2381" t="s">
        <v>171</v>
      </c>
      <c r="H2381" t="s">
        <v>43</v>
      </c>
      <c r="I2381" t="s">
        <v>44</v>
      </c>
      <c r="J2381" t="s">
        <v>248</v>
      </c>
      <c r="K2381">
        <v>1</v>
      </c>
      <c r="L2381">
        <v>287.52999999999997</v>
      </c>
      <c r="M2381">
        <v>0.05</v>
      </c>
      <c r="N2381">
        <v>273.14999999999998</v>
      </c>
      <c r="O2381">
        <v>123.48</v>
      </c>
      <c r="P2381">
        <v>149.66999999999999</v>
      </c>
      <c r="Q2381" t="s">
        <v>113</v>
      </c>
      <c r="R2381">
        <v>0.54794069192751238</v>
      </c>
      <c r="S2381">
        <v>2025</v>
      </c>
      <c r="T2381" t="s">
        <v>1911</v>
      </c>
      <c r="U2381">
        <v>11</v>
      </c>
      <c r="V2381" t="s">
        <v>1803</v>
      </c>
    </row>
    <row r="2382" spans="1:22" x14ac:dyDescent="0.3">
      <c r="A2382" t="s">
        <v>3408</v>
      </c>
      <c r="B2382" s="1">
        <v>45989</v>
      </c>
      <c r="C2382" t="s">
        <v>1342</v>
      </c>
      <c r="D2382" t="s">
        <v>24</v>
      </c>
      <c r="E2382" t="s">
        <v>61</v>
      </c>
      <c r="F2382" t="s">
        <v>78</v>
      </c>
      <c r="G2382" t="s">
        <v>83</v>
      </c>
      <c r="H2382" t="s">
        <v>84</v>
      </c>
      <c r="I2382" t="s">
        <v>138</v>
      </c>
      <c r="J2382" t="s">
        <v>220</v>
      </c>
      <c r="K2382">
        <v>6</v>
      </c>
      <c r="L2382">
        <v>7859.56</v>
      </c>
      <c r="M2382">
        <v>0</v>
      </c>
      <c r="N2382">
        <v>47157.36</v>
      </c>
      <c r="O2382">
        <v>29852.77</v>
      </c>
      <c r="P2382">
        <v>17304.59</v>
      </c>
      <c r="Q2382" t="s">
        <v>31</v>
      </c>
      <c r="R2382">
        <v>0.36695417215891651</v>
      </c>
      <c r="S2382">
        <v>2025</v>
      </c>
      <c r="T2382" t="s">
        <v>1911</v>
      </c>
      <c r="U2382">
        <v>11</v>
      </c>
      <c r="V2382" t="s">
        <v>1803</v>
      </c>
    </row>
    <row r="2383" spans="1:22" x14ac:dyDescent="0.3">
      <c r="A2383" t="s">
        <v>3409</v>
      </c>
      <c r="B2383" s="1">
        <v>45989</v>
      </c>
      <c r="C2383" t="s">
        <v>1546</v>
      </c>
      <c r="D2383" t="s">
        <v>390</v>
      </c>
      <c r="E2383" t="s">
        <v>61</v>
      </c>
      <c r="F2383" t="s">
        <v>78</v>
      </c>
      <c r="G2383" t="s">
        <v>216</v>
      </c>
      <c r="H2383" t="s">
        <v>84</v>
      </c>
      <c r="I2383" t="s">
        <v>138</v>
      </c>
      <c r="J2383" t="s">
        <v>220</v>
      </c>
      <c r="K2383">
        <v>6</v>
      </c>
      <c r="L2383">
        <v>7082.18</v>
      </c>
      <c r="M2383">
        <v>0.2</v>
      </c>
      <c r="N2383">
        <v>33994.46</v>
      </c>
      <c r="O2383">
        <v>27360.75</v>
      </c>
      <c r="P2383">
        <v>6633.71</v>
      </c>
      <c r="Q2383" t="s">
        <v>31</v>
      </c>
      <c r="R2383">
        <v>0.1951409141371859</v>
      </c>
      <c r="S2383">
        <v>2025</v>
      </c>
      <c r="T2383" t="s">
        <v>1911</v>
      </c>
      <c r="U2383">
        <v>11</v>
      </c>
      <c r="V2383" t="s">
        <v>1803</v>
      </c>
    </row>
    <row r="2384" spans="1:22" x14ac:dyDescent="0.3">
      <c r="A2384" t="s">
        <v>3410</v>
      </c>
      <c r="B2384" s="1">
        <v>45989</v>
      </c>
      <c r="C2384" t="s">
        <v>205</v>
      </c>
      <c r="D2384" t="s">
        <v>685</v>
      </c>
      <c r="E2384" t="s">
        <v>120</v>
      </c>
      <c r="F2384" t="s">
        <v>121</v>
      </c>
      <c r="G2384" t="s">
        <v>224</v>
      </c>
      <c r="H2384" t="s">
        <v>64</v>
      </c>
      <c r="I2384" t="s">
        <v>108</v>
      </c>
      <c r="J2384" t="s">
        <v>109</v>
      </c>
      <c r="K2384">
        <v>1</v>
      </c>
      <c r="L2384">
        <v>6913.83</v>
      </c>
      <c r="M2384">
        <v>0</v>
      </c>
      <c r="N2384">
        <v>6913.83</v>
      </c>
      <c r="O2384">
        <v>4495.53</v>
      </c>
      <c r="P2384">
        <v>2418.3000000000002</v>
      </c>
      <c r="Q2384" t="s">
        <v>46</v>
      </c>
      <c r="R2384">
        <v>0.34977718572773697</v>
      </c>
      <c r="S2384">
        <v>2025</v>
      </c>
      <c r="T2384" t="s">
        <v>1911</v>
      </c>
      <c r="U2384">
        <v>11</v>
      </c>
      <c r="V2384" t="s">
        <v>1803</v>
      </c>
    </row>
    <row r="2385" spans="1:22" x14ac:dyDescent="0.3">
      <c r="A2385" t="s">
        <v>3411</v>
      </c>
      <c r="B2385" s="1">
        <v>45990</v>
      </c>
      <c r="C2385" t="s">
        <v>1772</v>
      </c>
      <c r="D2385" t="s">
        <v>70</v>
      </c>
      <c r="E2385" t="s">
        <v>120</v>
      </c>
      <c r="F2385" t="s">
        <v>121</v>
      </c>
      <c r="G2385" t="s">
        <v>122</v>
      </c>
      <c r="H2385" t="s">
        <v>84</v>
      </c>
      <c r="I2385" t="s">
        <v>85</v>
      </c>
      <c r="J2385" t="s">
        <v>86</v>
      </c>
      <c r="K2385">
        <v>1</v>
      </c>
      <c r="L2385">
        <v>1899.52</v>
      </c>
      <c r="M2385">
        <v>0.15</v>
      </c>
      <c r="N2385">
        <v>1614.59</v>
      </c>
      <c r="O2385">
        <v>988.73</v>
      </c>
      <c r="P2385">
        <v>625.86</v>
      </c>
      <c r="Q2385" t="s">
        <v>53</v>
      </c>
      <c r="R2385">
        <v>0.3876278188270707</v>
      </c>
      <c r="S2385">
        <v>2025</v>
      </c>
      <c r="T2385" t="s">
        <v>1911</v>
      </c>
      <c r="U2385">
        <v>11</v>
      </c>
      <c r="V2385" t="s">
        <v>1803</v>
      </c>
    </row>
    <row r="2386" spans="1:22" x14ac:dyDescent="0.3">
      <c r="A2386" t="s">
        <v>3412</v>
      </c>
      <c r="B2386" s="1">
        <v>45990</v>
      </c>
      <c r="C2386" t="s">
        <v>2401</v>
      </c>
      <c r="D2386" t="s">
        <v>49</v>
      </c>
      <c r="E2386" t="s">
        <v>25</v>
      </c>
      <c r="F2386" t="s">
        <v>26</v>
      </c>
      <c r="G2386" t="s">
        <v>37</v>
      </c>
      <c r="H2386" t="s">
        <v>84</v>
      </c>
      <c r="I2386" t="s">
        <v>85</v>
      </c>
      <c r="J2386" t="s">
        <v>86</v>
      </c>
      <c r="K2386">
        <v>6</v>
      </c>
      <c r="L2386">
        <v>1791.49</v>
      </c>
      <c r="M2386">
        <v>0.1</v>
      </c>
      <c r="N2386">
        <v>9674.0499999999993</v>
      </c>
      <c r="O2386">
        <v>5674.41</v>
      </c>
      <c r="P2386">
        <v>3999.64</v>
      </c>
      <c r="Q2386" t="s">
        <v>31</v>
      </c>
      <c r="R2386">
        <v>0.41344007938764021</v>
      </c>
      <c r="S2386">
        <v>2025</v>
      </c>
      <c r="T2386" t="s">
        <v>1911</v>
      </c>
      <c r="U2386">
        <v>11</v>
      </c>
      <c r="V2386" t="s">
        <v>1803</v>
      </c>
    </row>
    <row r="2387" spans="1:22" x14ac:dyDescent="0.3">
      <c r="A2387" t="s">
        <v>3413</v>
      </c>
      <c r="B2387" s="1">
        <v>45990</v>
      </c>
      <c r="C2387" t="s">
        <v>953</v>
      </c>
      <c r="D2387" t="s">
        <v>209</v>
      </c>
      <c r="E2387" t="s">
        <v>25</v>
      </c>
      <c r="F2387" t="s">
        <v>26</v>
      </c>
      <c r="G2387" t="s">
        <v>260</v>
      </c>
      <c r="H2387" t="s">
        <v>28</v>
      </c>
      <c r="I2387" t="s">
        <v>29</v>
      </c>
      <c r="J2387" t="s">
        <v>57</v>
      </c>
      <c r="K2387">
        <v>1</v>
      </c>
      <c r="L2387">
        <v>15214.84</v>
      </c>
      <c r="M2387">
        <v>0</v>
      </c>
      <c r="N2387">
        <v>15214.84</v>
      </c>
      <c r="O2387">
        <v>11764.61</v>
      </c>
      <c r="P2387">
        <v>3450.23</v>
      </c>
      <c r="Q2387" t="s">
        <v>46</v>
      </c>
      <c r="R2387">
        <v>0.22676741917759241</v>
      </c>
      <c r="S2387">
        <v>2025</v>
      </c>
      <c r="T2387" t="s">
        <v>1911</v>
      </c>
      <c r="U2387">
        <v>11</v>
      </c>
      <c r="V2387" t="s">
        <v>1803</v>
      </c>
    </row>
    <row r="2388" spans="1:22" x14ac:dyDescent="0.3">
      <c r="A2388" t="s">
        <v>3414</v>
      </c>
      <c r="B2388" s="1">
        <v>45991</v>
      </c>
      <c r="C2388" t="s">
        <v>1752</v>
      </c>
      <c r="D2388" t="s">
        <v>174</v>
      </c>
      <c r="E2388" t="s">
        <v>61</v>
      </c>
      <c r="F2388" t="s">
        <v>71</v>
      </c>
      <c r="G2388" t="s">
        <v>72</v>
      </c>
      <c r="H2388" t="s">
        <v>28</v>
      </c>
      <c r="I2388" t="s">
        <v>73</v>
      </c>
      <c r="J2388" t="s">
        <v>80</v>
      </c>
      <c r="K2388">
        <v>4</v>
      </c>
      <c r="L2388">
        <v>824.52</v>
      </c>
      <c r="M2388">
        <v>0.2</v>
      </c>
      <c r="N2388">
        <v>2638.46</v>
      </c>
      <c r="O2388">
        <v>2103.21</v>
      </c>
      <c r="P2388">
        <v>535.25</v>
      </c>
      <c r="Q2388" t="s">
        <v>31</v>
      </c>
      <c r="R2388">
        <v>0.2028645497752477</v>
      </c>
      <c r="S2388">
        <v>2025</v>
      </c>
      <c r="T2388" t="s">
        <v>1911</v>
      </c>
      <c r="U2388">
        <v>11</v>
      </c>
      <c r="V2388" t="s">
        <v>1803</v>
      </c>
    </row>
    <row r="2389" spans="1:22" x14ac:dyDescent="0.3">
      <c r="A2389" t="s">
        <v>3415</v>
      </c>
      <c r="B2389" s="1">
        <v>45991</v>
      </c>
      <c r="C2389" t="s">
        <v>252</v>
      </c>
      <c r="D2389" t="s">
        <v>1717</v>
      </c>
      <c r="E2389" t="s">
        <v>61</v>
      </c>
      <c r="F2389" t="s">
        <v>71</v>
      </c>
      <c r="G2389" t="s">
        <v>201</v>
      </c>
      <c r="H2389" t="s">
        <v>64</v>
      </c>
      <c r="I2389" t="s">
        <v>65</v>
      </c>
      <c r="J2389" t="s">
        <v>66</v>
      </c>
      <c r="K2389">
        <v>1</v>
      </c>
      <c r="L2389">
        <v>5147.47</v>
      </c>
      <c r="M2389">
        <v>0.1</v>
      </c>
      <c r="N2389">
        <v>4632.72</v>
      </c>
      <c r="O2389">
        <v>3058.21</v>
      </c>
      <c r="P2389">
        <v>1574.51</v>
      </c>
      <c r="Q2389" t="s">
        <v>31</v>
      </c>
      <c r="R2389">
        <v>0.33986729178538738</v>
      </c>
      <c r="S2389">
        <v>2025</v>
      </c>
      <c r="T2389" t="s">
        <v>1911</v>
      </c>
      <c r="U2389">
        <v>11</v>
      </c>
      <c r="V2389" t="s">
        <v>1803</v>
      </c>
    </row>
    <row r="2390" spans="1:22" x14ac:dyDescent="0.3">
      <c r="A2390" t="s">
        <v>3416</v>
      </c>
      <c r="B2390" s="1">
        <v>45992</v>
      </c>
      <c r="C2390" t="s">
        <v>252</v>
      </c>
      <c r="D2390" t="s">
        <v>191</v>
      </c>
      <c r="E2390" t="s">
        <v>41</v>
      </c>
      <c r="F2390" t="s">
        <v>42</v>
      </c>
      <c r="G2390" t="s">
        <v>50</v>
      </c>
      <c r="H2390" t="s">
        <v>84</v>
      </c>
      <c r="I2390" t="s">
        <v>138</v>
      </c>
      <c r="J2390" t="s">
        <v>139</v>
      </c>
      <c r="K2390">
        <v>4</v>
      </c>
      <c r="L2390">
        <v>13439.86</v>
      </c>
      <c r="M2390">
        <v>0.1</v>
      </c>
      <c r="N2390">
        <v>48383.5</v>
      </c>
      <c r="O2390">
        <v>39620.629999999997</v>
      </c>
      <c r="P2390">
        <v>8762.8700000000008</v>
      </c>
      <c r="Q2390" t="s">
        <v>53</v>
      </c>
      <c r="R2390">
        <v>0.1811127760496864</v>
      </c>
      <c r="S2390">
        <v>2025</v>
      </c>
      <c r="T2390" t="s">
        <v>2040</v>
      </c>
      <c r="U2390">
        <v>12</v>
      </c>
      <c r="V2390" t="s">
        <v>1803</v>
      </c>
    </row>
    <row r="2391" spans="1:22" x14ac:dyDescent="0.3">
      <c r="A2391" t="s">
        <v>3417</v>
      </c>
      <c r="B2391" s="1">
        <v>45992</v>
      </c>
      <c r="C2391" t="s">
        <v>2501</v>
      </c>
      <c r="D2391" t="s">
        <v>1235</v>
      </c>
      <c r="E2391" t="s">
        <v>25</v>
      </c>
      <c r="F2391" t="s">
        <v>26</v>
      </c>
      <c r="G2391" t="s">
        <v>260</v>
      </c>
      <c r="H2391" t="s">
        <v>64</v>
      </c>
      <c r="I2391" t="s">
        <v>65</v>
      </c>
      <c r="J2391" t="s">
        <v>232</v>
      </c>
      <c r="K2391">
        <v>6</v>
      </c>
      <c r="L2391">
        <v>3812.8</v>
      </c>
      <c r="M2391">
        <v>0.15</v>
      </c>
      <c r="N2391">
        <v>19445.28</v>
      </c>
      <c r="O2391">
        <v>14261.06</v>
      </c>
      <c r="P2391">
        <v>5184.22</v>
      </c>
      <c r="Q2391" t="s">
        <v>113</v>
      </c>
      <c r="R2391">
        <v>0.26660557214912822</v>
      </c>
      <c r="S2391">
        <v>2025</v>
      </c>
      <c r="T2391" t="s">
        <v>2040</v>
      </c>
      <c r="U2391">
        <v>12</v>
      </c>
      <c r="V2391" t="s">
        <v>1803</v>
      </c>
    </row>
    <row r="2392" spans="1:22" x14ac:dyDescent="0.3">
      <c r="A2392" t="s">
        <v>3418</v>
      </c>
      <c r="B2392" s="1">
        <v>45992</v>
      </c>
      <c r="C2392" t="s">
        <v>1839</v>
      </c>
      <c r="D2392" t="s">
        <v>440</v>
      </c>
      <c r="E2392" t="s">
        <v>41</v>
      </c>
      <c r="F2392" t="s">
        <v>42</v>
      </c>
      <c r="G2392" t="s">
        <v>50</v>
      </c>
      <c r="H2392" t="s">
        <v>28</v>
      </c>
      <c r="I2392" t="s">
        <v>91</v>
      </c>
      <c r="J2392" t="s">
        <v>126</v>
      </c>
      <c r="K2392">
        <v>1</v>
      </c>
      <c r="L2392">
        <v>1963.74</v>
      </c>
      <c r="M2392">
        <v>0</v>
      </c>
      <c r="N2392">
        <v>1963.74</v>
      </c>
      <c r="O2392">
        <v>1105.6600000000001</v>
      </c>
      <c r="P2392">
        <v>858.08</v>
      </c>
      <c r="Q2392" t="s">
        <v>31</v>
      </c>
      <c r="R2392">
        <v>0.43696212329534462</v>
      </c>
      <c r="S2392">
        <v>2025</v>
      </c>
      <c r="T2392" t="s">
        <v>2040</v>
      </c>
      <c r="U2392">
        <v>12</v>
      </c>
      <c r="V2392" t="s">
        <v>1803</v>
      </c>
    </row>
    <row r="2393" spans="1:22" x14ac:dyDescent="0.3">
      <c r="A2393" t="s">
        <v>3419</v>
      </c>
      <c r="B2393" s="1">
        <v>45992</v>
      </c>
      <c r="C2393" t="s">
        <v>1371</v>
      </c>
      <c r="D2393" t="s">
        <v>601</v>
      </c>
      <c r="E2393" t="s">
        <v>25</v>
      </c>
      <c r="F2393" t="s">
        <v>26</v>
      </c>
      <c r="G2393" t="s">
        <v>37</v>
      </c>
      <c r="H2393" t="s">
        <v>28</v>
      </c>
      <c r="I2393" t="s">
        <v>73</v>
      </c>
      <c r="J2393" t="s">
        <v>80</v>
      </c>
      <c r="K2393">
        <v>3</v>
      </c>
      <c r="L2393">
        <v>787.23</v>
      </c>
      <c r="M2393">
        <v>0.15</v>
      </c>
      <c r="N2393">
        <v>2007.44</v>
      </c>
      <c r="O2393">
        <v>1407.13</v>
      </c>
      <c r="P2393">
        <v>600.30999999999995</v>
      </c>
      <c r="Q2393" t="s">
        <v>53</v>
      </c>
      <c r="R2393">
        <v>0.29904256167058541</v>
      </c>
      <c r="S2393">
        <v>2025</v>
      </c>
      <c r="T2393" t="s">
        <v>2040</v>
      </c>
      <c r="U2393">
        <v>12</v>
      </c>
      <c r="V2393" t="s">
        <v>1803</v>
      </c>
    </row>
    <row r="2394" spans="1:22" x14ac:dyDescent="0.3">
      <c r="A2394" t="s">
        <v>3420</v>
      </c>
      <c r="B2394" s="1">
        <v>45992</v>
      </c>
      <c r="C2394" t="s">
        <v>723</v>
      </c>
      <c r="D2394" t="s">
        <v>1525</v>
      </c>
      <c r="E2394" t="s">
        <v>61</v>
      </c>
      <c r="F2394" t="s">
        <v>78</v>
      </c>
      <c r="G2394" t="s">
        <v>104</v>
      </c>
      <c r="H2394" t="s">
        <v>64</v>
      </c>
      <c r="I2394" t="s">
        <v>65</v>
      </c>
      <c r="J2394" t="s">
        <v>232</v>
      </c>
      <c r="K2394">
        <v>1</v>
      </c>
      <c r="L2394">
        <v>4160.3900000000003</v>
      </c>
      <c r="M2394">
        <v>0</v>
      </c>
      <c r="N2394">
        <v>4160.3900000000003</v>
      </c>
      <c r="O2394">
        <v>2723.61</v>
      </c>
      <c r="P2394">
        <v>1436.78</v>
      </c>
      <c r="Q2394" t="s">
        <v>67</v>
      </c>
      <c r="R2394">
        <v>0.34534743137061669</v>
      </c>
      <c r="S2394">
        <v>2025</v>
      </c>
      <c r="T2394" t="s">
        <v>2040</v>
      </c>
      <c r="U2394">
        <v>12</v>
      </c>
      <c r="V2394" t="s">
        <v>1803</v>
      </c>
    </row>
    <row r="2395" spans="1:22" x14ac:dyDescent="0.3">
      <c r="A2395" t="s">
        <v>3421</v>
      </c>
      <c r="B2395" s="1">
        <v>45993</v>
      </c>
      <c r="C2395" t="s">
        <v>1779</v>
      </c>
      <c r="D2395" t="s">
        <v>490</v>
      </c>
      <c r="E2395" t="s">
        <v>61</v>
      </c>
      <c r="F2395" t="s">
        <v>71</v>
      </c>
      <c r="G2395" t="s">
        <v>100</v>
      </c>
      <c r="H2395" t="s">
        <v>43</v>
      </c>
      <c r="I2395" t="s">
        <v>51</v>
      </c>
      <c r="J2395" t="s">
        <v>96</v>
      </c>
      <c r="K2395">
        <v>2</v>
      </c>
      <c r="L2395">
        <v>484.66</v>
      </c>
      <c r="M2395">
        <v>0</v>
      </c>
      <c r="N2395">
        <v>969.32</v>
      </c>
      <c r="O2395">
        <v>424.26</v>
      </c>
      <c r="P2395">
        <v>545.05999999999995</v>
      </c>
      <c r="Q2395" t="s">
        <v>67</v>
      </c>
      <c r="R2395">
        <v>0.56231172368258153</v>
      </c>
      <c r="S2395">
        <v>2025</v>
      </c>
      <c r="T2395" t="s">
        <v>2040</v>
      </c>
      <c r="U2395">
        <v>12</v>
      </c>
      <c r="V2395" t="s">
        <v>1803</v>
      </c>
    </row>
    <row r="2396" spans="1:22" x14ac:dyDescent="0.3">
      <c r="A2396" t="s">
        <v>3422</v>
      </c>
      <c r="B2396" s="1">
        <v>45993</v>
      </c>
      <c r="C2396" t="s">
        <v>965</v>
      </c>
      <c r="D2396" t="s">
        <v>1946</v>
      </c>
      <c r="E2396" t="s">
        <v>120</v>
      </c>
      <c r="F2396" t="s">
        <v>121</v>
      </c>
      <c r="G2396" t="s">
        <v>122</v>
      </c>
      <c r="H2396" t="s">
        <v>84</v>
      </c>
      <c r="I2396" t="s">
        <v>138</v>
      </c>
      <c r="J2396" t="s">
        <v>220</v>
      </c>
      <c r="K2396">
        <v>2</v>
      </c>
      <c r="L2396">
        <v>7437.23</v>
      </c>
      <c r="M2396">
        <v>0</v>
      </c>
      <c r="N2396">
        <v>14874.46</v>
      </c>
      <c r="O2396">
        <v>9467.7999999999993</v>
      </c>
      <c r="P2396">
        <v>5406.66</v>
      </c>
      <c r="Q2396" t="s">
        <v>113</v>
      </c>
      <c r="R2396">
        <v>0.36348613663958218</v>
      </c>
      <c r="S2396">
        <v>2025</v>
      </c>
      <c r="T2396" t="s">
        <v>2040</v>
      </c>
      <c r="U2396">
        <v>12</v>
      </c>
      <c r="V2396" t="s">
        <v>1803</v>
      </c>
    </row>
    <row r="2397" spans="1:22" x14ac:dyDescent="0.3">
      <c r="A2397" t="s">
        <v>3423</v>
      </c>
      <c r="B2397" s="1">
        <v>45993</v>
      </c>
      <c r="C2397" t="s">
        <v>1985</v>
      </c>
      <c r="D2397" t="s">
        <v>575</v>
      </c>
      <c r="E2397" t="s">
        <v>61</v>
      </c>
      <c r="F2397" t="s">
        <v>62</v>
      </c>
      <c r="G2397" t="s">
        <v>228</v>
      </c>
      <c r="H2397" t="s">
        <v>28</v>
      </c>
      <c r="I2397" t="s">
        <v>73</v>
      </c>
      <c r="J2397" t="s">
        <v>80</v>
      </c>
      <c r="K2397">
        <v>3</v>
      </c>
      <c r="L2397">
        <v>781.21</v>
      </c>
      <c r="M2397">
        <v>0.15</v>
      </c>
      <c r="N2397">
        <v>1992.09</v>
      </c>
      <c r="O2397">
        <v>1444.82</v>
      </c>
      <c r="P2397">
        <v>547.27</v>
      </c>
      <c r="Q2397" t="s">
        <v>31</v>
      </c>
      <c r="R2397">
        <v>0.2747215236259406</v>
      </c>
      <c r="S2397">
        <v>2025</v>
      </c>
      <c r="T2397" t="s">
        <v>2040</v>
      </c>
      <c r="U2397">
        <v>12</v>
      </c>
      <c r="V2397" t="s">
        <v>1803</v>
      </c>
    </row>
    <row r="2398" spans="1:22" x14ac:dyDescent="0.3">
      <c r="A2398" t="s">
        <v>3424</v>
      </c>
      <c r="B2398" s="1">
        <v>45993</v>
      </c>
      <c r="C2398" t="s">
        <v>193</v>
      </c>
      <c r="D2398" t="s">
        <v>77</v>
      </c>
      <c r="E2398" t="s">
        <v>120</v>
      </c>
      <c r="F2398" t="s">
        <v>121</v>
      </c>
      <c r="G2398" t="s">
        <v>122</v>
      </c>
      <c r="H2398" t="s">
        <v>64</v>
      </c>
      <c r="I2398" t="s">
        <v>108</v>
      </c>
      <c r="J2398" t="s">
        <v>109</v>
      </c>
      <c r="K2398">
        <v>4</v>
      </c>
      <c r="L2398">
        <v>7172.29</v>
      </c>
      <c r="M2398">
        <v>0.15</v>
      </c>
      <c r="N2398">
        <v>24385.79</v>
      </c>
      <c r="O2398">
        <v>17917.86</v>
      </c>
      <c r="P2398">
        <v>6467.93</v>
      </c>
      <c r="Q2398" t="s">
        <v>53</v>
      </c>
      <c r="R2398">
        <v>0.26523356430117712</v>
      </c>
      <c r="S2398">
        <v>2025</v>
      </c>
      <c r="T2398" t="s">
        <v>2040</v>
      </c>
      <c r="U2398">
        <v>12</v>
      </c>
      <c r="V2398" t="s">
        <v>1803</v>
      </c>
    </row>
    <row r="2399" spans="1:22" x14ac:dyDescent="0.3">
      <c r="A2399" t="s">
        <v>3425</v>
      </c>
      <c r="B2399" s="1">
        <v>45993</v>
      </c>
      <c r="C2399" t="s">
        <v>3426</v>
      </c>
      <c r="D2399" t="s">
        <v>430</v>
      </c>
      <c r="E2399" t="s">
        <v>41</v>
      </c>
      <c r="F2399" t="s">
        <v>42</v>
      </c>
      <c r="G2399" t="s">
        <v>50</v>
      </c>
      <c r="H2399" t="s">
        <v>64</v>
      </c>
      <c r="I2399" t="s">
        <v>108</v>
      </c>
      <c r="J2399" t="s">
        <v>109</v>
      </c>
      <c r="K2399">
        <v>1</v>
      </c>
      <c r="L2399">
        <v>7075.5</v>
      </c>
      <c r="M2399">
        <v>0</v>
      </c>
      <c r="N2399">
        <v>7075.5</v>
      </c>
      <c r="O2399">
        <v>4676.8</v>
      </c>
      <c r="P2399">
        <v>2398.6999999999998</v>
      </c>
      <c r="Q2399" t="s">
        <v>46</v>
      </c>
      <c r="R2399">
        <v>0.33901491060702421</v>
      </c>
      <c r="S2399">
        <v>2025</v>
      </c>
      <c r="T2399" t="s">
        <v>2040</v>
      </c>
      <c r="U2399">
        <v>12</v>
      </c>
      <c r="V2399" t="s">
        <v>1803</v>
      </c>
    </row>
    <row r="2400" spans="1:22" x14ac:dyDescent="0.3">
      <c r="A2400" t="s">
        <v>3427</v>
      </c>
      <c r="B2400" s="1">
        <v>45994</v>
      </c>
      <c r="C2400" t="s">
        <v>1241</v>
      </c>
      <c r="D2400" t="s">
        <v>1172</v>
      </c>
      <c r="E2400" t="s">
        <v>61</v>
      </c>
      <c r="F2400" t="s">
        <v>71</v>
      </c>
      <c r="G2400" t="s">
        <v>100</v>
      </c>
      <c r="H2400" t="s">
        <v>84</v>
      </c>
      <c r="I2400" t="s">
        <v>138</v>
      </c>
      <c r="J2400" t="s">
        <v>220</v>
      </c>
      <c r="K2400">
        <v>3</v>
      </c>
      <c r="L2400">
        <v>7923.91</v>
      </c>
      <c r="M2400">
        <v>0.15</v>
      </c>
      <c r="N2400">
        <v>20205.97</v>
      </c>
      <c r="O2400">
        <v>15509.73</v>
      </c>
      <c r="P2400">
        <v>4696.24</v>
      </c>
      <c r="Q2400" t="s">
        <v>113</v>
      </c>
      <c r="R2400">
        <v>0.23241843870895579</v>
      </c>
      <c r="S2400">
        <v>2025</v>
      </c>
      <c r="T2400" t="s">
        <v>2040</v>
      </c>
      <c r="U2400">
        <v>12</v>
      </c>
      <c r="V2400" t="s">
        <v>1803</v>
      </c>
    </row>
    <row r="2401" spans="1:22" x14ac:dyDescent="0.3">
      <c r="A2401" t="s">
        <v>3428</v>
      </c>
      <c r="B2401" s="1">
        <v>45994</v>
      </c>
      <c r="C2401" t="s">
        <v>1839</v>
      </c>
      <c r="D2401" t="s">
        <v>1136</v>
      </c>
      <c r="E2401" t="s">
        <v>120</v>
      </c>
      <c r="F2401" t="s">
        <v>121</v>
      </c>
      <c r="G2401" t="s">
        <v>122</v>
      </c>
      <c r="H2401" t="s">
        <v>28</v>
      </c>
      <c r="I2401" t="s">
        <v>91</v>
      </c>
      <c r="J2401" t="s">
        <v>126</v>
      </c>
      <c r="K2401">
        <v>1</v>
      </c>
      <c r="L2401">
        <v>2104</v>
      </c>
      <c r="M2401">
        <v>0</v>
      </c>
      <c r="N2401">
        <v>2104</v>
      </c>
      <c r="O2401">
        <v>1251.2</v>
      </c>
      <c r="P2401">
        <v>852.8</v>
      </c>
      <c r="Q2401" t="s">
        <v>31</v>
      </c>
      <c r="R2401">
        <v>0.4053231939163498</v>
      </c>
      <c r="S2401">
        <v>2025</v>
      </c>
      <c r="T2401" t="s">
        <v>2040</v>
      </c>
      <c r="U2401">
        <v>12</v>
      </c>
      <c r="V2401" t="s">
        <v>1803</v>
      </c>
    </row>
    <row r="2402" spans="1:22" x14ac:dyDescent="0.3">
      <c r="A2402" t="s">
        <v>3429</v>
      </c>
      <c r="B2402" s="1">
        <v>45995</v>
      </c>
      <c r="C2402" t="s">
        <v>694</v>
      </c>
      <c r="D2402" t="s">
        <v>259</v>
      </c>
      <c r="E2402" t="s">
        <v>61</v>
      </c>
      <c r="F2402" t="s">
        <v>62</v>
      </c>
      <c r="G2402" t="s">
        <v>228</v>
      </c>
      <c r="H2402" t="s">
        <v>84</v>
      </c>
      <c r="I2402" t="s">
        <v>138</v>
      </c>
      <c r="J2402" t="s">
        <v>139</v>
      </c>
      <c r="K2402">
        <v>3</v>
      </c>
      <c r="L2402">
        <v>12255.37</v>
      </c>
      <c r="M2402">
        <v>0</v>
      </c>
      <c r="N2402">
        <v>36766.11</v>
      </c>
      <c r="O2402">
        <v>26874.6</v>
      </c>
      <c r="P2402">
        <v>9891.51</v>
      </c>
      <c r="Q2402" t="s">
        <v>31</v>
      </c>
      <c r="R2402">
        <v>0.26903879687026988</v>
      </c>
      <c r="S2402">
        <v>2025</v>
      </c>
      <c r="T2402" t="s">
        <v>2040</v>
      </c>
      <c r="U2402">
        <v>12</v>
      </c>
      <c r="V2402" t="s">
        <v>1803</v>
      </c>
    </row>
    <row r="2403" spans="1:22" x14ac:dyDescent="0.3">
      <c r="A2403" t="s">
        <v>3430</v>
      </c>
      <c r="B2403" s="1">
        <v>45996</v>
      </c>
      <c r="C2403" t="s">
        <v>1920</v>
      </c>
      <c r="D2403" t="s">
        <v>1172</v>
      </c>
      <c r="E2403" t="s">
        <v>25</v>
      </c>
      <c r="F2403" t="s">
        <v>26</v>
      </c>
      <c r="G2403" t="s">
        <v>27</v>
      </c>
      <c r="H2403" t="s">
        <v>43</v>
      </c>
      <c r="I2403" t="s">
        <v>51</v>
      </c>
      <c r="J2403" t="s">
        <v>52</v>
      </c>
      <c r="K2403">
        <v>3</v>
      </c>
      <c r="L2403">
        <v>697.66</v>
      </c>
      <c r="M2403">
        <v>0.05</v>
      </c>
      <c r="N2403">
        <v>1988.33</v>
      </c>
      <c r="O2403">
        <v>974.96</v>
      </c>
      <c r="P2403">
        <v>1013.37</v>
      </c>
      <c r="Q2403" t="s">
        <v>46</v>
      </c>
      <c r="R2403">
        <v>0.50965885944486078</v>
      </c>
      <c r="S2403">
        <v>2025</v>
      </c>
      <c r="T2403" t="s">
        <v>2040</v>
      </c>
      <c r="U2403">
        <v>12</v>
      </c>
      <c r="V2403" t="s">
        <v>1803</v>
      </c>
    </row>
    <row r="2404" spans="1:22" x14ac:dyDescent="0.3">
      <c r="A2404" t="s">
        <v>3431</v>
      </c>
      <c r="B2404" s="1">
        <v>45996</v>
      </c>
      <c r="C2404" t="s">
        <v>2014</v>
      </c>
      <c r="D2404" t="s">
        <v>380</v>
      </c>
      <c r="E2404" t="s">
        <v>120</v>
      </c>
      <c r="F2404" t="s">
        <v>121</v>
      </c>
      <c r="G2404" t="s">
        <v>224</v>
      </c>
      <c r="H2404" t="s">
        <v>28</v>
      </c>
      <c r="I2404" t="s">
        <v>91</v>
      </c>
      <c r="J2404" t="s">
        <v>126</v>
      </c>
      <c r="K2404">
        <v>2</v>
      </c>
      <c r="L2404">
        <v>2071.64</v>
      </c>
      <c r="M2404">
        <v>0.1</v>
      </c>
      <c r="N2404">
        <v>3728.95</v>
      </c>
      <c r="O2404">
        <v>2307.1799999999998</v>
      </c>
      <c r="P2404">
        <v>1421.77</v>
      </c>
      <c r="Q2404" t="s">
        <v>46</v>
      </c>
      <c r="R2404">
        <v>0.38127891229434557</v>
      </c>
      <c r="S2404">
        <v>2025</v>
      </c>
      <c r="T2404" t="s">
        <v>2040</v>
      </c>
      <c r="U2404">
        <v>12</v>
      </c>
      <c r="V2404" t="s">
        <v>1803</v>
      </c>
    </row>
    <row r="2405" spans="1:22" x14ac:dyDescent="0.3">
      <c r="A2405" t="s">
        <v>3432</v>
      </c>
      <c r="B2405" s="1">
        <v>45997</v>
      </c>
      <c r="C2405" t="s">
        <v>554</v>
      </c>
      <c r="D2405" t="s">
        <v>1490</v>
      </c>
      <c r="E2405" t="s">
        <v>41</v>
      </c>
      <c r="F2405" t="s">
        <v>42</v>
      </c>
      <c r="G2405" t="s">
        <v>50</v>
      </c>
      <c r="H2405" t="s">
        <v>43</v>
      </c>
      <c r="I2405" t="s">
        <v>44</v>
      </c>
      <c r="J2405" t="s">
        <v>45</v>
      </c>
      <c r="K2405">
        <v>2</v>
      </c>
      <c r="L2405">
        <v>255.76</v>
      </c>
      <c r="M2405">
        <v>0.2</v>
      </c>
      <c r="N2405">
        <v>409.22</v>
      </c>
      <c r="O2405">
        <v>194.81</v>
      </c>
      <c r="P2405">
        <v>214.41</v>
      </c>
      <c r="Q2405" t="s">
        <v>53</v>
      </c>
      <c r="R2405">
        <v>0.52394799863154284</v>
      </c>
      <c r="S2405">
        <v>2025</v>
      </c>
      <c r="T2405" t="s">
        <v>2040</v>
      </c>
      <c r="U2405">
        <v>12</v>
      </c>
      <c r="V2405" t="s">
        <v>1803</v>
      </c>
    </row>
    <row r="2406" spans="1:22" x14ac:dyDescent="0.3">
      <c r="A2406" t="s">
        <v>3433</v>
      </c>
      <c r="B2406" s="1">
        <v>45997</v>
      </c>
      <c r="C2406" t="s">
        <v>751</v>
      </c>
      <c r="D2406" t="s">
        <v>1408</v>
      </c>
      <c r="E2406" t="s">
        <v>120</v>
      </c>
      <c r="F2406" t="s">
        <v>121</v>
      </c>
      <c r="G2406" t="s">
        <v>130</v>
      </c>
      <c r="H2406" t="s">
        <v>84</v>
      </c>
      <c r="I2406" t="s">
        <v>138</v>
      </c>
      <c r="J2406" t="s">
        <v>220</v>
      </c>
      <c r="K2406">
        <v>3</v>
      </c>
      <c r="L2406">
        <v>7395.3</v>
      </c>
      <c r="M2406">
        <v>0.05</v>
      </c>
      <c r="N2406">
        <v>21076.6</v>
      </c>
      <c r="O2406">
        <v>14960.55</v>
      </c>
      <c r="P2406">
        <v>6116.05</v>
      </c>
      <c r="Q2406" t="s">
        <v>67</v>
      </c>
      <c r="R2406">
        <v>0.29018200278982381</v>
      </c>
      <c r="S2406">
        <v>2025</v>
      </c>
      <c r="T2406" t="s">
        <v>2040</v>
      </c>
      <c r="U2406">
        <v>12</v>
      </c>
      <c r="V2406" t="s">
        <v>1803</v>
      </c>
    </row>
    <row r="2407" spans="1:22" x14ac:dyDescent="0.3">
      <c r="A2407" t="s">
        <v>3434</v>
      </c>
      <c r="B2407" s="1">
        <v>45998</v>
      </c>
      <c r="C2407" t="s">
        <v>977</v>
      </c>
      <c r="D2407" t="s">
        <v>468</v>
      </c>
      <c r="E2407" t="s">
        <v>61</v>
      </c>
      <c r="F2407" t="s">
        <v>71</v>
      </c>
      <c r="G2407" t="s">
        <v>317</v>
      </c>
      <c r="H2407" t="s">
        <v>84</v>
      </c>
      <c r="I2407" t="s">
        <v>85</v>
      </c>
      <c r="J2407" t="s">
        <v>145</v>
      </c>
      <c r="K2407">
        <v>2</v>
      </c>
      <c r="L2407">
        <v>3319.72</v>
      </c>
      <c r="M2407">
        <v>0.05</v>
      </c>
      <c r="N2407">
        <v>6307.47</v>
      </c>
      <c r="O2407">
        <v>3757.08</v>
      </c>
      <c r="P2407">
        <v>2550.39</v>
      </c>
      <c r="Q2407" t="s">
        <v>113</v>
      </c>
      <c r="R2407">
        <v>0.40434437262484002</v>
      </c>
      <c r="S2407">
        <v>2025</v>
      </c>
      <c r="T2407" t="s">
        <v>2040</v>
      </c>
      <c r="U2407">
        <v>12</v>
      </c>
      <c r="V2407" t="s">
        <v>1803</v>
      </c>
    </row>
    <row r="2408" spans="1:22" x14ac:dyDescent="0.3">
      <c r="A2408" t="s">
        <v>3435</v>
      </c>
      <c r="B2408" s="1">
        <v>45998</v>
      </c>
      <c r="C2408" t="s">
        <v>598</v>
      </c>
      <c r="D2408" t="s">
        <v>580</v>
      </c>
      <c r="E2408" t="s">
        <v>61</v>
      </c>
      <c r="F2408" t="s">
        <v>71</v>
      </c>
      <c r="G2408" t="s">
        <v>72</v>
      </c>
      <c r="H2408" t="s">
        <v>64</v>
      </c>
      <c r="I2408" t="s">
        <v>65</v>
      </c>
      <c r="J2408" t="s">
        <v>232</v>
      </c>
      <c r="K2408">
        <v>1</v>
      </c>
      <c r="L2408">
        <v>4019.67</v>
      </c>
      <c r="M2408">
        <v>0.05</v>
      </c>
      <c r="N2408">
        <v>3818.69</v>
      </c>
      <c r="O2408">
        <v>2485.2600000000002</v>
      </c>
      <c r="P2408">
        <v>1333.43</v>
      </c>
      <c r="Q2408" t="s">
        <v>31</v>
      </c>
      <c r="R2408">
        <v>0.34918519178042728</v>
      </c>
      <c r="S2408">
        <v>2025</v>
      </c>
      <c r="T2408" t="s">
        <v>2040</v>
      </c>
      <c r="U2408">
        <v>12</v>
      </c>
      <c r="V2408" t="s">
        <v>1803</v>
      </c>
    </row>
    <row r="2409" spans="1:22" x14ac:dyDescent="0.3">
      <c r="A2409" t="s">
        <v>3436</v>
      </c>
      <c r="B2409" s="1">
        <v>45999</v>
      </c>
      <c r="C2409" t="s">
        <v>1779</v>
      </c>
      <c r="D2409" t="s">
        <v>99</v>
      </c>
      <c r="E2409" t="s">
        <v>120</v>
      </c>
      <c r="F2409" t="s">
        <v>121</v>
      </c>
      <c r="G2409" t="s">
        <v>130</v>
      </c>
      <c r="H2409" t="s">
        <v>64</v>
      </c>
      <c r="I2409" t="s">
        <v>108</v>
      </c>
      <c r="J2409" t="s">
        <v>155</v>
      </c>
      <c r="K2409">
        <v>1</v>
      </c>
      <c r="L2409">
        <v>7994.85</v>
      </c>
      <c r="M2409">
        <v>0.15</v>
      </c>
      <c r="N2409">
        <v>6795.62</v>
      </c>
      <c r="O2409">
        <v>5492.43</v>
      </c>
      <c r="P2409">
        <v>1303.19</v>
      </c>
      <c r="Q2409" t="s">
        <v>67</v>
      </c>
      <c r="R2409">
        <v>0.19176911010327241</v>
      </c>
      <c r="S2409">
        <v>2025</v>
      </c>
      <c r="T2409" t="s">
        <v>2040</v>
      </c>
      <c r="U2409">
        <v>12</v>
      </c>
      <c r="V2409" t="s">
        <v>1803</v>
      </c>
    </row>
    <row r="2410" spans="1:22" x14ac:dyDescent="0.3">
      <c r="A2410" t="s">
        <v>3437</v>
      </c>
      <c r="B2410" s="1">
        <v>45999</v>
      </c>
      <c r="C2410" t="s">
        <v>2069</v>
      </c>
      <c r="D2410" t="s">
        <v>154</v>
      </c>
      <c r="E2410" t="s">
        <v>61</v>
      </c>
      <c r="F2410" t="s">
        <v>71</v>
      </c>
      <c r="G2410" t="s">
        <v>72</v>
      </c>
      <c r="H2410" t="s">
        <v>43</v>
      </c>
      <c r="I2410" t="s">
        <v>51</v>
      </c>
      <c r="J2410" t="s">
        <v>52</v>
      </c>
      <c r="K2410">
        <v>1</v>
      </c>
      <c r="L2410">
        <v>688.9</v>
      </c>
      <c r="M2410">
        <v>0.15</v>
      </c>
      <c r="N2410">
        <v>585.55999999999995</v>
      </c>
      <c r="O2410">
        <v>317.85000000000002</v>
      </c>
      <c r="P2410">
        <v>267.70999999999998</v>
      </c>
      <c r="Q2410" t="s">
        <v>31</v>
      </c>
      <c r="R2410">
        <v>0.45718628321606669</v>
      </c>
      <c r="S2410">
        <v>2025</v>
      </c>
      <c r="T2410" t="s">
        <v>2040</v>
      </c>
      <c r="U2410">
        <v>12</v>
      </c>
      <c r="V2410" t="s">
        <v>1803</v>
      </c>
    </row>
    <row r="2411" spans="1:22" x14ac:dyDescent="0.3">
      <c r="A2411" t="s">
        <v>3438</v>
      </c>
      <c r="B2411" s="1">
        <v>46000</v>
      </c>
      <c r="C2411" t="s">
        <v>373</v>
      </c>
      <c r="D2411" t="s">
        <v>516</v>
      </c>
      <c r="E2411" t="s">
        <v>61</v>
      </c>
      <c r="F2411" t="s">
        <v>71</v>
      </c>
      <c r="G2411" t="s">
        <v>317</v>
      </c>
      <c r="H2411" t="s">
        <v>43</v>
      </c>
      <c r="I2411" t="s">
        <v>51</v>
      </c>
      <c r="J2411" t="s">
        <v>52</v>
      </c>
      <c r="K2411">
        <v>4</v>
      </c>
      <c r="L2411">
        <v>694.75</v>
      </c>
      <c r="M2411">
        <v>0.1</v>
      </c>
      <c r="N2411">
        <v>2501.1</v>
      </c>
      <c r="O2411">
        <v>1282.33</v>
      </c>
      <c r="P2411">
        <v>1218.77</v>
      </c>
      <c r="Q2411" t="s">
        <v>53</v>
      </c>
      <c r="R2411">
        <v>0.4872935908200392</v>
      </c>
      <c r="S2411">
        <v>2025</v>
      </c>
      <c r="T2411" t="s">
        <v>2040</v>
      </c>
      <c r="U2411">
        <v>12</v>
      </c>
      <c r="V2411" t="s">
        <v>1803</v>
      </c>
    </row>
    <row r="2412" spans="1:22" x14ac:dyDescent="0.3">
      <c r="A2412" t="s">
        <v>3439</v>
      </c>
      <c r="B2412" s="1">
        <v>46000</v>
      </c>
      <c r="C2412" t="s">
        <v>196</v>
      </c>
      <c r="D2412" t="s">
        <v>935</v>
      </c>
      <c r="E2412" t="s">
        <v>61</v>
      </c>
      <c r="F2412" t="s">
        <v>71</v>
      </c>
      <c r="G2412" t="s">
        <v>317</v>
      </c>
      <c r="H2412" t="s">
        <v>84</v>
      </c>
      <c r="I2412" t="s">
        <v>138</v>
      </c>
      <c r="J2412" t="s">
        <v>220</v>
      </c>
      <c r="K2412">
        <v>5</v>
      </c>
      <c r="L2412">
        <v>7345.36</v>
      </c>
      <c r="M2412">
        <v>0.05</v>
      </c>
      <c r="N2412">
        <v>34890.46</v>
      </c>
      <c r="O2412">
        <v>23778.93</v>
      </c>
      <c r="P2412">
        <v>11111.53</v>
      </c>
      <c r="Q2412" t="s">
        <v>46</v>
      </c>
      <c r="R2412">
        <v>0.31846900270159811</v>
      </c>
      <c r="S2412">
        <v>2025</v>
      </c>
      <c r="T2412" t="s">
        <v>2040</v>
      </c>
      <c r="U2412">
        <v>12</v>
      </c>
      <c r="V2412" t="s">
        <v>1803</v>
      </c>
    </row>
    <row r="2413" spans="1:22" x14ac:dyDescent="0.3">
      <c r="A2413" t="s">
        <v>3440</v>
      </c>
      <c r="B2413" s="1">
        <v>46000</v>
      </c>
      <c r="C2413" t="s">
        <v>2989</v>
      </c>
      <c r="D2413" t="s">
        <v>326</v>
      </c>
      <c r="E2413" t="s">
        <v>25</v>
      </c>
      <c r="F2413" t="s">
        <v>26</v>
      </c>
      <c r="G2413" t="s">
        <v>37</v>
      </c>
      <c r="H2413" t="s">
        <v>43</v>
      </c>
      <c r="I2413" t="s">
        <v>44</v>
      </c>
      <c r="J2413" t="s">
        <v>248</v>
      </c>
      <c r="K2413">
        <v>5</v>
      </c>
      <c r="L2413">
        <v>302.68</v>
      </c>
      <c r="M2413">
        <v>0.1</v>
      </c>
      <c r="N2413">
        <v>1362.06</v>
      </c>
      <c r="O2413">
        <v>633.6</v>
      </c>
      <c r="P2413">
        <v>728.46</v>
      </c>
      <c r="Q2413" t="s">
        <v>67</v>
      </c>
      <c r="R2413">
        <v>0.53482225452623233</v>
      </c>
      <c r="S2413">
        <v>2025</v>
      </c>
      <c r="T2413" t="s">
        <v>2040</v>
      </c>
      <c r="U2413">
        <v>12</v>
      </c>
      <c r="V2413" t="s">
        <v>1803</v>
      </c>
    </row>
    <row r="2414" spans="1:22" x14ac:dyDescent="0.3">
      <c r="A2414" t="s">
        <v>3441</v>
      </c>
      <c r="B2414" s="1">
        <v>46000</v>
      </c>
      <c r="C2414" t="s">
        <v>2858</v>
      </c>
      <c r="D2414" t="s">
        <v>798</v>
      </c>
      <c r="E2414" t="s">
        <v>61</v>
      </c>
      <c r="F2414" t="s">
        <v>78</v>
      </c>
      <c r="G2414" t="s">
        <v>83</v>
      </c>
      <c r="H2414" t="s">
        <v>28</v>
      </c>
      <c r="I2414" t="s">
        <v>29</v>
      </c>
      <c r="J2414" t="s">
        <v>57</v>
      </c>
      <c r="K2414">
        <v>1</v>
      </c>
      <c r="L2414">
        <v>15994.31</v>
      </c>
      <c r="M2414">
        <v>0</v>
      </c>
      <c r="N2414">
        <v>15994.31</v>
      </c>
      <c r="O2414">
        <v>11813.78</v>
      </c>
      <c r="P2414">
        <v>4180.53</v>
      </c>
      <c r="Q2414" t="s">
        <v>46</v>
      </c>
      <c r="R2414">
        <v>0.26137607686733588</v>
      </c>
      <c r="S2414">
        <v>2025</v>
      </c>
      <c r="T2414" t="s">
        <v>2040</v>
      </c>
      <c r="U2414">
        <v>12</v>
      </c>
      <c r="V2414" t="s">
        <v>1803</v>
      </c>
    </row>
    <row r="2415" spans="1:22" x14ac:dyDescent="0.3">
      <c r="A2415" t="s">
        <v>3442</v>
      </c>
      <c r="B2415" s="1">
        <v>46001</v>
      </c>
      <c r="C2415" t="s">
        <v>2815</v>
      </c>
      <c r="D2415" t="s">
        <v>95</v>
      </c>
      <c r="E2415" t="s">
        <v>61</v>
      </c>
      <c r="F2415" t="s">
        <v>78</v>
      </c>
      <c r="G2415" t="s">
        <v>83</v>
      </c>
      <c r="H2415" t="s">
        <v>64</v>
      </c>
      <c r="I2415" t="s">
        <v>108</v>
      </c>
      <c r="J2415" t="s">
        <v>109</v>
      </c>
      <c r="K2415">
        <v>2</v>
      </c>
      <c r="L2415">
        <v>6917.91</v>
      </c>
      <c r="M2415">
        <v>0.05</v>
      </c>
      <c r="N2415">
        <v>13144.03</v>
      </c>
      <c r="O2415">
        <v>8714.19</v>
      </c>
      <c r="P2415">
        <v>4429.84</v>
      </c>
      <c r="Q2415" t="s">
        <v>31</v>
      </c>
      <c r="R2415">
        <v>0.33702296784167413</v>
      </c>
      <c r="S2415">
        <v>2025</v>
      </c>
      <c r="T2415" t="s">
        <v>2040</v>
      </c>
      <c r="U2415">
        <v>12</v>
      </c>
      <c r="V2415" t="s">
        <v>1803</v>
      </c>
    </row>
    <row r="2416" spans="1:22" x14ac:dyDescent="0.3">
      <c r="A2416" t="s">
        <v>3443</v>
      </c>
      <c r="B2416" s="1">
        <v>46002</v>
      </c>
      <c r="C2416" t="s">
        <v>2770</v>
      </c>
      <c r="D2416" t="s">
        <v>185</v>
      </c>
      <c r="E2416" t="s">
        <v>61</v>
      </c>
      <c r="F2416" t="s">
        <v>71</v>
      </c>
      <c r="G2416" t="s">
        <v>317</v>
      </c>
      <c r="H2416" t="s">
        <v>28</v>
      </c>
      <c r="I2416" t="s">
        <v>91</v>
      </c>
      <c r="J2416" t="s">
        <v>126</v>
      </c>
      <c r="K2416">
        <v>2</v>
      </c>
      <c r="L2416">
        <v>1946.25</v>
      </c>
      <c r="M2416">
        <v>0</v>
      </c>
      <c r="N2416">
        <v>3892.5</v>
      </c>
      <c r="O2416">
        <v>2190.4299999999998</v>
      </c>
      <c r="P2416">
        <v>1702.07</v>
      </c>
      <c r="Q2416" t="s">
        <v>53</v>
      </c>
      <c r="R2416">
        <v>0.43726910725754647</v>
      </c>
      <c r="S2416">
        <v>2025</v>
      </c>
      <c r="T2416" t="s">
        <v>2040</v>
      </c>
      <c r="U2416">
        <v>12</v>
      </c>
      <c r="V2416" t="s">
        <v>1803</v>
      </c>
    </row>
    <row r="2417" spans="1:22" x14ac:dyDescent="0.3">
      <c r="A2417" t="s">
        <v>3444</v>
      </c>
      <c r="B2417" s="1">
        <v>46002</v>
      </c>
      <c r="C2417" t="s">
        <v>2507</v>
      </c>
      <c r="D2417" t="s">
        <v>740</v>
      </c>
      <c r="E2417" t="s">
        <v>61</v>
      </c>
      <c r="F2417" t="s">
        <v>71</v>
      </c>
      <c r="G2417" t="s">
        <v>201</v>
      </c>
      <c r="H2417" t="s">
        <v>64</v>
      </c>
      <c r="I2417" t="s">
        <v>108</v>
      </c>
      <c r="J2417" t="s">
        <v>155</v>
      </c>
      <c r="K2417">
        <v>1</v>
      </c>
      <c r="L2417">
        <v>8610.32</v>
      </c>
      <c r="M2417">
        <v>0.15</v>
      </c>
      <c r="N2417">
        <v>7318.77</v>
      </c>
      <c r="O2417">
        <v>5689.25</v>
      </c>
      <c r="P2417">
        <v>1629.52</v>
      </c>
      <c r="Q2417" t="s">
        <v>53</v>
      </c>
      <c r="R2417">
        <v>0.2226494342628611</v>
      </c>
      <c r="S2417">
        <v>2025</v>
      </c>
      <c r="T2417" t="s">
        <v>2040</v>
      </c>
      <c r="U2417">
        <v>12</v>
      </c>
      <c r="V2417" t="s">
        <v>1803</v>
      </c>
    </row>
    <row r="2418" spans="1:22" x14ac:dyDescent="0.3">
      <c r="A2418" t="s">
        <v>3445</v>
      </c>
      <c r="B2418" s="1">
        <v>46003</v>
      </c>
      <c r="C2418" t="s">
        <v>294</v>
      </c>
      <c r="D2418" t="s">
        <v>24</v>
      </c>
      <c r="E2418" t="s">
        <v>25</v>
      </c>
      <c r="F2418" t="s">
        <v>26</v>
      </c>
      <c r="G2418" t="s">
        <v>27</v>
      </c>
      <c r="H2418" t="s">
        <v>28</v>
      </c>
      <c r="I2418" t="s">
        <v>73</v>
      </c>
      <c r="J2418" t="s">
        <v>74</v>
      </c>
      <c r="K2418">
        <v>6</v>
      </c>
      <c r="L2418">
        <v>2453.12</v>
      </c>
      <c r="M2418">
        <v>0</v>
      </c>
      <c r="N2418">
        <v>14718.72</v>
      </c>
      <c r="O2418">
        <v>8179.66</v>
      </c>
      <c r="P2418">
        <v>6539.06</v>
      </c>
      <c r="Q2418" t="s">
        <v>46</v>
      </c>
      <c r="R2418">
        <v>0.4442682515870946</v>
      </c>
      <c r="S2418">
        <v>2025</v>
      </c>
      <c r="T2418" t="s">
        <v>2040</v>
      </c>
      <c r="U2418">
        <v>12</v>
      </c>
      <c r="V2418" t="s">
        <v>1803</v>
      </c>
    </row>
    <row r="2419" spans="1:22" x14ac:dyDescent="0.3">
      <c r="A2419" t="s">
        <v>3446</v>
      </c>
      <c r="B2419" s="1">
        <v>46003</v>
      </c>
      <c r="C2419" t="s">
        <v>999</v>
      </c>
      <c r="D2419" t="s">
        <v>935</v>
      </c>
      <c r="E2419" t="s">
        <v>61</v>
      </c>
      <c r="F2419" t="s">
        <v>78</v>
      </c>
      <c r="G2419" t="s">
        <v>83</v>
      </c>
      <c r="H2419" t="s">
        <v>64</v>
      </c>
      <c r="I2419" t="s">
        <v>108</v>
      </c>
      <c r="J2419" t="s">
        <v>109</v>
      </c>
      <c r="K2419">
        <v>1</v>
      </c>
      <c r="L2419">
        <v>6935.42</v>
      </c>
      <c r="M2419">
        <v>0.2</v>
      </c>
      <c r="N2419">
        <v>5548.34</v>
      </c>
      <c r="O2419">
        <v>4450.6000000000004</v>
      </c>
      <c r="P2419">
        <v>1097.74</v>
      </c>
      <c r="Q2419" t="s">
        <v>67</v>
      </c>
      <c r="R2419">
        <v>0.19785016779793599</v>
      </c>
      <c r="S2419">
        <v>2025</v>
      </c>
      <c r="T2419" t="s">
        <v>2040</v>
      </c>
      <c r="U2419">
        <v>12</v>
      </c>
      <c r="V2419" t="s">
        <v>1803</v>
      </c>
    </row>
    <row r="2420" spans="1:22" x14ac:dyDescent="0.3">
      <c r="A2420" t="s">
        <v>3447</v>
      </c>
      <c r="B2420" s="1">
        <v>46003</v>
      </c>
      <c r="C2420" t="s">
        <v>190</v>
      </c>
      <c r="D2420" t="s">
        <v>197</v>
      </c>
      <c r="E2420" t="s">
        <v>61</v>
      </c>
      <c r="F2420" t="s">
        <v>71</v>
      </c>
      <c r="G2420" t="s">
        <v>100</v>
      </c>
      <c r="H2420" t="s">
        <v>84</v>
      </c>
      <c r="I2420" t="s">
        <v>138</v>
      </c>
      <c r="J2420" t="s">
        <v>139</v>
      </c>
      <c r="K2420">
        <v>3</v>
      </c>
      <c r="L2420">
        <v>13065.08</v>
      </c>
      <c r="M2420">
        <v>0.05</v>
      </c>
      <c r="N2420">
        <v>37235.480000000003</v>
      </c>
      <c r="O2420">
        <v>29152.59</v>
      </c>
      <c r="P2420">
        <v>8082.89</v>
      </c>
      <c r="Q2420" t="s">
        <v>31</v>
      </c>
      <c r="R2420">
        <v>0.21707495109503089</v>
      </c>
      <c r="S2420">
        <v>2025</v>
      </c>
      <c r="T2420" t="s">
        <v>2040</v>
      </c>
      <c r="U2420">
        <v>12</v>
      </c>
      <c r="V2420" t="s">
        <v>1803</v>
      </c>
    </row>
    <row r="2421" spans="1:22" x14ac:dyDescent="0.3">
      <c r="A2421" t="s">
        <v>3448</v>
      </c>
      <c r="B2421" s="1">
        <v>46003</v>
      </c>
      <c r="C2421" t="s">
        <v>2006</v>
      </c>
      <c r="D2421" t="s">
        <v>657</v>
      </c>
      <c r="E2421" t="s">
        <v>61</v>
      </c>
      <c r="F2421" t="s">
        <v>78</v>
      </c>
      <c r="G2421" t="s">
        <v>216</v>
      </c>
      <c r="H2421" t="s">
        <v>84</v>
      </c>
      <c r="I2421" t="s">
        <v>85</v>
      </c>
      <c r="J2421" t="s">
        <v>145</v>
      </c>
      <c r="K2421">
        <v>2</v>
      </c>
      <c r="L2421">
        <v>3323.61</v>
      </c>
      <c r="M2421">
        <v>0.1</v>
      </c>
      <c r="N2421">
        <v>5982.5</v>
      </c>
      <c r="O2421">
        <v>3714.46</v>
      </c>
      <c r="P2421">
        <v>2268.04</v>
      </c>
      <c r="Q2421" t="s">
        <v>31</v>
      </c>
      <c r="R2421">
        <v>0.37911241119933142</v>
      </c>
      <c r="S2421">
        <v>2025</v>
      </c>
      <c r="T2421" t="s">
        <v>2040</v>
      </c>
      <c r="U2421">
        <v>12</v>
      </c>
      <c r="V2421" t="s">
        <v>1803</v>
      </c>
    </row>
    <row r="2422" spans="1:22" x14ac:dyDescent="0.3">
      <c r="A2422" t="s">
        <v>3449</v>
      </c>
      <c r="B2422" s="1">
        <v>46003</v>
      </c>
      <c r="C2422" t="s">
        <v>502</v>
      </c>
      <c r="D2422" t="s">
        <v>2171</v>
      </c>
      <c r="E2422" t="s">
        <v>25</v>
      </c>
      <c r="F2422" t="s">
        <v>26</v>
      </c>
      <c r="G2422" t="s">
        <v>37</v>
      </c>
      <c r="H2422" t="s">
        <v>28</v>
      </c>
      <c r="I2422" t="s">
        <v>91</v>
      </c>
      <c r="J2422" t="s">
        <v>126</v>
      </c>
      <c r="K2422">
        <v>2</v>
      </c>
      <c r="L2422">
        <v>1992.8</v>
      </c>
      <c r="M2422">
        <v>0.05</v>
      </c>
      <c r="N2422">
        <v>3786.32</v>
      </c>
      <c r="O2422">
        <v>2241.23</v>
      </c>
      <c r="P2422">
        <v>1545.09</v>
      </c>
      <c r="Q2422" t="s">
        <v>31</v>
      </c>
      <c r="R2422">
        <v>0.40807168966172958</v>
      </c>
      <c r="S2422">
        <v>2025</v>
      </c>
      <c r="T2422" t="s">
        <v>2040</v>
      </c>
      <c r="U2422">
        <v>12</v>
      </c>
      <c r="V2422" t="s">
        <v>1803</v>
      </c>
    </row>
    <row r="2423" spans="1:22" x14ac:dyDescent="0.3">
      <c r="A2423" t="s">
        <v>3450</v>
      </c>
      <c r="B2423" s="1">
        <v>46004</v>
      </c>
      <c r="C2423" t="s">
        <v>448</v>
      </c>
      <c r="D2423" t="s">
        <v>270</v>
      </c>
      <c r="E2423" t="s">
        <v>61</v>
      </c>
      <c r="F2423" t="s">
        <v>78</v>
      </c>
      <c r="G2423" t="s">
        <v>104</v>
      </c>
      <c r="H2423" t="s">
        <v>43</v>
      </c>
      <c r="I2423" t="s">
        <v>44</v>
      </c>
      <c r="J2423" t="s">
        <v>45</v>
      </c>
      <c r="K2423">
        <v>1</v>
      </c>
      <c r="L2423">
        <v>251.26</v>
      </c>
      <c r="M2423">
        <v>0.1</v>
      </c>
      <c r="N2423">
        <v>226.13</v>
      </c>
      <c r="O2423">
        <v>93</v>
      </c>
      <c r="P2423">
        <v>133.13</v>
      </c>
      <c r="Q2423" t="s">
        <v>67</v>
      </c>
      <c r="R2423">
        <v>0.58873214522619732</v>
      </c>
      <c r="S2423">
        <v>2025</v>
      </c>
      <c r="T2423" t="s">
        <v>2040</v>
      </c>
      <c r="U2423">
        <v>12</v>
      </c>
      <c r="V2423" t="s">
        <v>1803</v>
      </c>
    </row>
    <row r="2424" spans="1:22" x14ac:dyDescent="0.3">
      <c r="A2424" t="s">
        <v>3451</v>
      </c>
      <c r="B2424" s="1">
        <v>46004</v>
      </c>
      <c r="C2424" t="s">
        <v>94</v>
      </c>
      <c r="D2424" t="s">
        <v>911</v>
      </c>
      <c r="E2424" t="s">
        <v>61</v>
      </c>
      <c r="F2424" t="s">
        <v>78</v>
      </c>
      <c r="G2424" t="s">
        <v>104</v>
      </c>
      <c r="H2424" t="s">
        <v>84</v>
      </c>
      <c r="I2424" t="s">
        <v>138</v>
      </c>
      <c r="J2424" t="s">
        <v>139</v>
      </c>
      <c r="K2424">
        <v>1</v>
      </c>
      <c r="L2424">
        <v>12864.57</v>
      </c>
      <c r="M2424">
        <v>0.1</v>
      </c>
      <c r="N2424">
        <v>11578.11</v>
      </c>
      <c r="O2424">
        <v>9515.83</v>
      </c>
      <c r="P2424">
        <v>2062.2800000000002</v>
      </c>
      <c r="Q2424" t="s">
        <v>31</v>
      </c>
      <c r="R2424">
        <v>0.17811888123363831</v>
      </c>
      <c r="S2424">
        <v>2025</v>
      </c>
      <c r="T2424" t="s">
        <v>2040</v>
      </c>
      <c r="U2424">
        <v>12</v>
      </c>
      <c r="V2424" t="s">
        <v>1803</v>
      </c>
    </row>
    <row r="2425" spans="1:22" x14ac:dyDescent="0.3">
      <c r="A2425" t="s">
        <v>3452</v>
      </c>
      <c r="B2425" s="1">
        <v>46004</v>
      </c>
      <c r="C2425" t="s">
        <v>1465</v>
      </c>
      <c r="D2425" t="s">
        <v>752</v>
      </c>
      <c r="E2425" t="s">
        <v>41</v>
      </c>
      <c r="F2425" t="s">
        <v>42</v>
      </c>
      <c r="G2425" t="s">
        <v>50</v>
      </c>
      <c r="H2425" t="s">
        <v>28</v>
      </c>
      <c r="I2425" t="s">
        <v>91</v>
      </c>
      <c r="J2425" t="s">
        <v>126</v>
      </c>
      <c r="K2425">
        <v>2</v>
      </c>
      <c r="L2425">
        <v>1972.94</v>
      </c>
      <c r="M2425">
        <v>0.05</v>
      </c>
      <c r="N2425">
        <v>3748.59</v>
      </c>
      <c r="O2425">
        <v>2230.65</v>
      </c>
      <c r="P2425">
        <v>1517.94</v>
      </c>
      <c r="Q2425" t="s">
        <v>113</v>
      </c>
      <c r="R2425">
        <v>0.40493625603226813</v>
      </c>
      <c r="S2425">
        <v>2025</v>
      </c>
      <c r="T2425" t="s">
        <v>2040</v>
      </c>
      <c r="U2425">
        <v>12</v>
      </c>
      <c r="V2425" t="s">
        <v>1803</v>
      </c>
    </row>
    <row r="2426" spans="1:22" x14ac:dyDescent="0.3">
      <c r="A2426" t="s">
        <v>3453</v>
      </c>
      <c r="B2426" s="1">
        <v>46004</v>
      </c>
      <c r="C2426" t="s">
        <v>3168</v>
      </c>
      <c r="D2426" t="s">
        <v>582</v>
      </c>
      <c r="E2426" t="s">
        <v>41</v>
      </c>
      <c r="F2426" t="s">
        <v>42</v>
      </c>
      <c r="G2426" t="s">
        <v>50</v>
      </c>
      <c r="H2426" t="s">
        <v>43</v>
      </c>
      <c r="I2426" t="s">
        <v>51</v>
      </c>
      <c r="J2426" t="s">
        <v>96</v>
      </c>
      <c r="K2426">
        <v>3</v>
      </c>
      <c r="L2426">
        <v>479.6</v>
      </c>
      <c r="M2426">
        <v>0.1</v>
      </c>
      <c r="N2426">
        <v>1294.92</v>
      </c>
      <c r="O2426">
        <v>656.22</v>
      </c>
      <c r="P2426">
        <v>638.70000000000005</v>
      </c>
      <c r="Q2426" t="s">
        <v>31</v>
      </c>
      <c r="R2426">
        <v>0.49323510332684639</v>
      </c>
      <c r="S2426">
        <v>2025</v>
      </c>
      <c r="T2426" t="s">
        <v>2040</v>
      </c>
      <c r="U2426">
        <v>12</v>
      </c>
      <c r="V2426" t="s">
        <v>1803</v>
      </c>
    </row>
    <row r="2427" spans="1:22" x14ac:dyDescent="0.3">
      <c r="A2427" t="s">
        <v>3454</v>
      </c>
      <c r="B2427" s="1">
        <v>46004</v>
      </c>
      <c r="C2427" t="s">
        <v>861</v>
      </c>
      <c r="D2427" t="s">
        <v>685</v>
      </c>
      <c r="E2427" t="s">
        <v>41</v>
      </c>
      <c r="F2427" t="s">
        <v>42</v>
      </c>
      <c r="G2427" t="s">
        <v>50</v>
      </c>
      <c r="H2427" t="s">
        <v>28</v>
      </c>
      <c r="I2427" t="s">
        <v>29</v>
      </c>
      <c r="J2427" t="s">
        <v>30</v>
      </c>
      <c r="K2427">
        <v>1</v>
      </c>
      <c r="L2427">
        <v>56427.93</v>
      </c>
      <c r="M2427">
        <v>0.05</v>
      </c>
      <c r="N2427">
        <v>53606.53</v>
      </c>
      <c r="O2427">
        <v>49137.07</v>
      </c>
      <c r="P2427">
        <v>4469.46</v>
      </c>
      <c r="Q2427" t="s">
        <v>31</v>
      </c>
      <c r="R2427">
        <v>8.3375290286463233E-2</v>
      </c>
      <c r="S2427">
        <v>2025</v>
      </c>
      <c r="T2427" t="s">
        <v>2040</v>
      </c>
      <c r="U2427">
        <v>12</v>
      </c>
      <c r="V2427" t="s">
        <v>1803</v>
      </c>
    </row>
    <row r="2428" spans="1:22" x14ac:dyDescent="0.3">
      <c r="A2428" t="s">
        <v>3455</v>
      </c>
      <c r="B2428" s="1">
        <v>46005</v>
      </c>
      <c r="C2428" t="s">
        <v>2624</v>
      </c>
      <c r="D2428" t="s">
        <v>371</v>
      </c>
      <c r="E2428" t="s">
        <v>25</v>
      </c>
      <c r="F2428" t="s">
        <v>26</v>
      </c>
      <c r="G2428" t="s">
        <v>171</v>
      </c>
      <c r="H2428" t="s">
        <v>64</v>
      </c>
      <c r="I2428" t="s">
        <v>108</v>
      </c>
      <c r="J2428" t="s">
        <v>155</v>
      </c>
      <c r="K2428">
        <v>2</v>
      </c>
      <c r="L2428">
        <v>8724.1299999999992</v>
      </c>
      <c r="M2428">
        <v>0</v>
      </c>
      <c r="N2428">
        <v>17448.259999999998</v>
      </c>
      <c r="O2428">
        <v>12302.84</v>
      </c>
      <c r="P2428">
        <v>5145.42</v>
      </c>
      <c r="Q2428" t="s">
        <v>46</v>
      </c>
      <c r="R2428">
        <v>0.2948958807353857</v>
      </c>
      <c r="S2428">
        <v>2025</v>
      </c>
      <c r="T2428" t="s">
        <v>2040</v>
      </c>
      <c r="U2428">
        <v>12</v>
      </c>
      <c r="V2428" t="s">
        <v>1803</v>
      </c>
    </row>
    <row r="2429" spans="1:22" x14ac:dyDescent="0.3">
      <c r="A2429" t="s">
        <v>3456</v>
      </c>
      <c r="B2429" s="1">
        <v>46005</v>
      </c>
      <c r="C2429" t="s">
        <v>2435</v>
      </c>
      <c r="D2429" t="s">
        <v>1795</v>
      </c>
      <c r="E2429" t="s">
        <v>61</v>
      </c>
      <c r="F2429" t="s">
        <v>71</v>
      </c>
      <c r="G2429" t="s">
        <v>72</v>
      </c>
      <c r="H2429" t="s">
        <v>43</v>
      </c>
      <c r="I2429" t="s">
        <v>51</v>
      </c>
      <c r="J2429" t="s">
        <v>96</v>
      </c>
      <c r="K2429">
        <v>3</v>
      </c>
      <c r="L2429">
        <v>502.32</v>
      </c>
      <c r="M2429">
        <v>0.1</v>
      </c>
      <c r="N2429">
        <v>1356.26</v>
      </c>
      <c r="O2429">
        <v>692.93</v>
      </c>
      <c r="P2429">
        <v>663.33</v>
      </c>
      <c r="Q2429" t="s">
        <v>31</v>
      </c>
      <c r="R2429">
        <v>0.4890876380634982</v>
      </c>
      <c r="S2429">
        <v>2025</v>
      </c>
      <c r="T2429" t="s">
        <v>2040</v>
      </c>
      <c r="U2429">
        <v>12</v>
      </c>
      <c r="V2429" t="s">
        <v>1803</v>
      </c>
    </row>
    <row r="2430" spans="1:22" x14ac:dyDescent="0.3">
      <c r="A2430" t="s">
        <v>3457</v>
      </c>
      <c r="B2430" s="1">
        <v>46005</v>
      </c>
      <c r="C2430" t="s">
        <v>2006</v>
      </c>
      <c r="D2430" t="s">
        <v>209</v>
      </c>
      <c r="E2430" t="s">
        <v>120</v>
      </c>
      <c r="F2430" t="s">
        <v>121</v>
      </c>
      <c r="G2430" t="s">
        <v>122</v>
      </c>
      <c r="H2430" t="s">
        <v>28</v>
      </c>
      <c r="I2430" t="s">
        <v>73</v>
      </c>
      <c r="J2430" t="s">
        <v>74</v>
      </c>
      <c r="K2430">
        <v>3</v>
      </c>
      <c r="L2430">
        <v>2432.46</v>
      </c>
      <c r="M2430">
        <v>0.15</v>
      </c>
      <c r="N2430">
        <v>6202.77</v>
      </c>
      <c r="O2430">
        <v>3917.9</v>
      </c>
      <c r="P2430">
        <v>2284.87</v>
      </c>
      <c r="Q2430" t="s">
        <v>53</v>
      </c>
      <c r="R2430">
        <v>0.36836284434212452</v>
      </c>
      <c r="S2430">
        <v>2025</v>
      </c>
      <c r="T2430" t="s">
        <v>2040</v>
      </c>
      <c r="U2430">
        <v>12</v>
      </c>
      <c r="V2430" t="s">
        <v>1803</v>
      </c>
    </row>
    <row r="2431" spans="1:22" x14ac:dyDescent="0.3">
      <c r="A2431" t="s">
        <v>3458</v>
      </c>
      <c r="B2431" s="1">
        <v>46005</v>
      </c>
      <c r="C2431" t="s">
        <v>3459</v>
      </c>
      <c r="D2431" t="s">
        <v>1585</v>
      </c>
      <c r="E2431" t="s">
        <v>25</v>
      </c>
      <c r="F2431" t="s">
        <v>26</v>
      </c>
      <c r="G2431" t="s">
        <v>37</v>
      </c>
      <c r="H2431" t="s">
        <v>28</v>
      </c>
      <c r="I2431" t="s">
        <v>91</v>
      </c>
      <c r="J2431" t="s">
        <v>126</v>
      </c>
      <c r="K2431">
        <v>1</v>
      </c>
      <c r="L2431">
        <v>1968.64</v>
      </c>
      <c r="M2431">
        <v>0</v>
      </c>
      <c r="N2431">
        <v>1968.64</v>
      </c>
      <c r="O2431">
        <v>1152.81</v>
      </c>
      <c r="P2431">
        <v>815.83</v>
      </c>
      <c r="Q2431" t="s">
        <v>46</v>
      </c>
      <c r="R2431">
        <v>0.41441299577373208</v>
      </c>
      <c r="S2431">
        <v>2025</v>
      </c>
      <c r="T2431" t="s">
        <v>2040</v>
      </c>
      <c r="U2431">
        <v>12</v>
      </c>
      <c r="V2431" t="s">
        <v>1803</v>
      </c>
    </row>
    <row r="2432" spans="1:22" x14ac:dyDescent="0.3">
      <c r="A2432" t="s">
        <v>3460</v>
      </c>
      <c r="B2432" s="1">
        <v>46005</v>
      </c>
      <c r="C2432" t="s">
        <v>1206</v>
      </c>
      <c r="D2432" t="s">
        <v>1530</v>
      </c>
      <c r="E2432" t="s">
        <v>25</v>
      </c>
      <c r="F2432" t="s">
        <v>26</v>
      </c>
      <c r="G2432" t="s">
        <v>260</v>
      </c>
      <c r="H2432" t="s">
        <v>64</v>
      </c>
      <c r="I2432" t="s">
        <v>108</v>
      </c>
      <c r="J2432" t="s">
        <v>109</v>
      </c>
      <c r="K2432">
        <v>1</v>
      </c>
      <c r="L2432">
        <v>7056.63</v>
      </c>
      <c r="M2432">
        <v>0</v>
      </c>
      <c r="N2432">
        <v>7056.63</v>
      </c>
      <c r="O2432">
        <v>4409.04</v>
      </c>
      <c r="P2432">
        <v>2647.59</v>
      </c>
      <c r="Q2432" t="s">
        <v>31</v>
      </c>
      <c r="R2432">
        <v>0.37519184086454871</v>
      </c>
      <c r="S2432">
        <v>2025</v>
      </c>
      <c r="T2432" t="s">
        <v>2040</v>
      </c>
      <c r="U2432">
        <v>12</v>
      </c>
      <c r="V2432" t="s">
        <v>1803</v>
      </c>
    </row>
    <row r="2433" spans="1:22" x14ac:dyDescent="0.3">
      <c r="A2433" t="s">
        <v>3461</v>
      </c>
      <c r="B2433" s="1">
        <v>46006</v>
      </c>
      <c r="C2433" t="s">
        <v>1560</v>
      </c>
      <c r="D2433" t="s">
        <v>3047</v>
      </c>
      <c r="E2433" t="s">
        <v>61</v>
      </c>
      <c r="F2433" t="s">
        <v>62</v>
      </c>
      <c r="G2433" t="s">
        <v>63</v>
      </c>
      <c r="H2433" t="s">
        <v>64</v>
      </c>
      <c r="I2433" t="s">
        <v>108</v>
      </c>
      <c r="J2433" t="s">
        <v>109</v>
      </c>
      <c r="K2433">
        <v>4</v>
      </c>
      <c r="L2433">
        <v>7166.98</v>
      </c>
      <c r="M2433">
        <v>0.05</v>
      </c>
      <c r="N2433">
        <v>27234.52</v>
      </c>
      <c r="O2433">
        <v>17624.36</v>
      </c>
      <c r="P2433">
        <v>9610.16</v>
      </c>
      <c r="Q2433" t="s">
        <v>31</v>
      </c>
      <c r="R2433">
        <v>0.35286687630257479</v>
      </c>
      <c r="S2433">
        <v>2025</v>
      </c>
      <c r="T2433" t="s">
        <v>2040</v>
      </c>
      <c r="U2433">
        <v>12</v>
      </c>
      <c r="V2433" t="s">
        <v>1803</v>
      </c>
    </row>
    <row r="2434" spans="1:22" x14ac:dyDescent="0.3">
      <c r="A2434" t="s">
        <v>3462</v>
      </c>
      <c r="B2434" s="1">
        <v>46006</v>
      </c>
      <c r="C2434" t="s">
        <v>448</v>
      </c>
      <c r="D2434" t="s">
        <v>1096</v>
      </c>
      <c r="E2434" t="s">
        <v>120</v>
      </c>
      <c r="F2434" t="s">
        <v>121</v>
      </c>
      <c r="G2434" t="s">
        <v>224</v>
      </c>
      <c r="H2434" t="s">
        <v>43</v>
      </c>
      <c r="I2434" t="s">
        <v>44</v>
      </c>
      <c r="J2434" t="s">
        <v>248</v>
      </c>
      <c r="K2434">
        <v>3</v>
      </c>
      <c r="L2434">
        <v>298.93</v>
      </c>
      <c r="M2434">
        <v>0.05</v>
      </c>
      <c r="N2434">
        <v>851.95</v>
      </c>
      <c r="O2434">
        <v>386.18</v>
      </c>
      <c r="P2434">
        <v>465.77</v>
      </c>
      <c r="Q2434" t="s">
        <v>46</v>
      </c>
      <c r="R2434">
        <v>0.54671048770467745</v>
      </c>
      <c r="S2434">
        <v>2025</v>
      </c>
      <c r="T2434" t="s">
        <v>2040</v>
      </c>
      <c r="U2434">
        <v>12</v>
      </c>
      <c r="V2434" t="s">
        <v>1803</v>
      </c>
    </row>
    <row r="2435" spans="1:22" x14ac:dyDescent="0.3">
      <c r="A2435" t="s">
        <v>3463</v>
      </c>
      <c r="B2435" s="1">
        <v>46007</v>
      </c>
      <c r="C2435" t="s">
        <v>934</v>
      </c>
      <c r="D2435" t="s">
        <v>641</v>
      </c>
      <c r="E2435" t="s">
        <v>61</v>
      </c>
      <c r="F2435" t="s">
        <v>78</v>
      </c>
      <c r="G2435" t="s">
        <v>104</v>
      </c>
      <c r="H2435" t="s">
        <v>43</v>
      </c>
      <c r="I2435" t="s">
        <v>44</v>
      </c>
      <c r="J2435" t="s">
        <v>45</v>
      </c>
      <c r="K2435">
        <v>6</v>
      </c>
      <c r="L2435">
        <v>253.72</v>
      </c>
      <c r="M2435">
        <v>0</v>
      </c>
      <c r="N2435">
        <v>1522.32</v>
      </c>
      <c r="O2435">
        <v>567.98</v>
      </c>
      <c r="P2435">
        <v>954.34</v>
      </c>
      <c r="Q2435" t="s">
        <v>67</v>
      </c>
      <c r="R2435">
        <v>0.62689841820379422</v>
      </c>
      <c r="S2435">
        <v>2025</v>
      </c>
      <c r="T2435" t="s">
        <v>2040</v>
      </c>
      <c r="U2435">
        <v>12</v>
      </c>
      <c r="V2435" t="s">
        <v>1803</v>
      </c>
    </row>
    <row r="2436" spans="1:22" x14ac:dyDescent="0.3">
      <c r="A2436" t="s">
        <v>3464</v>
      </c>
      <c r="B2436" s="1">
        <v>46007</v>
      </c>
      <c r="C2436" t="s">
        <v>492</v>
      </c>
      <c r="D2436" t="s">
        <v>1798</v>
      </c>
      <c r="E2436" t="s">
        <v>25</v>
      </c>
      <c r="F2436" t="s">
        <v>26</v>
      </c>
      <c r="G2436" t="s">
        <v>27</v>
      </c>
      <c r="H2436" t="s">
        <v>84</v>
      </c>
      <c r="I2436" t="s">
        <v>138</v>
      </c>
      <c r="J2436" t="s">
        <v>220</v>
      </c>
      <c r="K2436">
        <v>5</v>
      </c>
      <c r="L2436">
        <v>7793.9</v>
      </c>
      <c r="M2436">
        <v>0.05</v>
      </c>
      <c r="N2436">
        <v>37021.03</v>
      </c>
      <c r="O2436">
        <v>25594.17</v>
      </c>
      <c r="P2436">
        <v>11426.86</v>
      </c>
      <c r="Q2436" t="s">
        <v>67</v>
      </c>
      <c r="R2436">
        <v>0.30865861916861848</v>
      </c>
      <c r="S2436">
        <v>2025</v>
      </c>
      <c r="T2436" t="s">
        <v>2040</v>
      </c>
      <c r="U2436">
        <v>12</v>
      </c>
      <c r="V2436" t="s">
        <v>1803</v>
      </c>
    </row>
    <row r="2437" spans="1:22" x14ac:dyDescent="0.3">
      <c r="A2437" t="s">
        <v>3465</v>
      </c>
      <c r="B2437" s="1">
        <v>46007</v>
      </c>
      <c r="C2437" t="s">
        <v>1115</v>
      </c>
      <c r="D2437" t="s">
        <v>670</v>
      </c>
      <c r="E2437" t="s">
        <v>61</v>
      </c>
      <c r="F2437" t="s">
        <v>62</v>
      </c>
      <c r="G2437" t="s">
        <v>90</v>
      </c>
      <c r="H2437" t="s">
        <v>28</v>
      </c>
      <c r="I2437" t="s">
        <v>73</v>
      </c>
      <c r="J2437" t="s">
        <v>80</v>
      </c>
      <c r="K2437">
        <v>4</v>
      </c>
      <c r="L2437">
        <v>766.42</v>
      </c>
      <c r="M2437">
        <v>0.1</v>
      </c>
      <c r="N2437">
        <v>2759.11</v>
      </c>
      <c r="O2437">
        <v>1899.04</v>
      </c>
      <c r="P2437">
        <v>860.07</v>
      </c>
      <c r="Q2437" t="s">
        <v>31</v>
      </c>
      <c r="R2437">
        <v>0.31172008365016263</v>
      </c>
      <c r="S2437">
        <v>2025</v>
      </c>
      <c r="T2437" t="s">
        <v>2040</v>
      </c>
      <c r="U2437">
        <v>12</v>
      </c>
      <c r="V2437" t="s">
        <v>1803</v>
      </c>
    </row>
    <row r="2438" spans="1:22" x14ac:dyDescent="0.3">
      <c r="A2438" t="s">
        <v>3466</v>
      </c>
      <c r="B2438" s="1">
        <v>46008</v>
      </c>
      <c r="C2438" t="s">
        <v>985</v>
      </c>
      <c r="D2438" t="s">
        <v>1449</v>
      </c>
      <c r="E2438" t="s">
        <v>120</v>
      </c>
      <c r="F2438" t="s">
        <v>121</v>
      </c>
      <c r="G2438" t="s">
        <v>224</v>
      </c>
      <c r="H2438" t="s">
        <v>84</v>
      </c>
      <c r="I2438" t="s">
        <v>85</v>
      </c>
      <c r="J2438" t="s">
        <v>145</v>
      </c>
      <c r="K2438">
        <v>6</v>
      </c>
      <c r="L2438">
        <v>3197.73</v>
      </c>
      <c r="M2438">
        <v>0.1</v>
      </c>
      <c r="N2438">
        <v>17267.740000000002</v>
      </c>
      <c r="O2438">
        <v>11057.68</v>
      </c>
      <c r="P2438">
        <v>6210.06</v>
      </c>
      <c r="Q2438" t="s">
        <v>31</v>
      </c>
      <c r="R2438">
        <v>0.35963362895202272</v>
      </c>
      <c r="S2438">
        <v>2025</v>
      </c>
      <c r="T2438" t="s">
        <v>2040</v>
      </c>
      <c r="U2438">
        <v>12</v>
      </c>
      <c r="V2438" t="s">
        <v>1803</v>
      </c>
    </row>
    <row r="2439" spans="1:22" x14ac:dyDescent="0.3">
      <c r="A2439" t="s">
        <v>3467</v>
      </c>
      <c r="B2439" s="1">
        <v>46008</v>
      </c>
      <c r="C2439" t="s">
        <v>1306</v>
      </c>
      <c r="D2439" t="s">
        <v>1203</v>
      </c>
      <c r="E2439" t="s">
        <v>61</v>
      </c>
      <c r="F2439" t="s">
        <v>78</v>
      </c>
      <c r="G2439" t="s">
        <v>79</v>
      </c>
      <c r="H2439" t="s">
        <v>28</v>
      </c>
      <c r="I2439" t="s">
        <v>91</v>
      </c>
      <c r="J2439" t="s">
        <v>92</v>
      </c>
      <c r="K2439">
        <v>2</v>
      </c>
      <c r="L2439">
        <v>2992.93</v>
      </c>
      <c r="M2439">
        <v>0.05</v>
      </c>
      <c r="N2439">
        <v>5686.57</v>
      </c>
      <c r="O2439">
        <v>2990.85</v>
      </c>
      <c r="P2439">
        <v>2695.72</v>
      </c>
      <c r="Q2439" t="s">
        <v>46</v>
      </c>
      <c r="R2439">
        <v>0.47405026228464608</v>
      </c>
      <c r="S2439">
        <v>2025</v>
      </c>
      <c r="T2439" t="s">
        <v>2040</v>
      </c>
      <c r="U2439">
        <v>12</v>
      </c>
      <c r="V2439" t="s">
        <v>1803</v>
      </c>
    </row>
    <row r="2440" spans="1:22" x14ac:dyDescent="0.3">
      <c r="A2440" t="s">
        <v>3468</v>
      </c>
      <c r="B2440" s="1">
        <v>46008</v>
      </c>
      <c r="C2440" t="s">
        <v>962</v>
      </c>
      <c r="D2440" t="s">
        <v>997</v>
      </c>
      <c r="E2440" t="s">
        <v>120</v>
      </c>
      <c r="F2440" t="s">
        <v>121</v>
      </c>
      <c r="G2440" t="s">
        <v>224</v>
      </c>
      <c r="H2440" t="s">
        <v>28</v>
      </c>
      <c r="I2440" t="s">
        <v>73</v>
      </c>
      <c r="J2440" t="s">
        <v>74</v>
      </c>
      <c r="K2440">
        <v>2</v>
      </c>
      <c r="L2440">
        <v>2417.89</v>
      </c>
      <c r="M2440">
        <v>0.05</v>
      </c>
      <c r="N2440">
        <v>4593.99</v>
      </c>
      <c r="O2440">
        <v>2656.46</v>
      </c>
      <c r="P2440">
        <v>1937.53</v>
      </c>
      <c r="Q2440" t="s">
        <v>31</v>
      </c>
      <c r="R2440">
        <v>0.42175320364214991</v>
      </c>
      <c r="S2440">
        <v>2025</v>
      </c>
      <c r="T2440" t="s">
        <v>2040</v>
      </c>
      <c r="U2440">
        <v>12</v>
      </c>
      <c r="V2440" t="s">
        <v>1803</v>
      </c>
    </row>
    <row r="2441" spans="1:22" x14ac:dyDescent="0.3">
      <c r="A2441" t="s">
        <v>3469</v>
      </c>
      <c r="B2441" s="1">
        <v>46008</v>
      </c>
      <c r="C2441" t="s">
        <v>574</v>
      </c>
      <c r="D2441" t="s">
        <v>940</v>
      </c>
      <c r="E2441" t="s">
        <v>120</v>
      </c>
      <c r="F2441" t="s">
        <v>121</v>
      </c>
      <c r="G2441" t="s">
        <v>130</v>
      </c>
      <c r="H2441" t="s">
        <v>28</v>
      </c>
      <c r="I2441" t="s">
        <v>91</v>
      </c>
      <c r="J2441" t="s">
        <v>126</v>
      </c>
      <c r="K2441">
        <v>2</v>
      </c>
      <c r="L2441">
        <v>1950.67</v>
      </c>
      <c r="M2441">
        <v>0.05</v>
      </c>
      <c r="N2441">
        <v>3706.27</v>
      </c>
      <c r="O2441">
        <v>2310.42</v>
      </c>
      <c r="P2441">
        <v>1395.85</v>
      </c>
      <c r="Q2441" t="s">
        <v>53</v>
      </c>
      <c r="R2441">
        <v>0.37661854101293207</v>
      </c>
      <c r="S2441">
        <v>2025</v>
      </c>
      <c r="T2441" t="s">
        <v>2040</v>
      </c>
      <c r="U2441">
        <v>12</v>
      </c>
      <c r="V2441" t="s">
        <v>1803</v>
      </c>
    </row>
    <row r="2442" spans="1:22" x14ac:dyDescent="0.3">
      <c r="A2442" t="s">
        <v>3470</v>
      </c>
      <c r="B2442" s="1">
        <v>46009</v>
      </c>
      <c r="C2442" t="s">
        <v>917</v>
      </c>
      <c r="D2442" t="s">
        <v>535</v>
      </c>
      <c r="E2442" t="s">
        <v>61</v>
      </c>
      <c r="F2442" t="s">
        <v>62</v>
      </c>
      <c r="G2442" t="s">
        <v>63</v>
      </c>
      <c r="H2442" t="s">
        <v>43</v>
      </c>
      <c r="I2442" t="s">
        <v>44</v>
      </c>
      <c r="J2442" t="s">
        <v>45</v>
      </c>
      <c r="K2442">
        <v>3</v>
      </c>
      <c r="L2442">
        <v>245.12</v>
      </c>
      <c r="M2442">
        <v>0.05</v>
      </c>
      <c r="N2442">
        <v>698.59</v>
      </c>
      <c r="O2442">
        <v>277.60000000000002</v>
      </c>
      <c r="P2442">
        <v>420.99</v>
      </c>
      <c r="Q2442" t="s">
        <v>113</v>
      </c>
      <c r="R2442">
        <v>0.60262815098985101</v>
      </c>
      <c r="S2442">
        <v>2025</v>
      </c>
      <c r="T2442" t="s">
        <v>2040</v>
      </c>
      <c r="U2442">
        <v>12</v>
      </c>
      <c r="V2442" t="s">
        <v>1803</v>
      </c>
    </row>
    <row r="2443" spans="1:22" x14ac:dyDescent="0.3">
      <c r="A2443" t="s">
        <v>3471</v>
      </c>
      <c r="B2443" s="1">
        <v>46009</v>
      </c>
      <c r="C2443" t="s">
        <v>1180</v>
      </c>
      <c r="D2443" t="s">
        <v>494</v>
      </c>
      <c r="E2443" t="s">
        <v>61</v>
      </c>
      <c r="F2443" t="s">
        <v>71</v>
      </c>
      <c r="G2443" t="s">
        <v>201</v>
      </c>
      <c r="H2443" t="s">
        <v>84</v>
      </c>
      <c r="I2443" t="s">
        <v>138</v>
      </c>
      <c r="J2443" t="s">
        <v>220</v>
      </c>
      <c r="K2443">
        <v>1</v>
      </c>
      <c r="L2443">
        <v>7349.91</v>
      </c>
      <c r="M2443">
        <v>0.15</v>
      </c>
      <c r="N2443">
        <v>6247.42</v>
      </c>
      <c r="O2443">
        <v>4631.08</v>
      </c>
      <c r="P2443">
        <v>1616.34</v>
      </c>
      <c r="Q2443" t="s">
        <v>31</v>
      </c>
      <c r="R2443">
        <v>0.25872120011140598</v>
      </c>
      <c r="S2443">
        <v>2025</v>
      </c>
      <c r="T2443" t="s">
        <v>2040</v>
      </c>
      <c r="U2443">
        <v>12</v>
      </c>
      <c r="V2443" t="s">
        <v>1803</v>
      </c>
    </row>
    <row r="2444" spans="1:22" x14ac:dyDescent="0.3">
      <c r="A2444" t="s">
        <v>3472</v>
      </c>
      <c r="B2444" s="1">
        <v>46009</v>
      </c>
      <c r="C2444" t="s">
        <v>1662</v>
      </c>
      <c r="D2444" t="s">
        <v>253</v>
      </c>
      <c r="E2444" t="s">
        <v>120</v>
      </c>
      <c r="F2444" t="s">
        <v>121</v>
      </c>
      <c r="G2444" t="s">
        <v>130</v>
      </c>
      <c r="H2444" t="s">
        <v>28</v>
      </c>
      <c r="I2444" t="s">
        <v>29</v>
      </c>
      <c r="J2444" t="s">
        <v>57</v>
      </c>
      <c r="K2444">
        <v>5</v>
      </c>
      <c r="L2444">
        <v>16218.49</v>
      </c>
      <c r="M2444">
        <v>0.1</v>
      </c>
      <c r="N2444">
        <v>72983.210000000006</v>
      </c>
      <c r="O2444">
        <v>61772.26</v>
      </c>
      <c r="P2444">
        <v>11210.95</v>
      </c>
      <c r="Q2444" t="s">
        <v>31</v>
      </c>
      <c r="R2444">
        <v>0.1536099878314478</v>
      </c>
      <c r="S2444">
        <v>2025</v>
      </c>
      <c r="T2444" t="s">
        <v>2040</v>
      </c>
      <c r="U2444">
        <v>12</v>
      </c>
      <c r="V2444" t="s">
        <v>1803</v>
      </c>
    </row>
    <row r="2445" spans="1:22" x14ac:dyDescent="0.3">
      <c r="A2445" t="s">
        <v>3473</v>
      </c>
      <c r="B2445" s="1">
        <v>46009</v>
      </c>
      <c r="C2445" t="s">
        <v>1209</v>
      </c>
      <c r="D2445" t="s">
        <v>1521</v>
      </c>
      <c r="E2445" t="s">
        <v>61</v>
      </c>
      <c r="F2445" t="s">
        <v>62</v>
      </c>
      <c r="G2445" t="s">
        <v>90</v>
      </c>
      <c r="H2445" t="s">
        <v>84</v>
      </c>
      <c r="I2445" t="s">
        <v>85</v>
      </c>
      <c r="J2445" t="s">
        <v>86</v>
      </c>
      <c r="K2445">
        <v>3</v>
      </c>
      <c r="L2445">
        <v>1904.07</v>
      </c>
      <c r="M2445">
        <v>0.1</v>
      </c>
      <c r="N2445">
        <v>5140.99</v>
      </c>
      <c r="O2445">
        <v>2983.03</v>
      </c>
      <c r="P2445">
        <v>2157.96</v>
      </c>
      <c r="Q2445" t="s">
        <v>46</v>
      </c>
      <c r="R2445">
        <v>0.41975572798235361</v>
      </c>
      <c r="S2445">
        <v>2025</v>
      </c>
      <c r="T2445" t="s">
        <v>2040</v>
      </c>
      <c r="U2445">
        <v>12</v>
      </c>
      <c r="V2445" t="s">
        <v>1803</v>
      </c>
    </row>
    <row r="2446" spans="1:22" x14ac:dyDescent="0.3">
      <c r="A2446" t="s">
        <v>3474</v>
      </c>
      <c r="B2446" s="1">
        <v>46010</v>
      </c>
      <c r="C2446" t="s">
        <v>913</v>
      </c>
      <c r="D2446" t="s">
        <v>615</v>
      </c>
      <c r="E2446" t="s">
        <v>25</v>
      </c>
      <c r="F2446" t="s">
        <v>26</v>
      </c>
      <c r="G2446" t="s">
        <v>260</v>
      </c>
      <c r="H2446" t="s">
        <v>84</v>
      </c>
      <c r="I2446" t="s">
        <v>85</v>
      </c>
      <c r="J2446" t="s">
        <v>86</v>
      </c>
      <c r="K2446">
        <v>2</v>
      </c>
      <c r="L2446">
        <v>1841.92</v>
      </c>
      <c r="M2446">
        <v>0.1</v>
      </c>
      <c r="N2446">
        <v>3315.46</v>
      </c>
      <c r="O2446">
        <v>2026.21</v>
      </c>
      <c r="P2446">
        <v>1289.25</v>
      </c>
      <c r="Q2446" t="s">
        <v>31</v>
      </c>
      <c r="R2446">
        <v>0.38886006768291581</v>
      </c>
      <c r="S2446">
        <v>2025</v>
      </c>
      <c r="T2446" t="s">
        <v>2040</v>
      </c>
      <c r="U2446">
        <v>12</v>
      </c>
      <c r="V2446" t="s">
        <v>1803</v>
      </c>
    </row>
    <row r="2447" spans="1:22" x14ac:dyDescent="0.3">
      <c r="A2447" t="s">
        <v>3475</v>
      </c>
      <c r="B2447" s="1">
        <v>46010</v>
      </c>
      <c r="C2447" t="s">
        <v>1508</v>
      </c>
      <c r="D2447" t="s">
        <v>304</v>
      </c>
      <c r="E2447" t="s">
        <v>61</v>
      </c>
      <c r="F2447" t="s">
        <v>71</v>
      </c>
      <c r="G2447" t="s">
        <v>100</v>
      </c>
      <c r="H2447" t="s">
        <v>64</v>
      </c>
      <c r="I2447" t="s">
        <v>108</v>
      </c>
      <c r="J2447" t="s">
        <v>155</v>
      </c>
      <c r="K2447">
        <v>2</v>
      </c>
      <c r="L2447">
        <v>8806.67</v>
      </c>
      <c r="M2447">
        <v>0.1</v>
      </c>
      <c r="N2447">
        <v>15852.01</v>
      </c>
      <c r="O2447">
        <v>12138.48</v>
      </c>
      <c r="P2447">
        <v>3713.53</v>
      </c>
      <c r="Q2447" t="s">
        <v>67</v>
      </c>
      <c r="R2447">
        <v>0.23426240584001651</v>
      </c>
      <c r="S2447">
        <v>2025</v>
      </c>
      <c r="T2447" t="s">
        <v>2040</v>
      </c>
      <c r="U2447">
        <v>12</v>
      </c>
      <c r="V2447" t="s">
        <v>1803</v>
      </c>
    </row>
    <row r="2448" spans="1:22" x14ac:dyDescent="0.3">
      <c r="A2448" t="s">
        <v>3476</v>
      </c>
      <c r="B2448" s="1">
        <v>46010</v>
      </c>
      <c r="C2448" t="s">
        <v>1012</v>
      </c>
      <c r="D2448" t="s">
        <v>477</v>
      </c>
      <c r="E2448" t="s">
        <v>61</v>
      </c>
      <c r="F2448" t="s">
        <v>78</v>
      </c>
      <c r="G2448" t="s">
        <v>216</v>
      </c>
      <c r="H2448" t="s">
        <v>28</v>
      </c>
      <c r="I2448" t="s">
        <v>91</v>
      </c>
      <c r="J2448" t="s">
        <v>126</v>
      </c>
      <c r="K2448">
        <v>2</v>
      </c>
      <c r="L2448">
        <v>1921.38</v>
      </c>
      <c r="M2448">
        <v>0.1</v>
      </c>
      <c r="N2448">
        <v>3458.48</v>
      </c>
      <c r="O2448">
        <v>2266.69</v>
      </c>
      <c r="P2448">
        <v>1191.79</v>
      </c>
      <c r="Q2448" t="s">
        <v>31</v>
      </c>
      <c r="R2448">
        <v>0.34459936156924431</v>
      </c>
      <c r="S2448">
        <v>2025</v>
      </c>
      <c r="T2448" t="s">
        <v>2040</v>
      </c>
      <c r="U2448">
        <v>12</v>
      </c>
      <c r="V2448" t="s">
        <v>1803</v>
      </c>
    </row>
    <row r="2449" spans="1:22" x14ac:dyDescent="0.3">
      <c r="A2449" t="s">
        <v>3477</v>
      </c>
      <c r="B2449" s="1">
        <v>46010</v>
      </c>
      <c r="C2449" t="s">
        <v>2699</v>
      </c>
      <c r="D2449" t="s">
        <v>174</v>
      </c>
      <c r="E2449" t="s">
        <v>120</v>
      </c>
      <c r="F2449" t="s">
        <v>121</v>
      </c>
      <c r="G2449" t="s">
        <v>224</v>
      </c>
      <c r="H2449" t="s">
        <v>43</v>
      </c>
      <c r="I2449" t="s">
        <v>44</v>
      </c>
      <c r="J2449" t="s">
        <v>248</v>
      </c>
      <c r="K2449">
        <v>1</v>
      </c>
      <c r="L2449">
        <v>282.72000000000003</v>
      </c>
      <c r="M2449">
        <v>0.15</v>
      </c>
      <c r="N2449">
        <v>240.31</v>
      </c>
      <c r="O2449">
        <v>116.97</v>
      </c>
      <c r="P2449">
        <v>123.34</v>
      </c>
      <c r="Q2449" t="s">
        <v>67</v>
      </c>
      <c r="R2449">
        <v>0.51325371395281094</v>
      </c>
      <c r="S2449">
        <v>2025</v>
      </c>
      <c r="T2449" t="s">
        <v>2040</v>
      </c>
      <c r="U2449">
        <v>12</v>
      </c>
      <c r="V2449" t="s">
        <v>1803</v>
      </c>
    </row>
    <row r="2450" spans="1:22" x14ac:dyDescent="0.3">
      <c r="A2450" t="s">
        <v>3478</v>
      </c>
      <c r="B2450" s="1">
        <v>46010</v>
      </c>
      <c r="C2450" t="s">
        <v>359</v>
      </c>
      <c r="D2450" t="s">
        <v>680</v>
      </c>
      <c r="E2450" t="s">
        <v>25</v>
      </c>
      <c r="F2450" t="s">
        <v>26</v>
      </c>
      <c r="G2450" t="s">
        <v>171</v>
      </c>
      <c r="H2450" t="s">
        <v>43</v>
      </c>
      <c r="I2450" t="s">
        <v>51</v>
      </c>
      <c r="J2450" t="s">
        <v>52</v>
      </c>
      <c r="K2450">
        <v>3</v>
      </c>
      <c r="L2450">
        <v>717.06</v>
      </c>
      <c r="M2450">
        <v>0.1</v>
      </c>
      <c r="N2450">
        <v>1936.06</v>
      </c>
      <c r="O2450">
        <v>1042.6300000000001</v>
      </c>
      <c r="P2450">
        <v>893.43</v>
      </c>
      <c r="Q2450" t="s">
        <v>31</v>
      </c>
      <c r="R2450">
        <v>0.46146813631808931</v>
      </c>
      <c r="S2450">
        <v>2025</v>
      </c>
      <c r="T2450" t="s">
        <v>2040</v>
      </c>
      <c r="U2450">
        <v>12</v>
      </c>
      <c r="V2450" t="s">
        <v>1803</v>
      </c>
    </row>
    <row r="2451" spans="1:22" x14ac:dyDescent="0.3">
      <c r="A2451" t="s">
        <v>3479</v>
      </c>
      <c r="B2451" s="1">
        <v>46010</v>
      </c>
      <c r="C2451" t="s">
        <v>1784</v>
      </c>
      <c r="D2451" t="s">
        <v>371</v>
      </c>
      <c r="E2451" t="s">
        <v>120</v>
      </c>
      <c r="F2451" t="s">
        <v>121</v>
      </c>
      <c r="G2451" t="s">
        <v>122</v>
      </c>
      <c r="H2451" t="s">
        <v>28</v>
      </c>
      <c r="I2451" t="s">
        <v>91</v>
      </c>
      <c r="J2451" t="s">
        <v>92</v>
      </c>
      <c r="K2451">
        <v>3</v>
      </c>
      <c r="L2451">
        <v>2847.47</v>
      </c>
      <c r="M2451">
        <v>0.15</v>
      </c>
      <c r="N2451">
        <v>7261.05</v>
      </c>
      <c r="O2451">
        <v>4566.74</v>
      </c>
      <c r="P2451">
        <v>2694.31</v>
      </c>
      <c r="Q2451" t="s">
        <v>31</v>
      </c>
      <c r="R2451">
        <v>0.37106341369361179</v>
      </c>
      <c r="S2451">
        <v>2025</v>
      </c>
      <c r="T2451" t="s">
        <v>2040</v>
      </c>
      <c r="U2451">
        <v>12</v>
      </c>
      <c r="V2451" t="s">
        <v>1803</v>
      </c>
    </row>
    <row r="2452" spans="1:22" x14ac:dyDescent="0.3">
      <c r="A2452" t="s">
        <v>3480</v>
      </c>
      <c r="B2452" s="1">
        <v>46010</v>
      </c>
      <c r="C2452" t="s">
        <v>756</v>
      </c>
      <c r="D2452" t="s">
        <v>316</v>
      </c>
      <c r="E2452" t="s">
        <v>61</v>
      </c>
      <c r="F2452" t="s">
        <v>62</v>
      </c>
      <c r="G2452" t="s">
        <v>228</v>
      </c>
      <c r="H2452" t="s">
        <v>64</v>
      </c>
      <c r="I2452" t="s">
        <v>65</v>
      </c>
      <c r="J2452" t="s">
        <v>66</v>
      </c>
      <c r="K2452">
        <v>1</v>
      </c>
      <c r="L2452">
        <v>4787.6899999999996</v>
      </c>
      <c r="M2452">
        <v>0.2</v>
      </c>
      <c r="N2452">
        <v>3830.15</v>
      </c>
      <c r="O2452">
        <v>2886.24</v>
      </c>
      <c r="P2452">
        <v>943.91</v>
      </c>
      <c r="Q2452" t="s">
        <v>46</v>
      </c>
      <c r="R2452">
        <v>0.2464420453507043</v>
      </c>
      <c r="S2452">
        <v>2025</v>
      </c>
      <c r="T2452" t="s">
        <v>2040</v>
      </c>
      <c r="U2452">
        <v>12</v>
      </c>
      <c r="V2452" t="s">
        <v>1803</v>
      </c>
    </row>
    <row r="2453" spans="1:22" x14ac:dyDescent="0.3">
      <c r="A2453" t="s">
        <v>3481</v>
      </c>
      <c r="B2453" s="1">
        <v>46011</v>
      </c>
      <c r="C2453" t="s">
        <v>1157</v>
      </c>
      <c r="D2453" t="s">
        <v>444</v>
      </c>
      <c r="E2453" t="s">
        <v>61</v>
      </c>
      <c r="F2453" t="s">
        <v>78</v>
      </c>
      <c r="G2453" t="s">
        <v>216</v>
      </c>
      <c r="H2453" t="s">
        <v>43</v>
      </c>
      <c r="I2453" t="s">
        <v>51</v>
      </c>
      <c r="J2453" t="s">
        <v>52</v>
      </c>
      <c r="K2453">
        <v>1</v>
      </c>
      <c r="L2453">
        <v>713.03</v>
      </c>
      <c r="M2453">
        <v>0.1</v>
      </c>
      <c r="N2453">
        <v>641.73</v>
      </c>
      <c r="O2453">
        <v>324.8</v>
      </c>
      <c r="P2453">
        <v>316.93</v>
      </c>
      <c r="Q2453" t="s">
        <v>53</v>
      </c>
      <c r="R2453">
        <v>0.49386813769030591</v>
      </c>
      <c r="S2453">
        <v>2025</v>
      </c>
      <c r="T2453" t="s">
        <v>2040</v>
      </c>
      <c r="U2453">
        <v>12</v>
      </c>
      <c r="V2453" t="s">
        <v>1803</v>
      </c>
    </row>
    <row r="2454" spans="1:22" x14ac:dyDescent="0.3">
      <c r="A2454" t="s">
        <v>3482</v>
      </c>
      <c r="B2454" s="1">
        <v>46011</v>
      </c>
      <c r="C2454" t="s">
        <v>132</v>
      </c>
      <c r="D2454" t="s">
        <v>876</v>
      </c>
      <c r="E2454" t="s">
        <v>61</v>
      </c>
      <c r="F2454" t="s">
        <v>71</v>
      </c>
      <c r="G2454" t="s">
        <v>100</v>
      </c>
      <c r="H2454" t="s">
        <v>28</v>
      </c>
      <c r="I2454" t="s">
        <v>73</v>
      </c>
      <c r="J2454" t="s">
        <v>74</v>
      </c>
      <c r="K2454">
        <v>2</v>
      </c>
      <c r="L2454">
        <v>2573.9699999999998</v>
      </c>
      <c r="M2454">
        <v>0.1</v>
      </c>
      <c r="N2454">
        <v>4633.1499999999996</v>
      </c>
      <c r="O2454">
        <v>2796.6</v>
      </c>
      <c r="P2454">
        <v>1836.55</v>
      </c>
      <c r="Q2454" t="s">
        <v>46</v>
      </c>
      <c r="R2454">
        <v>0.39639338247196831</v>
      </c>
      <c r="S2454">
        <v>2025</v>
      </c>
      <c r="T2454" t="s">
        <v>2040</v>
      </c>
      <c r="U2454">
        <v>12</v>
      </c>
      <c r="V2454" t="s">
        <v>1803</v>
      </c>
    </row>
    <row r="2455" spans="1:22" x14ac:dyDescent="0.3">
      <c r="A2455" t="s">
        <v>3483</v>
      </c>
      <c r="B2455" s="1">
        <v>46011</v>
      </c>
      <c r="C2455" t="s">
        <v>1772</v>
      </c>
      <c r="D2455" t="s">
        <v>349</v>
      </c>
      <c r="E2455" t="s">
        <v>41</v>
      </c>
      <c r="F2455" t="s">
        <v>42</v>
      </c>
      <c r="G2455" t="s">
        <v>42</v>
      </c>
      <c r="H2455" t="s">
        <v>28</v>
      </c>
      <c r="I2455" t="s">
        <v>91</v>
      </c>
      <c r="J2455" t="s">
        <v>126</v>
      </c>
      <c r="K2455">
        <v>2</v>
      </c>
      <c r="L2455">
        <v>1992.75</v>
      </c>
      <c r="M2455">
        <v>0.1</v>
      </c>
      <c r="N2455">
        <v>3586.95</v>
      </c>
      <c r="O2455">
        <v>2401.58</v>
      </c>
      <c r="P2455">
        <v>1185.3699999999999</v>
      </c>
      <c r="Q2455" t="s">
        <v>113</v>
      </c>
      <c r="R2455">
        <v>0.33046738872858561</v>
      </c>
      <c r="S2455">
        <v>2025</v>
      </c>
      <c r="T2455" t="s">
        <v>2040</v>
      </c>
      <c r="U2455">
        <v>12</v>
      </c>
      <c r="V2455" t="s">
        <v>1803</v>
      </c>
    </row>
    <row r="2456" spans="1:22" x14ac:dyDescent="0.3">
      <c r="A2456" t="s">
        <v>3484</v>
      </c>
      <c r="B2456" s="1">
        <v>46011</v>
      </c>
      <c r="C2456" t="s">
        <v>272</v>
      </c>
      <c r="D2456" t="s">
        <v>1345</v>
      </c>
      <c r="E2456" t="s">
        <v>61</v>
      </c>
      <c r="F2456" t="s">
        <v>78</v>
      </c>
      <c r="G2456" t="s">
        <v>216</v>
      </c>
      <c r="H2456" t="s">
        <v>84</v>
      </c>
      <c r="I2456" t="s">
        <v>138</v>
      </c>
      <c r="J2456" t="s">
        <v>220</v>
      </c>
      <c r="K2456">
        <v>3</v>
      </c>
      <c r="L2456">
        <v>7837.97</v>
      </c>
      <c r="M2456">
        <v>0.05</v>
      </c>
      <c r="N2456">
        <v>22338.21</v>
      </c>
      <c r="O2456">
        <v>15317.61</v>
      </c>
      <c r="P2456">
        <v>7020.6</v>
      </c>
      <c r="Q2456" t="s">
        <v>46</v>
      </c>
      <c r="R2456">
        <v>0.31428659682221632</v>
      </c>
      <c r="S2456">
        <v>2025</v>
      </c>
      <c r="T2456" t="s">
        <v>2040</v>
      </c>
      <c r="U2456">
        <v>12</v>
      </c>
      <c r="V2456" t="s">
        <v>1803</v>
      </c>
    </row>
    <row r="2457" spans="1:22" x14ac:dyDescent="0.3">
      <c r="A2457" t="s">
        <v>3485</v>
      </c>
      <c r="B2457" s="1">
        <v>46011</v>
      </c>
      <c r="C2457" t="s">
        <v>974</v>
      </c>
      <c r="D2457" t="s">
        <v>794</v>
      </c>
      <c r="E2457" t="s">
        <v>61</v>
      </c>
      <c r="F2457" t="s">
        <v>71</v>
      </c>
      <c r="G2457" t="s">
        <v>100</v>
      </c>
      <c r="H2457" t="s">
        <v>84</v>
      </c>
      <c r="I2457" t="s">
        <v>138</v>
      </c>
      <c r="J2457" t="s">
        <v>139</v>
      </c>
      <c r="K2457">
        <v>1</v>
      </c>
      <c r="L2457">
        <v>12602.89</v>
      </c>
      <c r="M2457">
        <v>0</v>
      </c>
      <c r="N2457">
        <v>12602.89</v>
      </c>
      <c r="O2457">
        <v>8758.69</v>
      </c>
      <c r="P2457">
        <v>3844.2</v>
      </c>
      <c r="Q2457" t="s">
        <v>31</v>
      </c>
      <c r="R2457">
        <v>0.30502527594861178</v>
      </c>
      <c r="S2457">
        <v>2025</v>
      </c>
      <c r="T2457" t="s">
        <v>2040</v>
      </c>
      <c r="U2457">
        <v>12</v>
      </c>
      <c r="V2457" t="s">
        <v>1803</v>
      </c>
    </row>
    <row r="2458" spans="1:22" x14ac:dyDescent="0.3">
      <c r="A2458" t="s">
        <v>3486</v>
      </c>
      <c r="B2458" s="1">
        <v>46011</v>
      </c>
      <c r="C2458" t="s">
        <v>69</v>
      </c>
      <c r="D2458" t="s">
        <v>1307</v>
      </c>
      <c r="E2458" t="s">
        <v>61</v>
      </c>
      <c r="F2458" t="s">
        <v>71</v>
      </c>
      <c r="G2458" t="s">
        <v>72</v>
      </c>
      <c r="H2458" t="s">
        <v>43</v>
      </c>
      <c r="I2458" t="s">
        <v>44</v>
      </c>
      <c r="J2458" t="s">
        <v>248</v>
      </c>
      <c r="K2458">
        <v>2</v>
      </c>
      <c r="L2458">
        <v>281.20999999999998</v>
      </c>
      <c r="M2458">
        <v>0.05</v>
      </c>
      <c r="N2458">
        <v>534.29999999999995</v>
      </c>
      <c r="O2458">
        <v>227.15</v>
      </c>
      <c r="P2458">
        <v>307.14999999999998</v>
      </c>
      <c r="Q2458" t="s">
        <v>31</v>
      </c>
      <c r="R2458">
        <v>0.57486430844095082</v>
      </c>
      <c r="S2458">
        <v>2025</v>
      </c>
      <c r="T2458" t="s">
        <v>2040</v>
      </c>
      <c r="U2458">
        <v>12</v>
      </c>
      <c r="V2458" t="s">
        <v>1803</v>
      </c>
    </row>
    <row r="2459" spans="1:22" x14ac:dyDescent="0.3">
      <c r="A2459" t="s">
        <v>3487</v>
      </c>
      <c r="B2459" s="1">
        <v>46011</v>
      </c>
      <c r="C2459" t="s">
        <v>1080</v>
      </c>
      <c r="D2459" t="s">
        <v>99</v>
      </c>
      <c r="E2459" t="s">
        <v>61</v>
      </c>
      <c r="F2459" t="s">
        <v>71</v>
      </c>
      <c r="G2459" t="s">
        <v>201</v>
      </c>
      <c r="H2459" t="s">
        <v>43</v>
      </c>
      <c r="I2459" t="s">
        <v>44</v>
      </c>
      <c r="J2459" t="s">
        <v>45</v>
      </c>
      <c r="K2459">
        <v>1</v>
      </c>
      <c r="L2459">
        <v>249</v>
      </c>
      <c r="M2459">
        <v>0</v>
      </c>
      <c r="N2459">
        <v>249</v>
      </c>
      <c r="O2459">
        <v>92.85</v>
      </c>
      <c r="P2459">
        <v>156.15</v>
      </c>
      <c r="Q2459" t="s">
        <v>31</v>
      </c>
      <c r="R2459">
        <v>0.62710843373493974</v>
      </c>
      <c r="S2459">
        <v>2025</v>
      </c>
      <c r="T2459" t="s">
        <v>2040</v>
      </c>
      <c r="U2459">
        <v>12</v>
      </c>
      <c r="V2459" t="s">
        <v>1803</v>
      </c>
    </row>
    <row r="2460" spans="1:22" x14ac:dyDescent="0.3">
      <c r="A2460" t="s">
        <v>3488</v>
      </c>
      <c r="B2460" s="1">
        <v>46012</v>
      </c>
      <c r="C2460" t="s">
        <v>761</v>
      </c>
      <c r="D2460" t="s">
        <v>349</v>
      </c>
      <c r="E2460" t="s">
        <v>41</v>
      </c>
      <c r="F2460" t="s">
        <v>42</v>
      </c>
      <c r="G2460" t="s">
        <v>42</v>
      </c>
      <c r="H2460" t="s">
        <v>43</v>
      </c>
      <c r="I2460" t="s">
        <v>51</v>
      </c>
      <c r="J2460" t="s">
        <v>96</v>
      </c>
      <c r="K2460">
        <v>4</v>
      </c>
      <c r="L2460">
        <v>515.74</v>
      </c>
      <c r="M2460">
        <v>0</v>
      </c>
      <c r="N2460">
        <v>2062.96</v>
      </c>
      <c r="O2460">
        <v>939.45</v>
      </c>
      <c r="P2460">
        <v>1123.51</v>
      </c>
      <c r="Q2460" t="s">
        <v>46</v>
      </c>
      <c r="R2460">
        <v>0.54461065653236129</v>
      </c>
      <c r="S2460">
        <v>2025</v>
      </c>
      <c r="T2460" t="s">
        <v>2040</v>
      </c>
      <c r="U2460">
        <v>12</v>
      </c>
      <c r="V2460" t="s">
        <v>1803</v>
      </c>
    </row>
    <row r="2461" spans="1:22" x14ac:dyDescent="0.3">
      <c r="A2461" t="s">
        <v>3489</v>
      </c>
      <c r="B2461" s="1">
        <v>46012</v>
      </c>
      <c r="C2461" t="s">
        <v>348</v>
      </c>
      <c r="D2461" t="s">
        <v>775</v>
      </c>
      <c r="E2461" t="s">
        <v>25</v>
      </c>
      <c r="F2461" t="s">
        <v>26</v>
      </c>
      <c r="G2461" t="s">
        <v>37</v>
      </c>
      <c r="H2461" t="s">
        <v>64</v>
      </c>
      <c r="I2461" t="s">
        <v>65</v>
      </c>
      <c r="J2461" t="s">
        <v>66</v>
      </c>
      <c r="K2461">
        <v>6</v>
      </c>
      <c r="L2461">
        <v>4805.38</v>
      </c>
      <c r="M2461">
        <v>0.05</v>
      </c>
      <c r="N2461">
        <v>27390.67</v>
      </c>
      <c r="O2461">
        <v>17838.27</v>
      </c>
      <c r="P2461">
        <v>9552.4</v>
      </c>
      <c r="Q2461" t="s">
        <v>53</v>
      </c>
      <c r="R2461">
        <v>0.34874648922425039</v>
      </c>
      <c r="S2461">
        <v>2025</v>
      </c>
      <c r="T2461" t="s">
        <v>2040</v>
      </c>
      <c r="U2461">
        <v>12</v>
      </c>
      <c r="V2461" t="s">
        <v>1803</v>
      </c>
    </row>
    <row r="2462" spans="1:22" x14ac:dyDescent="0.3">
      <c r="A2462" t="s">
        <v>3490</v>
      </c>
      <c r="B2462" s="1">
        <v>46012</v>
      </c>
      <c r="C2462" t="s">
        <v>826</v>
      </c>
      <c r="D2462" t="s">
        <v>1138</v>
      </c>
      <c r="E2462" t="s">
        <v>61</v>
      </c>
      <c r="F2462" t="s">
        <v>78</v>
      </c>
      <c r="G2462" t="s">
        <v>216</v>
      </c>
      <c r="H2462" t="s">
        <v>28</v>
      </c>
      <c r="I2462" t="s">
        <v>91</v>
      </c>
      <c r="J2462" t="s">
        <v>92</v>
      </c>
      <c r="K2462">
        <v>1</v>
      </c>
      <c r="L2462">
        <v>3125.55</v>
      </c>
      <c r="M2462">
        <v>0.05</v>
      </c>
      <c r="N2462">
        <v>2969.27</v>
      </c>
      <c r="O2462">
        <v>1592.12</v>
      </c>
      <c r="P2462">
        <v>1377.15</v>
      </c>
      <c r="Q2462" t="s">
        <v>31</v>
      </c>
      <c r="R2462">
        <v>0.46380086687973809</v>
      </c>
      <c r="S2462">
        <v>2025</v>
      </c>
      <c r="T2462" t="s">
        <v>2040</v>
      </c>
      <c r="U2462">
        <v>12</v>
      </c>
      <c r="V2462" t="s">
        <v>1803</v>
      </c>
    </row>
    <row r="2463" spans="1:22" x14ac:dyDescent="0.3">
      <c r="A2463" t="s">
        <v>3491</v>
      </c>
      <c r="B2463" s="1">
        <v>46012</v>
      </c>
      <c r="C2463" t="s">
        <v>262</v>
      </c>
      <c r="D2463" t="s">
        <v>334</v>
      </c>
      <c r="E2463" t="s">
        <v>61</v>
      </c>
      <c r="F2463" t="s">
        <v>62</v>
      </c>
      <c r="G2463" t="s">
        <v>228</v>
      </c>
      <c r="H2463" t="s">
        <v>43</v>
      </c>
      <c r="I2463" t="s">
        <v>44</v>
      </c>
      <c r="J2463" t="s">
        <v>45</v>
      </c>
      <c r="K2463">
        <v>2</v>
      </c>
      <c r="L2463">
        <v>256.61</v>
      </c>
      <c r="M2463">
        <v>0.05</v>
      </c>
      <c r="N2463">
        <v>487.56</v>
      </c>
      <c r="O2463">
        <v>187.72</v>
      </c>
      <c r="P2463">
        <v>299.83999999999997</v>
      </c>
      <c r="Q2463" t="s">
        <v>67</v>
      </c>
      <c r="R2463">
        <v>0.61498072032160134</v>
      </c>
      <c r="S2463">
        <v>2025</v>
      </c>
      <c r="T2463" t="s">
        <v>2040</v>
      </c>
      <c r="U2463">
        <v>12</v>
      </c>
      <c r="V2463" t="s">
        <v>1803</v>
      </c>
    </row>
    <row r="2464" spans="1:22" x14ac:dyDescent="0.3">
      <c r="A2464" t="s">
        <v>3492</v>
      </c>
      <c r="B2464" s="1">
        <v>46013</v>
      </c>
      <c r="C2464" t="s">
        <v>946</v>
      </c>
      <c r="D2464" t="s">
        <v>497</v>
      </c>
      <c r="E2464" t="s">
        <v>61</v>
      </c>
      <c r="F2464" t="s">
        <v>62</v>
      </c>
      <c r="G2464" t="s">
        <v>228</v>
      </c>
      <c r="H2464" t="s">
        <v>28</v>
      </c>
      <c r="I2464" t="s">
        <v>73</v>
      </c>
      <c r="J2464" t="s">
        <v>80</v>
      </c>
      <c r="K2464">
        <v>2</v>
      </c>
      <c r="L2464">
        <v>774.46</v>
      </c>
      <c r="M2464">
        <v>0.15</v>
      </c>
      <c r="N2464">
        <v>1316.58</v>
      </c>
      <c r="O2464">
        <v>966.02</v>
      </c>
      <c r="P2464">
        <v>350.56</v>
      </c>
      <c r="Q2464" t="s">
        <v>31</v>
      </c>
      <c r="R2464">
        <v>0.26626562761093142</v>
      </c>
      <c r="S2464">
        <v>2025</v>
      </c>
      <c r="T2464" t="s">
        <v>2040</v>
      </c>
      <c r="U2464">
        <v>12</v>
      </c>
      <c r="V2464" t="s">
        <v>1803</v>
      </c>
    </row>
    <row r="2465" spans="1:22" x14ac:dyDescent="0.3">
      <c r="A2465" t="s">
        <v>3493</v>
      </c>
      <c r="B2465" s="1">
        <v>46014</v>
      </c>
      <c r="C2465" t="s">
        <v>492</v>
      </c>
      <c r="D2465" t="s">
        <v>116</v>
      </c>
      <c r="E2465" t="s">
        <v>25</v>
      </c>
      <c r="F2465" t="s">
        <v>26</v>
      </c>
      <c r="G2465" t="s">
        <v>171</v>
      </c>
      <c r="H2465" t="s">
        <v>84</v>
      </c>
      <c r="I2465" t="s">
        <v>138</v>
      </c>
      <c r="J2465" t="s">
        <v>220</v>
      </c>
      <c r="K2465">
        <v>1</v>
      </c>
      <c r="L2465">
        <v>7946.29</v>
      </c>
      <c r="M2465">
        <v>0</v>
      </c>
      <c r="N2465">
        <v>7946.29</v>
      </c>
      <c r="O2465">
        <v>5046.67</v>
      </c>
      <c r="P2465">
        <v>2899.62</v>
      </c>
      <c r="Q2465" t="s">
        <v>113</v>
      </c>
      <c r="R2465">
        <v>0.36490236324121073</v>
      </c>
      <c r="S2465">
        <v>2025</v>
      </c>
      <c r="T2465" t="s">
        <v>2040</v>
      </c>
      <c r="U2465">
        <v>12</v>
      </c>
      <c r="V2465" t="s">
        <v>1803</v>
      </c>
    </row>
    <row r="2466" spans="1:22" x14ac:dyDescent="0.3">
      <c r="A2466" t="s">
        <v>3494</v>
      </c>
      <c r="B2466" s="1">
        <v>46014</v>
      </c>
      <c r="C2466" t="s">
        <v>1083</v>
      </c>
      <c r="D2466" t="s">
        <v>494</v>
      </c>
      <c r="E2466" t="s">
        <v>61</v>
      </c>
      <c r="F2466" t="s">
        <v>78</v>
      </c>
      <c r="G2466" t="s">
        <v>104</v>
      </c>
      <c r="H2466" t="s">
        <v>43</v>
      </c>
      <c r="I2466" t="s">
        <v>51</v>
      </c>
      <c r="J2466" t="s">
        <v>52</v>
      </c>
      <c r="K2466">
        <v>1</v>
      </c>
      <c r="L2466">
        <v>730.34</v>
      </c>
      <c r="M2466">
        <v>0.1</v>
      </c>
      <c r="N2466">
        <v>657.31</v>
      </c>
      <c r="O2466">
        <v>329.62</v>
      </c>
      <c r="P2466">
        <v>327.69</v>
      </c>
      <c r="Q2466" t="s">
        <v>53</v>
      </c>
      <c r="R2466">
        <v>0.49853189514840801</v>
      </c>
      <c r="S2466">
        <v>2025</v>
      </c>
      <c r="T2466" t="s">
        <v>2040</v>
      </c>
      <c r="U2466">
        <v>12</v>
      </c>
      <c r="V2466" t="s">
        <v>1803</v>
      </c>
    </row>
    <row r="2467" spans="1:22" x14ac:dyDescent="0.3">
      <c r="A2467" t="s">
        <v>3495</v>
      </c>
      <c r="B2467" s="1">
        <v>46014</v>
      </c>
      <c r="C2467" t="s">
        <v>3496</v>
      </c>
      <c r="D2467" t="s">
        <v>1235</v>
      </c>
      <c r="E2467" t="s">
        <v>61</v>
      </c>
      <c r="F2467" t="s">
        <v>62</v>
      </c>
      <c r="G2467" t="s">
        <v>228</v>
      </c>
      <c r="H2467" t="s">
        <v>64</v>
      </c>
      <c r="I2467" t="s">
        <v>108</v>
      </c>
      <c r="J2467" t="s">
        <v>155</v>
      </c>
      <c r="K2467">
        <v>3</v>
      </c>
      <c r="L2467">
        <v>8215.84</v>
      </c>
      <c r="M2467">
        <v>0.05</v>
      </c>
      <c r="N2467">
        <v>23415.14</v>
      </c>
      <c r="O2467">
        <v>17089.099999999999</v>
      </c>
      <c r="P2467">
        <v>6326.04</v>
      </c>
      <c r="Q2467" t="s">
        <v>31</v>
      </c>
      <c r="R2467">
        <v>0.27016878822847101</v>
      </c>
      <c r="S2467">
        <v>2025</v>
      </c>
      <c r="T2467" t="s">
        <v>2040</v>
      </c>
      <c r="U2467">
        <v>12</v>
      </c>
      <c r="V2467" t="s">
        <v>1803</v>
      </c>
    </row>
    <row r="2468" spans="1:22" x14ac:dyDescent="0.3">
      <c r="A2468" t="s">
        <v>3497</v>
      </c>
      <c r="B2468" s="1">
        <v>46015</v>
      </c>
      <c r="C2468" t="s">
        <v>1037</v>
      </c>
      <c r="D2468" t="s">
        <v>382</v>
      </c>
      <c r="E2468" t="s">
        <v>120</v>
      </c>
      <c r="F2468" t="s">
        <v>121</v>
      </c>
      <c r="G2468" t="s">
        <v>224</v>
      </c>
      <c r="H2468" t="s">
        <v>28</v>
      </c>
      <c r="I2468" t="s">
        <v>73</v>
      </c>
      <c r="J2468" t="s">
        <v>74</v>
      </c>
      <c r="K2468">
        <v>2</v>
      </c>
      <c r="L2468">
        <v>2574.87</v>
      </c>
      <c r="M2468">
        <v>0.05</v>
      </c>
      <c r="N2468">
        <v>4892.25</v>
      </c>
      <c r="O2468">
        <v>2868</v>
      </c>
      <c r="P2468">
        <v>2024.25</v>
      </c>
      <c r="Q2468" t="s">
        <v>46</v>
      </c>
      <c r="R2468">
        <v>0.41376667177678977</v>
      </c>
      <c r="S2468">
        <v>2025</v>
      </c>
      <c r="T2468" t="s">
        <v>2040</v>
      </c>
      <c r="U2468">
        <v>12</v>
      </c>
      <c r="V2468" t="s">
        <v>1803</v>
      </c>
    </row>
    <row r="2469" spans="1:22" x14ac:dyDescent="0.3">
      <c r="A2469" t="s">
        <v>3498</v>
      </c>
      <c r="B2469" s="1">
        <v>46015</v>
      </c>
      <c r="C2469" t="s">
        <v>2918</v>
      </c>
      <c r="D2469" t="s">
        <v>471</v>
      </c>
      <c r="E2469" t="s">
        <v>61</v>
      </c>
      <c r="F2469" t="s">
        <v>62</v>
      </c>
      <c r="G2469" t="s">
        <v>90</v>
      </c>
      <c r="H2469" t="s">
        <v>28</v>
      </c>
      <c r="I2469" t="s">
        <v>29</v>
      </c>
      <c r="J2469" t="s">
        <v>30</v>
      </c>
      <c r="K2469">
        <v>3</v>
      </c>
      <c r="L2469">
        <v>55597.19</v>
      </c>
      <c r="M2469">
        <v>0.05</v>
      </c>
      <c r="N2469">
        <v>158451.99</v>
      </c>
      <c r="O2469">
        <v>147796.07</v>
      </c>
      <c r="P2469">
        <v>10655.92</v>
      </c>
      <c r="Q2469" t="s">
        <v>53</v>
      </c>
      <c r="R2469">
        <v>6.7250149398565467E-2</v>
      </c>
      <c r="S2469">
        <v>2025</v>
      </c>
      <c r="T2469" t="s">
        <v>2040</v>
      </c>
      <c r="U2469">
        <v>12</v>
      </c>
      <c r="V2469" t="s">
        <v>1803</v>
      </c>
    </row>
    <row r="2470" spans="1:22" x14ac:dyDescent="0.3">
      <c r="A2470" t="s">
        <v>3499</v>
      </c>
      <c r="B2470" s="1">
        <v>46015</v>
      </c>
      <c r="C2470" t="s">
        <v>1713</v>
      </c>
      <c r="D2470" t="s">
        <v>540</v>
      </c>
      <c r="E2470" t="s">
        <v>61</v>
      </c>
      <c r="F2470" t="s">
        <v>71</v>
      </c>
      <c r="G2470" t="s">
        <v>317</v>
      </c>
      <c r="H2470" t="s">
        <v>43</v>
      </c>
      <c r="I2470" t="s">
        <v>44</v>
      </c>
      <c r="J2470" t="s">
        <v>45</v>
      </c>
      <c r="K2470">
        <v>1</v>
      </c>
      <c r="L2470">
        <v>238.31</v>
      </c>
      <c r="M2470">
        <v>0</v>
      </c>
      <c r="N2470">
        <v>238.31</v>
      </c>
      <c r="O2470">
        <v>94.17</v>
      </c>
      <c r="P2470">
        <v>144.13999999999999</v>
      </c>
      <c r="Q2470" t="s">
        <v>46</v>
      </c>
      <c r="R2470">
        <v>0.60484243212622213</v>
      </c>
      <c r="S2470">
        <v>2025</v>
      </c>
      <c r="T2470" t="s">
        <v>2040</v>
      </c>
      <c r="U2470">
        <v>12</v>
      </c>
      <c r="V2470" t="s">
        <v>1803</v>
      </c>
    </row>
    <row r="2471" spans="1:22" x14ac:dyDescent="0.3">
      <c r="A2471" t="s">
        <v>3500</v>
      </c>
      <c r="B2471" s="1">
        <v>46015</v>
      </c>
      <c r="C2471" t="s">
        <v>323</v>
      </c>
      <c r="D2471" t="s">
        <v>363</v>
      </c>
      <c r="E2471" t="s">
        <v>41</v>
      </c>
      <c r="F2471" t="s">
        <v>42</v>
      </c>
      <c r="G2471" t="s">
        <v>42</v>
      </c>
      <c r="H2471" t="s">
        <v>64</v>
      </c>
      <c r="I2471" t="s">
        <v>65</v>
      </c>
      <c r="J2471" t="s">
        <v>66</v>
      </c>
      <c r="K2471">
        <v>3</v>
      </c>
      <c r="L2471">
        <v>5117.5200000000004</v>
      </c>
      <c r="M2471">
        <v>0.1</v>
      </c>
      <c r="N2471">
        <v>13817.3</v>
      </c>
      <c r="O2471">
        <v>9737.61</v>
      </c>
      <c r="P2471">
        <v>4079.69</v>
      </c>
      <c r="Q2471" t="s">
        <v>53</v>
      </c>
      <c r="R2471">
        <v>0.29525956590650848</v>
      </c>
      <c r="S2471">
        <v>2025</v>
      </c>
      <c r="T2471" t="s">
        <v>2040</v>
      </c>
      <c r="U2471">
        <v>12</v>
      </c>
      <c r="V2471" t="s">
        <v>1803</v>
      </c>
    </row>
    <row r="2472" spans="1:22" x14ac:dyDescent="0.3">
      <c r="A2472" t="s">
        <v>3501</v>
      </c>
      <c r="B2472" s="1">
        <v>46015</v>
      </c>
      <c r="C2472" t="s">
        <v>2260</v>
      </c>
      <c r="D2472" t="s">
        <v>944</v>
      </c>
      <c r="E2472" t="s">
        <v>61</v>
      </c>
      <c r="F2472" t="s">
        <v>78</v>
      </c>
      <c r="G2472" t="s">
        <v>83</v>
      </c>
      <c r="H2472" t="s">
        <v>84</v>
      </c>
      <c r="I2472" t="s">
        <v>85</v>
      </c>
      <c r="J2472" t="s">
        <v>86</v>
      </c>
      <c r="K2472">
        <v>1</v>
      </c>
      <c r="L2472">
        <v>1707.78</v>
      </c>
      <c r="M2472">
        <v>0.15</v>
      </c>
      <c r="N2472">
        <v>1451.61</v>
      </c>
      <c r="O2472">
        <v>924.34</v>
      </c>
      <c r="P2472">
        <v>527.27</v>
      </c>
      <c r="Q2472" t="s">
        <v>31</v>
      </c>
      <c r="R2472">
        <v>0.36323117090678619</v>
      </c>
      <c r="S2472">
        <v>2025</v>
      </c>
      <c r="T2472" t="s">
        <v>2040</v>
      </c>
      <c r="U2472">
        <v>12</v>
      </c>
      <c r="V2472" t="s">
        <v>1803</v>
      </c>
    </row>
    <row r="2473" spans="1:22" x14ac:dyDescent="0.3">
      <c r="A2473" t="s">
        <v>3502</v>
      </c>
      <c r="B2473" s="1">
        <v>46016</v>
      </c>
      <c r="C2473" t="s">
        <v>577</v>
      </c>
      <c r="D2473" t="s">
        <v>594</v>
      </c>
      <c r="E2473" t="s">
        <v>61</v>
      </c>
      <c r="F2473" t="s">
        <v>78</v>
      </c>
      <c r="G2473" t="s">
        <v>83</v>
      </c>
      <c r="H2473" t="s">
        <v>84</v>
      </c>
      <c r="I2473" t="s">
        <v>85</v>
      </c>
      <c r="J2473" t="s">
        <v>86</v>
      </c>
      <c r="K2473">
        <v>6</v>
      </c>
      <c r="L2473">
        <v>1776.71</v>
      </c>
      <c r="M2473">
        <v>0.15</v>
      </c>
      <c r="N2473">
        <v>9061.2199999999993</v>
      </c>
      <c r="O2473">
        <v>5552.32</v>
      </c>
      <c r="P2473">
        <v>3508.9</v>
      </c>
      <c r="Q2473" t="s">
        <v>31</v>
      </c>
      <c r="R2473">
        <v>0.38724366034595792</v>
      </c>
      <c r="S2473">
        <v>2025</v>
      </c>
      <c r="T2473" t="s">
        <v>2040</v>
      </c>
      <c r="U2473">
        <v>12</v>
      </c>
      <c r="V2473" t="s">
        <v>1803</v>
      </c>
    </row>
    <row r="2474" spans="1:22" x14ac:dyDescent="0.3">
      <c r="A2474" t="s">
        <v>3503</v>
      </c>
      <c r="B2474" s="1">
        <v>46016</v>
      </c>
      <c r="C2474" t="s">
        <v>1769</v>
      </c>
      <c r="D2474" t="s">
        <v>657</v>
      </c>
      <c r="E2474" t="s">
        <v>120</v>
      </c>
      <c r="F2474" t="s">
        <v>121</v>
      </c>
      <c r="G2474" t="s">
        <v>130</v>
      </c>
      <c r="H2474" t="s">
        <v>28</v>
      </c>
      <c r="I2474" t="s">
        <v>91</v>
      </c>
      <c r="J2474" t="s">
        <v>92</v>
      </c>
      <c r="K2474">
        <v>5</v>
      </c>
      <c r="L2474">
        <v>2914.53</v>
      </c>
      <c r="M2474">
        <v>0.15</v>
      </c>
      <c r="N2474">
        <v>12386.75</v>
      </c>
      <c r="O2474">
        <v>7857.28</v>
      </c>
      <c r="P2474">
        <v>4529.47</v>
      </c>
      <c r="Q2474" t="s">
        <v>53</v>
      </c>
      <c r="R2474">
        <v>0.36567057541324399</v>
      </c>
      <c r="S2474">
        <v>2025</v>
      </c>
      <c r="T2474" t="s">
        <v>2040</v>
      </c>
      <c r="U2474">
        <v>12</v>
      </c>
      <c r="V2474" t="s">
        <v>1803</v>
      </c>
    </row>
    <row r="2475" spans="1:22" x14ac:dyDescent="0.3">
      <c r="A2475" t="s">
        <v>3504</v>
      </c>
      <c r="B2475" s="1">
        <v>46016</v>
      </c>
      <c r="C2475" t="s">
        <v>1511</v>
      </c>
      <c r="D2475" t="s">
        <v>203</v>
      </c>
      <c r="E2475" t="s">
        <v>25</v>
      </c>
      <c r="F2475" t="s">
        <v>26</v>
      </c>
      <c r="G2475" t="s">
        <v>37</v>
      </c>
      <c r="H2475" t="s">
        <v>64</v>
      </c>
      <c r="I2475" t="s">
        <v>108</v>
      </c>
      <c r="J2475" t="s">
        <v>109</v>
      </c>
      <c r="K2475">
        <v>1</v>
      </c>
      <c r="L2475">
        <v>7321.23</v>
      </c>
      <c r="M2475">
        <v>0.15</v>
      </c>
      <c r="N2475">
        <v>6223.05</v>
      </c>
      <c r="O2475">
        <v>4693.8900000000003</v>
      </c>
      <c r="P2475">
        <v>1529.16</v>
      </c>
      <c r="Q2475" t="s">
        <v>113</v>
      </c>
      <c r="R2475">
        <v>0.24572516691975799</v>
      </c>
      <c r="S2475">
        <v>2025</v>
      </c>
      <c r="T2475" t="s">
        <v>2040</v>
      </c>
      <c r="U2475">
        <v>12</v>
      </c>
      <c r="V2475" t="s">
        <v>1803</v>
      </c>
    </row>
    <row r="2476" spans="1:22" x14ac:dyDescent="0.3">
      <c r="A2476" t="s">
        <v>3505</v>
      </c>
      <c r="B2476" s="1">
        <v>46016</v>
      </c>
      <c r="C2476" t="s">
        <v>2307</v>
      </c>
      <c r="D2476" t="s">
        <v>580</v>
      </c>
      <c r="E2476" t="s">
        <v>120</v>
      </c>
      <c r="F2476" t="s">
        <v>121</v>
      </c>
      <c r="G2476" t="s">
        <v>122</v>
      </c>
      <c r="H2476" t="s">
        <v>28</v>
      </c>
      <c r="I2476" t="s">
        <v>29</v>
      </c>
      <c r="J2476" t="s">
        <v>30</v>
      </c>
      <c r="K2476">
        <v>1</v>
      </c>
      <c r="L2476">
        <v>57129.32</v>
      </c>
      <c r="M2476">
        <v>0.05</v>
      </c>
      <c r="N2476">
        <v>54272.85</v>
      </c>
      <c r="O2476">
        <v>51914.5</v>
      </c>
      <c r="P2476">
        <v>2358.35</v>
      </c>
      <c r="Q2476" t="s">
        <v>67</v>
      </c>
      <c r="R2476">
        <v>4.3453586830247533E-2</v>
      </c>
      <c r="S2476">
        <v>2025</v>
      </c>
      <c r="T2476" t="s">
        <v>2040</v>
      </c>
      <c r="U2476">
        <v>12</v>
      </c>
      <c r="V2476" t="s">
        <v>1803</v>
      </c>
    </row>
    <row r="2477" spans="1:22" x14ac:dyDescent="0.3">
      <c r="A2477" t="s">
        <v>3506</v>
      </c>
      <c r="B2477" s="1">
        <v>46017</v>
      </c>
      <c r="C2477" t="s">
        <v>2119</v>
      </c>
      <c r="D2477" t="s">
        <v>283</v>
      </c>
      <c r="E2477" t="s">
        <v>61</v>
      </c>
      <c r="F2477" t="s">
        <v>71</v>
      </c>
      <c r="G2477" t="s">
        <v>100</v>
      </c>
      <c r="H2477" t="s">
        <v>64</v>
      </c>
      <c r="I2477" t="s">
        <v>108</v>
      </c>
      <c r="J2477" t="s">
        <v>155</v>
      </c>
      <c r="K2477">
        <v>4</v>
      </c>
      <c r="L2477">
        <v>8149.71</v>
      </c>
      <c r="M2477">
        <v>0.05</v>
      </c>
      <c r="N2477">
        <v>30968.9</v>
      </c>
      <c r="O2477">
        <v>21824.03</v>
      </c>
      <c r="P2477">
        <v>9144.8700000000008</v>
      </c>
      <c r="Q2477" t="s">
        <v>46</v>
      </c>
      <c r="R2477">
        <v>0.29529205105767398</v>
      </c>
      <c r="S2477">
        <v>2025</v>
      </c>
      <c r="T2477" t="s">
        <v>2040</v>
      </c>
      <c r="U2477">
        <v>12</v>
      </c>
      <c r="V2477" t="s">
        <v>1803</v>
      </c>
    </row>
    <row r="2478" spans="1:22" x14ac:dyDescent="0.3">
      <c r="A2478" t="s">
        <v>3507</v>
      </c>
      <c r="B2478" s="1">
        <v>46017</v>
      </c>
      <c r="C2478" t="s">
        <v>1813</v>
      </c>
      <c r="D2478" t="s">
        <v>56</v>
      </c>
      <c r="E2478" t="s">
        <v>61</v>
      </c>
      <c r="F2478" t="s">
        <v>62</v>
      </c>
      <c r="G2478" t="s">
        <v>134</v>
      </c>
      <c r="H2478" t="s">
        <v>28</v>
      </c>
      <c r="I2478" t="s">
        <v>91</v>
      </c>
      <c r="J2478" t="s">
        <v>126</v>
      </c>
      <c r="K2478">
        <v>4</v>
      </c>
      <c r="L2478">
        <v>2053.84</v>
      </c>
      <c r="M2478">
        <v>0</v>
      </c>
      <c r="N2478">
        <v>8215.36</v>
      </c>
      <c r="O2478">
        <v>4642.33</v>
      </c>
      <c r="P2478">
        <v>3573.03</v>
      </c>
      <c r="Q2478" t="s">
        <v>53</v>
      </c>
      <c r="R2478">
        <v>0.43492068515561089</v>
      </c>
      <c r="S2478">
        <v>2025</v>
      </c>
      <c r="T2478" t="s">
        <v>2040</v>
      </c>
      <c r="U2478">
        <v>12</v>
      </c>
      <c r="V2478" t="s">
        <v>1803</v>
      </c>
    </row>
    <row r="2479" spans="1:22" x14ac:dyDescent="0.3">
      <c r="A2479" t="s">
        <v>3508</v>
      </c>
      <c r="B2479" s="1">
        <v>46018</v>
      </c>
      <c r="C2479" t="s">
        <v>2389</v>
      </c>
      <c r="D2479" t="s">
        <v>1289</v>
      </c>
      <c r="E2479" t="s">
        <v>61</v>
      </c>
      <c r="F2479" t="s">
        <v>71</v>
      </c>
      <c r="G2479" t="s">
        <v>100</v>
      </c>
      <c r="H2479" t="s">
        <v>84</v>
      </c>
      <c r="I2479" t="s">
        <v>85</v>
      </c>
      <c r="J2479" t="s">
        <v>86</v>
      </c>
      <c r="K2479">
        <v>2</v>
      </c>
      <c r="L2479">
        <v>1743.64</v>
      </c>
      <c r="M2479">
        <v>0.15</v>
      </c>
      <c r="N2479">
        <v>2964.19</v>
      </c>
      <c r="O2479">
        <v>1918.92</v>
      </c>
      <c r="P2479">
        <v>1045.27</v>
      </c>
      <c r="Q2479" t="s">
        <v>113</v>
      </c>
      <c r="R2479">
        <v>0.35263259102824041</v>
      </c>
      <c r="S2479">
        <v>2025</v>
      </c>
      <c r="T2479" t="s">
        <v>2040</v>
      </c>
      <c r="U2479">
        <v>12</v>
      </c>
      <c r="V2479" t="s">
        <v>1803</v>
      </c>
    </row>
    <row r="2480" spans="1:22" x14ac:dyDescent="0.3">
      <c r="A2480" t="s">
        <v>3509</v>
      </c>
      <c r="B2480" s="1">
        <v>46019</v>
      </c>
      <c r="C2480" t="s">
        <v>264</v>
      </c>
      <c r="D2480" t="s">
        <v>1946</v>
      </c>
      <c r="E2480" t="s">
        <v>120</v>
      </c>
      <c r="F2480" t="s">
        <v>121</v>
      </c>
      <c r="G2480" t="s">
        <v>130</v>
      </c>
      <c r="H2480" t="s">
        <v>28</v>
      </c>
      <c r="I2480" t="s">
        <v>73</v>
      </c>
      <c r="J2480" t="s">
        <v>80</v>
      </c>
      <c r="K2480">
        <v>1</v>
      </c>
      <c r="L2480">
        <v>844.61</v>
      </c>
      <c r="M2480">
        <v>0</v>
      </c>
      <c r="N2480">
        <v>844.61</v>
      </c>
      <c r="O2480">
        <v>512.58000000000004</v>
      </c>
      <c r="P2480">
        <v>332.03</v>
      </c>
      <c r="Q2480" t="s">
        <v>53</v>
      </c>
      <c r="R2480">
        <v>0.39311634955778402</v>
      </c>
      <c r="S2480">
        <v>2025</v>
      </c>
      <c r="T2480" t="s">
        <v>2040</v>
      </c>
      <c r="U2480">
        <v>12</v>
      </c>
      <c r="V2480" t="s">
        <v>1803</v>
      </c>
    </row>
    <row r="2481" spans="1:22" x14ac:dyDescent="0.3">
      <c r="A2481" t="s">
        <v>3510</v>
      </c>
      <c r="B2481" s="1">
        <v>46019</v>
      </c>
      <c r="C2481" t="s">
        <v>3511</v>
      </c>
      <c r="D2481" t="s">
        <v>1074</v>
      </c>
      <c r="E2481" t="s">
        <v>25</v>
      </c>
      <c r="F2481" t="s">
        <v>26</v>
      </c>
      <c r="G2481" t="s">
        <v>27</v>
      </c>
      <c r="H2481" t="s">
        <v>28</v>
      </c>
      <c r="I2481" t="s">
        <v>73</v>
      </c>
      <c r="J2481" t="s">
        <v>80</v>
      </c>
      <c r="K2481">
        <v>4</v>
      </c>
      <c r="L2481">
        <v>766.66</v>
      </c>
      <c r="M2481">
        <v>0.1</v>
      </c>
      <c r="N2481">
        <v>2759.98</v>
      </c>
      <c r="O2481">
        <v>1942.83</v>
      </c>
      <c r="P2481">
        <v>817.15</v>
      </c>
      <c r="Q2481" t="s">
        <v>67</v>
      </c>
      <c r="R2481">
        <v>0.29607098602163778</v>
      </c>
      <c r="S2481">
        <v>2025</v>
      </c>
      <c r="T2481" t="s">
        <v>2040</v>
      </c>
      <c r="U2481">
        <v>12</v>
      </c>
      <c r="V2481" t="s">
        <v>1803</v>
      </c>
    </row>
    <row r="2482" spans="1:22" x14ac:dyDescent="0.3">
      <c r="A2482" t="s">
        <v>3512</v>
      </c>
      <c r="B2482" s="1">
        <v>46019</v>
      </c>
      <c r="C2482" t="s">
        <v>1159</v>
      </c>
      <c r="D2482" t="s">
        <v>444</v>
      </c>
      <c r="E2482" t="s">
        <v>61</v>
      </c>
      <c r="F2482" t="s">
        <v>78</v>
      </c>
      <c r="G2482" t="s">
        <v>216</v>
      </c>
      <c r="H2482" t="s">
        <v>84</v>
      </c>
      <c r="I2482" t="s">
        <v>138</v>
      </c>
      <c r="J2482" t="s">
        <v>220</v>
      </c>
      <c r="K2482">
        <v>1</v>
      </c>
      <c r="L2482">
        <v>7311.88</v>
      </c>
      <c r="M2482">
        <v>0.05</v>
      </c>
      <c r="N2482">
        <v>6946.29</v>
      </c>
      <c r="O2482">
        <v>4748.99</v>
      </c>
      <c r="P2482">
        <v>2197.3000000000002</v>
      </c>
      <c r="Q2482" t="s">
        <v>31</v>
      </c>
      <c r="R2482">
        <v>0.31632713290116021</v>
      </c>
      <c r="S2482">
        <v>2025</v>
      </c>
      <c r="T2482" t="s">
        <v>2040</v>
      </c>
      <c r="U2482">
        <v>12</v>
      </c>
      <c r="V2482" t="s">
        <v>1803</v>
      </c>
    </row>
    <row r="2483" spans="1:22" x14ac:dyDescent="0.3">
      <c r="A2483" t="s">
        <v>3513</v>
      </c>
      <c r="B2483" s="1">
        <v>46019</v>
      </c>
      <c r="C2483" t="s">
        <v>728</v>
      </c>
      <c r="D2483" t="s">
        <v>468</v>
      </c>
      <c r="E2483" t="s">
        <v>61</v>
      </c>
      <c r="F2483" t="s">
        <v>71</v>
      </c>
      <c r="G2483" t="s">
        <v>317</v>
      </c>
      <c r="H2483" t="s">
        <v>64</v>
      </c>
      <c r="I2483" t="s">
        <v>65</v>
      </c>
      <c r="J2483" t="s">
        <v>66</v>
      </c>
      <c r="K2483">
        <v>2</v>
      </c>
      <c r="L2483">
        <v>5249.68</v>
      </c>
      <c r="M2483">
        <v>0.1</v>
      </c>
      <c r="N2483">
        <v>9449.42</v>
      </c>
      <c r="O2483">
        <v>6645.24</v>
      </c>
      <c r="P2483">
        <v>2804.18</v>
      </c>
      <c r="Q2483" t="s">
        <v>46</v>
      </c>
      <c r="R2483">
        <v>0.29675683798582347</v>
      </c>
      <c r="S2483">
        <v>2025</v>
      </c>
      <c r="T2483" t="s">
        <v>2040</v>
      </c>
      <c r="U2483">
        <v>12</v>
      </c>
      <c r="V2483" t="s">
        <v>1803</v>
      </c>
    </row>
    <row r="2484" spans="1:22" x14ac:dyDescent="0.3">
      <c r="A2484" t="s">
        <v>3514</v>
      </c>
      <c r="B2484" s="1">
        <v>46020</v>
      </c>
      <c r="C2484" t="s">
        <v>1772</v>
      </c>
      <c r="D2484" t="s">
        <v>313</v>
      </c>
      <c r="E2484" t="s">
        <v>61</v>
      </c>
      <c r="F2484" t="s">
        <v>78</v>
      </c>
      <c r="G2484" t="s">
        <v>83</v>
      </c>
      <c r="H2484" t="s">
        <v>64</v>
      </c>
      <c r="I2484" t="s">
        <v>65</v>
      </c>
      <c r="J2484" t="s">
        <v>232</v>
      </c>
      <c r="K2484">
        <v>2</v>
      </c>
      <c r="L2484">
        <v>3910.74</v>
      </c>
      <c r="M2484">
        <v>0</v>
      </c>
      <c r="N2484">
        <v>7821.48</v>
      </c>
      <c r="O2484">
        <v>4956.5200000000004</v>
      </c>
      <c r="P2484">
        <v>2864.96</v>
      </c>
      <c r="Q2484" t="s">
        <v>46</v>
      </c>
      <c r="R2484">
        <v>0.36629384720027408</v>
      </c>
      <c r="S2484">
        <v>2025</v>
      </c>
      <c r="T2484" t="s">
        <v>2040</v>
      </c>
      <c r="U2484">
        <v>12</v>
      </c>
      <c r="V2484" t="s">
        <v>1803</v>
      </c>
    </row>
    <row r="2485" spans="1:22" x14ac:dyDescent="0.3">
      <c r="A2485" t="s">
        <v>3515</v>
      </c>
      <c r="B2485" s="1">
        <v>46020</v>
      </c>
      <c r="C2485" t="s">
        <v>1929</v>
      </c>
      <c r="D2485" t="s">
        <v>151</v>
      </c>
      <c r="E2485" t="s">
        <v>41</v>
      </c>
      <c r="F2485" t="s">
        <v>42</v>
      </c>
      <c r="G2485" t="s">
        <v>42</v>
      </c>
      <c r="H2485" t="s">
        <v>28</v>
      </c>
      <c r="I2485" t="s">
        <v>91</v>
      </c>
      <c r="J2485" t="s">
        <v>126</v>
      </c>
      <c r="K2485">
        <v>1</v>
      </c>
      <c r="L2485">
        <v>1956.77</v>
      </c>
      <c r="M2485">
        <v>0.05</v>
      </c>
      <c r="N2485">
        <v>1858.93</v>
      </c>
      <c r="O2485">
        <v>1175.6600000000001</v>
      </c>
      <c r="P2485">
        <v>683.27</v>
      </c>
      <c r="Q2485" t="s">
        <v>31</v>
      </c>
      <c r="R2485">
        <v>0.36756090869478669</v>
      </c>
      <c r="S2485">
        <v>2025</v>
      </c>
      <c r="T2485" t="s">
        <v>2040</v>
      </c>
      <c r="U2485">
        <v>12</v>
      </c>
      <c r="V2485" t="s">
        <v>1803</v>
      </c>
    </row>
    <row r="2486" spans="1:22" x14ac:dyDescent="0.3">
      <c r="A2486" t="s">
        <v>3516</v>
      </c>
      <c r="B2486" s="1">
        <v>46020</v>
      </c>
      <c r="C2486" t="s">
        <v>297</v>
      </c>
      <c r="D2486" t="s">
        <v>1490</v>
      </c>
      <c r="E2486" t="s">
        <v>61</v>
      </c>
      <c r="F2486" t="s">
        <v>62</v>
      </c>
      <c r="G2486" t="s">
        <v>90</v>
      </c>
      <c r="H2486" t="s">
        <v>43</v>
      </c>
      <c r="I2486" t="s">
        <v>51</v>
      </c>
      <c r="J2486" t="s">
        <v>96</v>
      </c>
      <c r="K2486">
        <v>6</v>
      </c>
      <c r="L2486">
        <v>485.49</v>
      </c>
      <c r="M2486">
        <v>0.2</v>
      </c>
      <c r="N2486">
        <v>2330.35</v>
      </c>
      <c r="O2486">
        <v>1338.76</v>
      </c>
      <c r="P2486">
        <v>991.59</v>
      </c>
      <c r="Q2486" t="s">
        <v>53</v>
      </c>
      <c r="R2486">
        <v>0.42551118930632742</v>
      </c>
      <c r="S2486">
        <v>2025</v>
      </c>
      <c r="T2486" t="s">
        <v>2040</v>
      </c>
      <c r="U2486">
        <v>12</v>
      </c>
      <c r="V2486" t="s">
        <v>1803</v>
      </c>
    </row>
    <row r="2487" spans="1:22" x14ac:dyDescent="0.3">
      <c r="A2487" t="s">
        <v>3517</v>
      </c>
      <c r="B2487" s="1">
        <v>46020</v>
      </c>
      <c r="C2487" t="s">
        <v>2647</v>
      </c>
      <c r="D2487" t="s">
        <v>626</v>
      </c>
      <c r="E2487" t="s">
        <v>41</v>
      </c>
      <c r="F2487" t="s">
        <v>42</v>
      </c>
      <c r="G2487" t="s">
        <v>42</v>
      </c>
      <c r="H2487" t="s">
        <v>64</v>
      </c>
      <c r="I2487" t="s">
        <v>108</v>
      </c>
      <c r="J2487" t="s">
        <v>155</v>
      </c>
      <c r="K2487">
        <v>3</v>
      </c>
      <c r="L2487">
        <v>8567.25</v>
      </c>
      <c r="M2487">
        <v>0</v>
      </c>
      <c r="N2487">
        <v>25701.75</v>
      </c>
      <c r="O2487">
        <v>18109.830000000002</v>
      </c>
      <c r="P2487">
        <v>7591.92</v>
      </c>
      <c r="Q2487" t="s">
        <v>31</v>
      </c>
      <c r="R2487">
        <v>0.29538533368350411</v>
      </c>
      <c r="S2487">
        <v>2025</v>
      </c>
      <c r="T2487" t="s">
        <v>2040</v>
      </c>
      <c r="U2487">
        <v>12</v>
      </c>
      <c r="V2487" t="s">
        <v>1803</v>
      </c>
    </row>
    <row r="2488" spans="1:22" x14ac:dyDescent="0.3">
      <c r="A2488" t="s">
        <v>3518</v>
      </c>
      <c r="B2488" s="1">
        <v>46020</v>
      </c>
      <c r="C2488" t="s">
        <v>312</v>
      </c>
      <c r="D2488" t="s">
        <v>1345</v>
      </c>
      <c r="E2488" t="s">
        <v>61</v>
      </c>
      <c r="F2488" t="s">
        <v>78</v>
      </c>
      <c r="G2488" t="s">
        <v>216</v>
      </c>
      <c r="H2488" t="s">
        <v>28</v>
      </c>
      <c r="I2488" t="s">
        <v>73</v>
      </c>
      <c r="J2488" t="s">
        <v>74</v>
      </c>
      <c r="K2488">
        <v>5</v>
      </c>
      <c r="L2488">
        <v>2437.79</v>
      </c>
      <c r="M2488">
        <v>0.15</v>
      </c>
      <c r="N2488">
        <v>10360.61</v>
      </c>
      <c r="O2488">
        <v>6946.39</v>
      </c>
      <c r="P2488">
        <v>3414.22</v>
      </c>
      <c r="Q2488" t="s">
        <v>46</v>
      </c>
      <c r="R2488">
        <v>0.32953851172855653</v>
      </c>
      <c r="S2488">
        <v>2025</v>
      </c>
      <c r="T2488" t="s">
        <v>2040</v>
      </c>
      <c r="U2488">
        <v>12</v>
      </c>
      <c r="V2488" t="s">
        <v>1803</v>
      </c>
    </row>
    <row r="2489" spans="1:22" x14ac:dyDescent="0.3">
      <c r="A2489" t="s">
        <v>3519</v>
      </c>
      <c r="B2489" s="1">
        <v>46020</v>
      </c>
      <c r="C2489" t="s">
        <v>237</v>
      </c>
      <c r="D2489" t="s">
        <v>2244</v>
      </c>
      <c r="E2489" t="s">
        <v>25</v>
      </c>
      <c r="F2489" t="s">
        <v>26</v>
      </c>
      <c r="G2489" t="s">
        <v>37</v>
      </c>
      <c r="H2489" t="s">
        <v>28</v>
      </c>
      <c r="I2489" t="s">
        <v>29</v>
      </c>
      <c r="J2489" t="s">
        <v>30</v>
      </c>
      <c r="K2489">
        <v>5</v>
      </c>
      <c r="L2489">
        <v>59657.66</v>
      </c>
      <c r="M2489">
        <v>0.05</v>
      </c>
      <c r="N2489">
        <v>283373.89</v>
      </c>
      <c r="O2489">
        <v>258882.62</v>
      </c>
      <c r="P2489">
        <v>24491.27</v>
      </c>
      <c r="Q2489" t="s">
        <v>31</v>
      </c>
      <c r="R2489">
        <v>8.6427405150135736E-2</v>
      </c>
      <c r="S2489">
        <v>2025</v>
      </c>
      <c r="T2489" t="s">
        <v>2040</v>
      </c>
      <c r="U2489">
        <v>12</v>
      </c>
      <c r="V2489" t="s">
        <v>1803</v>
      </c>
    </row>
    <row r="2490" spans="1:22" x14ac:dyDescent="0.3">
      <c r="A2490" t="s">
        <v>3520</v>
      </c>
      <c r="B2490" s="1">
        <v>46021</v>
      </c>
      <c r="C2490" t="s">
        <v>3521</v>
      </c>
      <c r="D2490" t="s">
        <v>454</v>
      </c>
      <c r="E2490" t="s">
        <v>61</v>
      </c>
      <c r="F2490" t="s">
        <v>78</v>
      </c>
      <c r="G2490" t="s">
        <v>104</v>
      </c>
      <c r="H2490" t="s">
        <v>43</v>
      </c>
      <c r="I2490" t="s">
        <v>44</v>
      </c>
      <c r="J2490" t="s">
        <v>248</v>
      </c>
      <c r="K2490">
        <v>4</v>
      </c>
      <c r="L2490">
        <v>297.02</v>
      </c>
      <c r="M2490">
        <v>0.05</v>
      </c>
      <c r="N2490">
        <v>1128.68</v>
      </c>
      <c r="O2490">
        <v>502.56</v>
      </c>
      <c r="P2490">
        <v>626.12</v>
      </c>
      <c r="Q2490" t="s">
        <v>53</v>
      </c>
      <c r="R2490">
        <v>0.55473650636141325</v>
      </c>
      <c r="S2490">
        <v>2025</v>
      </c>
      <c r="T2490" t="s">
        <v>2040</v>
      </c>
      <c r="U2490">
        <v>12</v>
      </c>
      <c r="V2490" t="s">
        <v>1803</v>
      </c>
    </row>
    <row r="2491" spans="1:22" x14ac:dyDescent="0.3">
      <c r="A2491" t="s">
        <v>3522</v>
      </c>
      <c r="B2491" s="1">
        <v>46021</v>
      </c>
      <c r="C2491" t="s">
        <v>826</v>
      </c>
      <c r="D2491" t="s">
        <v>188</v>
      </c>
      <c r="E2491" t="s">
        <v>61</v>
      </c>
      <c r="F2491" t="s">
        <v>71</v>
      </c>
      <c r="G2491" t="s">
        <v>201</v>
      </c>
      <c r="H2491" t="s">
        <v>28</v>
      </c>
      <c r="I2491" t="s">
        <v>73</v>
      </c>
      <c r="J2491" t="s">
        <v>80</v>
      </c>
      <c r="K2491">
        <v>6</v>
      </c>
      <c r="L2491">
        <v>806.08</v>
      </c>
      <c r="M2491">
        <v>0.1</v>
      </c>
      <c r="N2491">
        <v>4352.83</v>
      </c>
      <c r="O2491">
        <v>3093.93</v>
      </c>
      <c r="P2491">
        <v>1258.9000000000001</v>
      </c>
      <c r="Q2491" t="s">
        <v>31</v>
      </c>
      <c r="R2491">
        <v>0.28921414344231228</v>
      </c>
      <c r="S2491">
        <v>2025</v>
      </c>
      <c r="T2491" t="s">
        <v>2040</v>
      </c>
      <c r="U2491">
        <v>12</v>
      </c>
      <c r="V2491" t="s">
        <v>1803</v>
      </c>
    </row>
    <row r="2492" spans="1:22" x14ac:dyDescent="0.3">
      <c r="A2492" t="s">
        <v>3523</v>
      </c>
      <c r="B2492" s="1">
        <v>46021</v>
      </c>
      <c r="C2492" t="s">
        <v>1405</v>
      </c>
      <c r="D2492" t="s">
        <v>164</v>
      </c>
      <c r="E2492" t="s">
        <v>61</v>
      </c>
      <c r="F2492" t="s">
        <v>62</v>
      </c>
      <c r="G2492" t="s">
        <v>134</v>
      </c>
      <c r="H2492" t="s">
        <v>28</v>
      </c>
      <c r="I2492" t="s">
        <v>29</v>
      </c>
      <c r="J2492" t="s">
        <v>57</v>
      </c>
      <c r="K2492">
        <v>2</v>
      </c>
      <c r="L2492">
        <v>16676.919999999998</v>
      </c>
      <c r="M2492">
        <v>0.05</v>
      </c>
      <c r="N2492">
        <v>31686.15</v>
      </c>
      <c r="O2492">
        <v>24241.22</v>
      </c>
      <c r="P2492">
        <v>7444.93</v>
      </c>
      <c r="Q2492" t="s">
        <v>53</v>
      </c>
      <c r="R2492">
        <v>0.23495849132823021</v>
      </c>
      <c r="S2492">
        <v>2025</v>
      </c>
      <c r="T2492" t="s">
        <v>2040</v>
      </c>
      <c r="U2492">
        <v>12</v>
      </c>
      <c r="V2492" t="s">
        <v>1803</v>
      </c>
    </row>
    <row r="2493" spans="1:22" x14ac:dyDescent="0.3">
      <c r="A2493" t="s">
        <v>3524</v>
      </c>
      <c r="B2493" s="1">
        <v>46021</v>
      </c>
      <c r="C2493" t="s">
        <v>1145</v>
      </c>
      <c r="D2493" t="s">
        <v>418</v>
      </c>
      <c r="E2493" t="s">
        <v>41</v>
      </c>
      <c r="F2493" t="s">
        <v>42</v>
      </c>
      <c r="G2493" t="s">
        <v>50</v>
      </c>
      <c r="H2493" t="s">
        <v>64</v>
      </c>
      <c r="I2493" t="s">
        <v>108</v>
      </c>
      <c r="J2493" t="s">
        <v>155</v>
      </c>
      <c r="K2493">
        <v>2</v>
      </c>
      <c r="L2493">
        <v>8990.7900000000009</v>
      </c>
      <c r="M2493">
        <v>0</v>
      </c>
      <c r="N2493">
        <v>17981.580000000002</v>
      </c>
      <c r="O2493">
        <v>12331.66</v>
      </c>
      <c r="P2493">
        <v>5649.92</v>
      </c>
      <c r="Q2493" t="s">
        <v>31</v>
      </c>
      <c r="R2493">
        <v>0.31420598189925458</v>
      </c>
      <c r="S2493">
        <v>2025</v>
      </c>
      <c r="T2493" t="s">
        <v>2040</v>
      </c>
      <c r="U2493">
        <v>12</v>
      </c>
      <c r="V2493" t="s">
        <v>1803</v>
      </c>
    </row>
    <row r="2494" spans="1:22" x14ac:dyDescent="0.3">
      <c r="A2494" t="s">
        <v>3525</v>
      </c>
      <c r="B2494" s="1">
        <v>46021</v>
      </c>
      <c r="C2494" t="s">
        <v>669</v>
      </c>
      <c r="D2494" t="s">
        <v>806</v>
      </c>
      <c r="E2494" t="s">
        <v>61</v>
      </c>
      <c r="F2494" t="s">
        <v>62</v>
      </c>
      <c r="G2494" t="s">
        <v>63</v>
      </c>
      <c r="H2494" t="s">
        <v>28</v>
      </c>
      <c r="I2494" t="s">
        <v>91</v>
      </c>
      <c r="J2494" t="s">
        <v>92</v>
      </c>
      <c r="K2494">
        <v>2</v>
      </c>
      <c r="L2494">
        <v>2864.27</v>
      </c>
      <c r="M2494">
        <v>0</v>
      </c>
      <c r="N2494">
        <v>5728.54</v>
      </c>
      <c r="O2494">
        <v>2991.59</v>
      </c>
      <c r="P2494">
        <v>2736.95</v>
      </c>
      <c r="Q2494" t="s">
        <v>46</v>
      </c>
      <c r="R2494">
        <v>0.47777444165529093</v>
      </c>
      <c r="S2494">
        <v>2025</v>
      </c>
      <c r="T2494" t="s">
        <v>2040</v>
      </c>
      <c r="U2494">
        <v>12</v>
      </c>
      <c r="V2494" t="s">
        <v>1803</v>
      </c>
    </row>
    <row r="2495" spans="1:22" x14ac:dyDescent="0.3">
      <c r="A2495" t="s">
        <v>3526</v>
      </c>
      <c r="B2495" s="1">
        <v>46022</v>
      </c>
      <c r="C2495" t="s">
        <v>157</v>
      </c>
      <c r="D2495" t="s">
        <v>268</v>
      </c>
      <c r="E2495" t="s">
        <v>61</v>
      </c>
      <c r="F2495" t="s">
        <v>78</v>
      </c>
      <c r="G2495" t="s">
        <v>79</v>
      </c>
      <c r="H2495" t="s">
        <v>43</v>
      </c>
      <c r="I2495" t="s">
        <v>44</v>
      </c>
      <c r="J2495" t="s">
        <v>248</v>
      </c>
      <c r="K2495">
        <v>2</v>
      </c>
      <c r="L2495">
        <v>282.93</v>
      </c>
      <c r="M2495">
        <v>0</v>
      </c>
      <c r="N2495">
        <v>565.86</v>
      </c>
      <c r="O2495">
        <v>236.78</v>
      </c>
      <c r="P2495">
        <v>329.08</v>
      </c>
      <c r="Q2495" t="s">
        <v>31</v>
      </c>
      <c r="R2495">
        <v>0.58155727565122106</v>
      </c>
      <c r="S2495">
        <v>2025</v>
      </c>
      <c r="T2495" t="s">
        <v>2040</v>
      </c>
      <c r="U2495">
        <v>12</v>
      </c>
      <c r="V2495" t="s">
        <v>1803</v>
      </c>
    </row>
    <row r="2496" spans="1:22" x14ac:dyDescent="0.3">
      <c r="A2496" t="s">
        <v>3527</v>
      </c>
      <c r="B2496" s="1">
        <v>46022</v>
      </c>
      <c r="C2496" t="s">
        <v>830</v>
      </c>
      <c r="D2496" t="s">
        <v>606</v>
      </c>
      <c r="E2496" t="s">
        <v>61</v>
      </c>
      <c r="F2496" t="s">
        <v>78</v>
      </c>
      <c r="G2496" t="s">
        <v>216</v>
      </c>
      <c r="H2496" t="s">
        <v>43</v>
      </c>
      <c r="I2496" t="s">
        <v>51</v>
      </c>
      <c r="J2496" t="s">
        <v>96</v>
      </c>
      <c r="K2496">
        <v>3</v>
      </c>
      <c r="L2496">
        <v>482</v>
      </c>
      <c r="M2496">
        <v>0.05</v>
      </c>
      <c r="N2496">
        <v>1373.7</v>
      </c>
      <c r="O2496">
        <v>660.23</v>
      </c>
      <c r="P2496">
        <v>713.47</v>
      </c>
      <c r="Q2496" t="s">
        <v>53</v>
      </c>
      <c r="R2496">
        <v>0.51937832132197714</v>
      </c>
      <c r="S2496">
        <v>2025</v>
      </c>
      <c r="T2496" t="s">
        <v>2040</v>
      </c>
      <c r="U2496">
        <v>12</v>
      </c>
      <c r="V2496" t="s">
        <v>1803</v>
      </c>
    </row>
    <row r="2497" spans="1:22" x14ac:dyDescent="0.3">
      <c r="A2497" t="s">
        <v>3528</v>
      </c>
      <c r="B2497" s="1">
        <v>46022</v>
      </c>
      <c r="C2497" t="s">
        <v>1040</v>
      </c>
      <c r="D2497" t="s">
        <v>334</v>
      </c>
      <c r="E2497" t="s">
        <v>61</v>
      </c>
      <c r="F2497" t="s">
        <v>78</v>
      </c>
      <c r="G2497" t="s">
        <v>216</v>
      </c>
      <c r="H2497" t="s">
        <v>43</v>
      </c>
      <c r="I2497" t="s">
        <v>44</v>
      </c>
      <c r="J2497" t="s">
        <v>45</v>
      </c>
      <c r="K2497">
        <v>3</v>
      </c>
      <c r="L2497">
        <v>236.76</v>
      </c>
      <c r="M2497">
        <v>0.1</v>
      </c>
      <c r="N2497">
        <v>639.25</v>
      </c>
      <c r="O2497">
        <v>278.48</v>
      </c>
      <c r="P2497">
        <v>360.77</v>
      </c>
      <c r="Q2497" t="s">
        <v>31</v>
      </c>
      <c r="R2497">
        <v>0.56436448963629249</v>
      </c>
      <c r="S2497">
        <v>2025</v>
      </c>
      <c r="T2497" t="s">
        <v>2040</v>
      </c>
      <c r="U2497">
        <v>12</v>
      </c>
      <c r="V2497" t="s">
        <v>1803</v>
      </c>
    </row>
    <row r="2498" spans="1:22" x14ac:dyDescent="0.3">
      <c r="A2498" t="s">
        <v>3529</v>
      </c>
      <c r="B2498" s="1">
        <v>46022</v>
      </c>
      <c r="C2498" t="s">
        <v>1030</v>
      </c>
      <c r="D2498" t="s">
        <v>197</v>
      </c>
      <c r="E2498" t="s">
        <v>25</v>
      </c>
      <c r="F2498" t="s">
        <v>26</v>
      </c>
      <c r="G2498" t="s">
        <v>260</v>
      </c>
      <c r="H2498" t="s">
        <v>84</v>
      </c>
      <c r="I2498" t="s">
        <v>138</v>
      </c>
      <c r="J2498" t="s">
        <v>139</v>
      </c>
      <c r="K2498">
        <v>1</v>
      </c>
      <c r="L2498">
        <v>13224.87</v>
      </c>
      <c r="M2498">
        <v>0.05</v>
      </c>
      <c r="N2498">
        <v>12563.63</v>
      </c>
      <c r="O2498">
        <v>9159.58</v>
      </c>
      <c r="P2498">
        <v>3404.05</v>
      </c>
      <c r="Q2498" t="s">
        <v>46</v>
      </c>
      <c r="R2498">
        <v>0.27094478267825473</v>
      </c>
      <c r="S2498">
        <v>2025</v>
      </c>
      <c r="T2498" t="s">
        <v>2040</v>
      </c>
      <c r="U2498">
        <v>12</v>
      </c>
      <c r="V2498" t="s">
        <v>1803</v>
      </c>
    </row>
    <row r="2499" spans="1:22" x14ac:dyDescent="0.3">
      <c r="A2499" t="s">
        <v>3530</v>
      </c>
      <c r="B2499" s="1">
        <v>46022</v>
      </c>
      <c r="C2499" t="s">
        <v>315</v>
      </c>
      <c r="D2499" t="s">
        <v>906</v>
      </c>
      <c r="E2499" t="s">
        <v>25</v>
      </c>
      <c r="F2499" t="s">
        <v>26</v>
      </c>
      <c r="G2499" t="s">
        <v>171</v>
      </c>
      <c r="H2499" t="s">
        <v>28</v>
      </c>
      <c r="I2499" t="s">
        <v>73</v>
      </c>
      <c r="J2499" t="s">
        <v>80</v>
      </c>
      <c r="K2499">
        <v>3</v>
      </c>
      <c r="L2499">
        <v>829.34</v>
      </c>
      <c r="M2499">
        <v>0</v>
      </c>
      <c r="N2499">
        <v>2488.02</v>
      </c>
      <c r="O2499">
        <v>1559.93</v>
      </c>
      <c r="P2499">
        <v>928.09</v>
      </c>
      <c r="Q2499" t="s">
        <v>31</v>
      </c>
      <c r="R2499">
        <v>0.37302352874976891</v>
      </c>
      <c r="S2499">
        <v>2025</v>
      </c>
      <c r="T2499" t="s">
        <v>2040</v>
      </c>
      <c r="U2499">
        <v>12</v>
      </c>
      <c r="V2499" t="s">
        <v>1803</v>
      </c>
    </row>
    <row r="2500" spans="1:22" x14ac:dyDescent="0.3">
      <c r="A2500" t="s">
        <v>3531</v>
      </c>
      <c r="B2500" s="1">
        <v>46022</v>
      </c>
      <c r="C2500" t="s">
        <v>2658</v>
      </c>
      <c r="D2500" t="s">
        <v>151</v>
      </c>
      <c r="E2500" t="s">
        <v>61</v>
      </c>
      <c r="F2500" t="s">
        <v>78</v>
      </c>
      <c r="G2500" t="s">
        <v>83</v>
      </c>
      <c r="H2500" t="s">
        <v>84</v>
      </c>
      <c r="I2500" t="s">
        <v>85</v>
      </c>
      <c r="J2500" t="s">
        <v>86</v>
      </c>
      <c r="K2500">
        <v>3</v>
      </c>
      <c r="L2500">
        <v>1878.25</v>
      </c>
      <c r="M2500">
        <v>0.1</v>
      </c>
      <c r="N2500">
        <v>5071.28</v>
      </c>
      <c r="O2500">
        <v>3064.51</v>
      </c>
      <c r="P2500">
        <v>2006.77</v>
      </c>
      <c r="Q2500" t="s">
        <v>46</v>
      </c>
      <c r="R2500">
        <v>0.39571271947121828</v>
      </c>
      <c r="S2500">
        <v>2025</v>
      </c>
      <c r="T2500" t="s">
        <v>2040</v>
      </c>
      <c r="U2500">
        <v>12</v>
      </c>
      <c r="V2500" t="s">
        <v>1803</v>
      </c>
    </row>
    <row r="2501" spans="1:22" x14ac:dyDescent="0.3">
      <c r="A2501" t="s">
        <v>3532</v>
      </c>
      <c r="B2501" s="1">
        <v>46022</v>
      </c>
      <c r="C2501" t="s">
        <v>400</v>
      </c>
      <c r="D2501" t="s">
        <v>1647</v>
      </c>
      <c r="E2501" t="s">
        <v>61</v>
      </c>
      <c r="F2501" t="s">
        <v>71</v>
      </c>
      <c r="G2501" t="s">
        <v>72</v>
      </c>
      <c r="H2501" t="s">
        <v>84</v>
      </c>
      <c r="I2501" t="s">
        <v>138</v>
      </c>
      <c r="J2501" t="s">
        <v>139</v>
      </c>
      <c r="K2501">
        <v>1</v>
      </c>
      <c r="L2501">
        <v>12477.27</v>
      </c>
      <c r="M2501">
        <v>0</v>
      </c>
      <c r="N2501">
        <v>12477.27</v>
      </c>
      <c r="O2501">
        <v>9097.57</v>
      </c>
      <c r="P2501">
        <v>3379.7</v>
      </c>
      <c r="Q2501" t="s">
        <v>67</v>
      </c>
      <c r="R2501">
        <v>0.27086854736653132</v>
      </c>
      <c r="S2501">
        <v>2025</v>
      </c>
      <c r="T2501" t="s">
        <v>2040</v>
      </c>
      <c r="U2501">
        <v>12</v>
      </c>
      <c r="V2501" t="s">
        <v>1803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F81CB0-043B-4540-BCB1-8A89213FFB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Region</vt:lpstr>
      <vt:lpstr>Dashboard</vt:lpstr>
      <vt:lpstr>category sales</vt:lpstr>
      <vt:lpstr>sales by year</vt:lpstr>
      <vt:lpstr>Sheet6</vt:lpstr>
      <vt:lpstr>payment mode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Munraathi Arun Kumar</dc:creator>
  <cp:lastModifiedBy>Munraathi Arun Kumar</cp:lastModifiedBy>
  <dcterms:created xsi:type="dcterms:W3CDTF">2026-09-13T05:24:17Z</dcterms:created>
  <dcterms:modified xsi:type="dcterms:W3CDTF">2026-09-13T09:13:44Z</dcterms:modified>
</cp:coreProperties>
</file>